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15.xml" ContentType="application/vnd.openxmlformats-officedocument.spreadsheetml.pivotTable+xml"/>
  <Override PartName="/xl/pivotTables/pivotTable1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ThisWorkbook"/>
  <mc:AlternateContent xmlns:mc="http://schemas.openxmlformats.org/markup-compatibility/2006">
    <mc:Choice Requires="x15">
      <x15ac:absPath xmlns:x15ac="http://schemas.microsoft.com/office/spreadsheetml/2010/11/ac" url="https://d.docs.live.net/d587838ffad9f248/Documents/Books/Excel_Pivot_Table_Data_Crunching/"/>
    </mc:Choice>
  </mc:AlternateContent>
  <xr:revisionPtr revIDLastSave="113" documentId="13_ncr:1_{F263EE3E-E900-421A-BE61-C117E6806D5E}" xr6:coauthVersionLast="47" xr6:coauthVersionMax="47" xr10:uidLastSave="{7EB0D59B-02A1-4279-8425-F93E9B8A2B50}"/>
  <bookViews>
    <workbookView xWindow="-108" yWindow="-108" windowWidth="23256" windowHeight="12456" firstSheet="4" activeTab="5" xr2:uid="{00000000-000D-0000-FFFF-FFFF00000000}"/>
  </bookViews>
  <sheets>
    <sheet name="Welcome" sheetId="4" r:id="rId1"/>
    <sheet name="Fig 1 to 23" sheetId="2" r:id="rId2"/>
    <sheet name="Pivot_Mine" sheetId="14" r:id="rId3"/>
    <sheet name="Pasted_Pivot_Mine" sheetId="15" r:id="rId4"/>
    <sheet name="Pivot_Mine (2)" sheetId="16" r:id="rId5"/>
    <sheet name="Pivot_W_Theme Mine" sheetId="17" r:id="rId6"/>
    <sheet name="Data" sheetId="1" r:id="rId7"/>
    <sheet name="Fig 24 to 29" sheetId="7" r:id="rId8"/>
    <sheet name="Fig30" sheetId="9" r:id="rId9"/>
    <sheet name="Mine_Various_Values" sheetId="19" r:id="rId10"/>
    <sheet name="MoreData" sheetId="6" r:id="rId11"/>
    <sheet name="Index" sheetId="10" r:id="rId12"/>
    <sheet name="Subtotals" sheetId="13" r:id="rId13"/>
    <sheet name="Multiple" sheetId="11" r:id="rId14"/>
    <sheet name="35 to 37" sheetId="12" r:id="rId15"/>
    <sheet name="BlankCell" sheetId="3" r:id="rId16"/>
    <sheet name="Tie" sheetId="8" r:id="rId17"/>
  </sheets>
  <definedNames>
    <definedName name="Slicer_Sector">#N/A</definedName>
  </definedNames>
  <calcPr calcId="191029"/>
  <pivotCaches>
    <pivotCache cacheId="0" r:id="rId18"/>
    <pivotCache cacheId="1" r:id="rId19"/>
    <pivotCache cacheId="6" r:id="rId20"/>
    <pivotCache cacheId="3" r:id="rId21"/>
    <pivotCache cacheId="7" r:id="rId22"/>
    <pivotCache cacheId="5"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 i="10" l="1"/>
  <c r="I5" i="10"/>
  <c r="I7" i="10" s="1"/>
  <c r="I2" i="10"/>
  <c r="I1" i="10"/>
  <c r="I3" i="10" l="1"/>
  <c r="I9" i="10" s="1"/>
  <c r="R15" i="10"/>
</calcChain>
</file>

<file path=xl/sharedStrings.xml><?xml version="1.0" encoding="utf-8"?>
<sst xmlns="http://schemas.openxmlformats.org/spreadsheetml/2006/main" count="8575" uniqueCount="195">
  <si>
    <t>Sector</t>
  </si>
  <si>
    <t>Region</t>
  </si>
  <si>
    <t>Product</t>
  </si>
  <si>
    <t>Date</t>
  </si>
  <si>
    <t>Customer</t>
  </si>
  <si>
    <t>Quantity</t>
  </si>
  <si>
    <t>Revenue</t>
  </si>
  <si>
    <t>Profit</t>
  </si>
  <si>
    <t>Cost</t>
  </si>
  <si>
    <t>Midwest</t>
  </si>
  <si>
    <t>Gizmo</t>
  </si>
  <si>
    <t>Northeast</t>
  </si>
  <si>
    <t>Gadget</t>
  </si>
  <si>
    <t>South</t>
  </si>
  <si>
    <t>West</t>
  </si>
  <si>
    <t>Widget</t>
  </si>
  <si>
    <t>Retail</t>
  </si>
  <si>
    <t>Doodads</t>
  </si>
  <si>
    <t>Row Labels</t>
  </si>
  <si>
    <t>Grand Total</t>
  </si>
  <si>
    <t>Sum of Revenue</t>
  </si>
  <si>
    <t>Chapter 3</t>
  </si>
  <si>
    <t>Chicago</t>
  </si>
  <si>
    <t>Louisville</t>
  </si>
  <si>
    <t>Detroit</t>
  </si>
  <si>
    <t>Cincinnati</t>
  </si>
  <si>
    <t>Minneapolis</t>
  </si>
  <si>
    <t>New York</t>
  </si>
  <si>
    <t>Atlanta</t>
  </si>
  <si>
    <t>Charlotte</t>
  </si>
  <si>
    <t>Houston</t>
  </si>
  <si>
    <t>NoCal</t>
  </si>
  <si>
    <t>Arkla</t>
  </si>
  <si>
    <t>SoCal</t>
  </si>
  <si>
    <t>Market</t>
  </si>
  <si>
    <t>Rep</t>
  </si>
  <si>
    <t>% of Total</t>
  </si>
  <si>
    <t>Rank</t>
  </si>
  <si>
    <t>Summarize Value By</t>
  </si>
  <si>
    <t>Show Values As</t>
  </si>
  <si>
    <t>Code</t>
  </si>
  <si>
    <t>A</t>
  </si>
  <si>
    <t>B</t>
  </si>
  <si>
    <t>C</t>
  </si>
  <si>
    <t>D</t>
  </si>
  <si>
    <t>E</t>
  </si>
  <si>
    <t>F</t>
  </si>
  <si>
    <t>G</t>
  </si>
  <si>
    <t>H</t>
  </si>
  <si>
    <t>I</t>
  </si>
  <si>
    <t>J</t>
  </si>
  <si>
    <t>K</t>
  </si>
  <si>
    <t>L</t>
  </si>
  <si>
    <t>Value</t>
  </si>
  <si>
    <t>Sum of Value</t>
  </si>
  <si>
    <t>Midwest Total</t>
  </si>
  <si>
    <t>Northeast Total</t>
  </si>
  <si>
    <t>South Total</t>
  </si>
  <si>
    <t>West Total</t>
  </si>
  <si>
    <t>% of Parent</t>
  </si>
  <si>
    <t>Total Revenue</t>
  </si>
  <si>
    <t>Crop</t>
  </si>
  <si>
    <t>State</t>
  </si>
  <si>
    <t>California</t>
  </si>
  <si>
    <t>Georgia</t>
  </si>
  <si>
    <t>Ohio</t>
  </si>
  <si>
    <t>Apple</t>
  </si>
  <si>
    <t>Banana</t>
  </si>
  <si>
    <t>Kiwi</t>
  </si>
  <si>
    <t>Peach</t>
  </si>
  <si>
    <t>Sales</t>
  </si>
  <si>
    <t>Sum of Sales</t>
  </si>
  <si>
    <t>Index</t>
  </si>
  <si>
    <t>Peach Total</t>
  </si>
  <si>
    <t>GA Peach</t>
  </si>
  <si>
    <t>/ Total</t>
  </si>
  <si>
    <t>Index is A/B</t>
  </si>
  <si>
    <t>= Worth of Peaches to GA</t>
  </si>
  <si>
    <t>= Worth of Peaches</t>
  </si>
  <si>
    <t>/ GA Total</t>
  </si>
  <si>
    <t>Midwest Sum</t>
  </si>
  <si>
    <t>Midwest Count</t>
  </si>
  <si>
    <t>Midwest Average</t>
  </si>
  <si>
    <t>Midwest Max</t>
  </si>
  <si>
    <t>Midwest Min</t>
  </si>
  <si>
    <t>Northeast Sum</t>
  </si>
  <si>
    <t>Northeast Count</t>
  </si>
  <si>
    <t>Northeast Average</t>
  </si>
  <si>
    <t>Northeast Max</t>
  </si>
  <si>
    <t>Northeast Min</t>
  </si>
  <si>
    <t>South Sum</t>
  </si>
  <si>
    <t>South Count</t>
  </si>
  <si>
    <t>South Average</t>
  </si>
  <si>
    <t>South Max</t>
  </si>
  <si>
    <t>South Min</t>
  </si>
  <si>
    <t>West Sum</t>
  </si>
  <si>
    <t>West Count</t>
  </si>
  <si>
    <t>West Average</t>
  </si>
  <si>
    <t>West Max</t>
  </si>
  <si>
    <t>West Min</t>
  </si>
  <si>
    <t>599CD.com</t>
  </si>
  <si>
    <t>Andrew Spain Consulting</t>
  </si>
  <si>
    <t>Association for Computers &amp; Taxation</t>
  </si>
  <si>
    <t>Construction Intelligence &amp; Analytics, Inc.</t>
  </si>
  <si>
    <t>Data2Impact</t>
  </si>
  <si>
    <t>Excel4Apps</t>
  </si>
  <si>
    <t>F-Keys Ltd.</t>
  </si>
  <si>
    <t>LearnExcelBooks.com</t>
  </si>
  <si>
    <t>MyOnlineTrainingHub.com</t>
  </si>
  <si>
    <t>MySpreadsheetLab</t>
  </si>
  <si>
    <t>Vertex42</t>
  </si>
  <si>
    <t>ExcelTricks.de</t>
  </si>
  <si>
    <t>Hartville MarketPlace and Flea Market</t>
  </si>
  <si>
    <t>Lake Local School District</t>
  </si>
  <si>
    <t>Profology.com</t>
  </si>
  <si>
    <t>Serving Brevard Realty</t>
  </si>
  <si>
    <t>Bits of Confetti</t>
  </si>
  <si>
    <t>Cambia Factor</t>
  </si>
  <si>
    <t>Excelerator BI</t>
  </si>
  <si>
    <t>Fintega Financial Modelling</t>
  </si>
  <si>
    <t>New Hope Laundry</t>
  </si>
  <si>
    <t>Frontline Systems</t>
  </si>
  <si>
    <t>Juliet Babcock-Hyde CPA, PLLC</t>
  </si>
  <si>
    <t>IMA Houston Chapter</t>
  </si>
  <si>
    <t>WM Squared Inc.</t>
  </si>
  <si>
    <t>LaFrenier Sons Septic</t>
  </si>
  <si>
    <t>Training</t>
  </si>
  <si>
    <t>Associations</t>
  </si>
  <si>
    <t>CPASelfStudy.com</t>
  </si>
  <si>
    <t>Consultants</t>
  </si>
  <si>
    <t>Software</t>
  </si>
  <si>
    <t>Professional</t>
  </si>
  <si>
    <t>Sum of Profit</t>
  </si>
  <si>
    <t xml:space="preserve">Revenue </t>
  </si>
  <si>
    <t>Anne Troy</t>
  </si>
  <si>
    <t>Jade Miller</t>
  </si>
  <si>
    <t>Jeffrey P. Coulson</t>
  </si>
  <si>
    <t>John Cockerill</t>
  </si>
  <si>
    <t>John Durran</t>
  </si>
  <si>
    <t>Larry Vance</t>
  </si>
  <si>
    <t>Michael Karpfen</t>
  </si>
  <si>
    <t>Mike Mann</t>
  </si>
  <si>
    <t>Richard Oldcorn</t>
  </si>
  <si>
    <t>Ryan Wilson</t>
  </si>
  <si>
    <t>Sabine Hanschitz</t>
  </si>
  <si>
    <t>Todd A Lesko</t>
  </si>
  <si>
    <t>Total</t>
  </si>
  <si>
    <t>Average</t>
  </si>
  <si>
    <t># of Orders</t>
  </si>
  <si>
    <t>% of Anne</t>
  </si>
  <si>
    <t>RunTotal</t>
  </si>
  <si>
    <t>% RunTot</t>
  </si>
  <si>
    <t>The Subtotals Menu Removes All Subtotals</t>
  </si>
  <si>
    <t>Sum of Cost</t>
  </si>
  <si>
    <t>Associations Total</t>
  </si>
  <si>
    <t>Consultants Total</t>
  </si>
  <si>
    <t>Professional Total</t>
  </si>
  <si>
    <t>Retail Total</t>
  </si>
  <si>
    <t>Software Total</t>
  </si>
  <si>
    <t>Training Total</t>
  </si>
  <si>
    <t>Sample files for Microsoft Excel 2019 Pivot Table Data Crunching</t>
  </si>
  <si>
    <t>ISBN 978-1-5093--0724-1</t>
  </si>
  <si>
    <t>Figures 3.1 through 3.23 use the data on the "Data" worksheet and the pivot table on "Fig 1 to 23"</t>
  </si>
  <si>
    <t>The MoreData worksheet is used as the data source for Figures 24 to 34, but the pivot tables are:</t>
  </si>
  <si>
    <t>Figures 3.24 through 3.29 are on the "Fig 24 to 29" worksheet.</t>
  </si>
  <si>
    <t>Figure 3.30 is on the "Fig30" worksheet.</t>
  </si>
  <si>
    <t>Figure 3.31 is on the Index worksheet.</t>
  </si>
  <si>
    <t>Chicago Total</t>
  </si>
  <si>
    <t>Cincinnati Total</t>
  </si>
  <si>
    <t>Detroit Total</t>
  </si>
  <si>
    <t>Louisville Total</t>
  </si>
  <si>
    <t>Minneapolis Total</t>
  </si>
  <si>
    <t>New York Total</t>
  </si>
  <si>
    <t>Arkla Total</t>
  </si>
  <si>
    <t>Atlanta Total</t>
  </si>
  <si>
    <t>Charlotte Total</t>
  </si>
  <si>
    <t>Houston Total</t>
  </si>
  <si>
    <t>NoCal Total</t>
  </si>
  <si>
    <t>SoCal Total</t>
  </si>
  <si>
    <t>All Subtotals Set to Automatic</t>
  </si>
  <si>
    <t>Design, Subtotals, Do Not Show Subtotals Removes All Subtotals</t>
  </si>
  <si>
    <t>Use Field Settings from Market Heading to Turn Off only Market Subtotals</t>
  </si>
  <si>
    <t>Figure 3.32 through 3.33 are on the Subtotals worksheet</t>
  </si>
  <si>
    <t>Figure 3-34 is on the Multiple worksheet</t>
  </si>
  <si>
    <t>Formatting one cell is on 35 to 37</t>
  </si>
  <si>
    <t>The Excel team fixed the count of revenue bug.</t>
  </si>
  <si>
    <t>This is discussed after Figure 3-22, but it is not shown in the book</t>
  </si>
  <si>
    <t>Previous Editions of the Book ranted about the tie logic.</t>
  </si>
  <si>
    <t>Total Profit</t>
  </si>
  <si>
    <t>Total Cost</t>
  </si>
  <si>
    <t>Values</t>
  </si>
  <si>
    <t>Used Wood Type Theme - this changes all sheets</t>
  </si>
  <si>
    <t>Running Total</t>
  </si>
  <si>
    <t>% Running Total</t>
  </si>
  <si>
    <t>Change from Previous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</si>
</sst>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7" x14ac:knownFonts="1">
    <font>
      <sz val="11"/>
      <color theme="1"/>
      <name val="Rockwell"/>
      <family val="2"/>
      <scheme val="minor"/>
    </font>
    <font>
      <b/>
      <sz val="11"/>
      <color theme="3"/>
      <name val="Rockwell"/>
      <family val="2"/>
      <scheme val="minor"/>
    </font>
    <font>
      <b/>
      <sz val="11"/>
      <color theme="1"/>
      <name val="Rockwell"/>
      <family val="2"/>
      <scheme val="minor"/>
    </font>
    <font>
      <b/>
      <sz val="10"/>
      <name val="Arial"/>
      <family val="2"/>
    </font>
    <font>
      <sz val="10"/>
      <name val="Arial"/>
      <family val="2"/>
    </font>
    <font>
      <sz val="18"/>
      <color theme="3"/>
      <name val="Rockwell Condensed"/>
      <family val="2"/>
      <scheme val="major"/>
    </font>
    <font>
      <sz val="11"/>
      <color theme="0"/>
      <name val="Rockwell"/>
      <family val="2"/>
      <scheme val="minor"/>
    </font>
  </fonts>
  <fills count="5">
    <fill>
      <patternFill patternType="none"/>
    </fill>
    <fill>
      <patternFill patternType="gray125"/>
    </fill>
    <fill>
      <patternFill patternType="solid">
        <fgColor theme="0"/>
        <bgColor indexed="64"/>
      </patternFill>
    </fill>
    <fill>
      <patternFill patternType="solid">
        <fgColor rgb="FF7030A0"/>
        <bgColor indexed="64"/>
      </patternFill>
    </fill>
    <fill>
      <patternFill patternType="solid">
        <fgColor theme="4" tint="0.59996337778862885"/>
        <bgColor indexed="64"/>
      </patternFill>
    </fill>
  </fills>
  <borders count="2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right/>
      <top style="thin">
        <color rgb="FFABABAB"/>
      </top>
      <bottom/>
      <diagonal/>
    </border>
    <border>
      <left style="thin">
        <color rgb="FFABABAB"/>
      </left>
      <right/>
      <top/>
      <bottom/>
      <diagonal/>
    </border>
    <border>
      <left style="thin">
        <color rgb="FFABABAB"/>
      </left>
      <right/>
      <top style="thin">
        <color rgb="FFABABAB"/>
      </top>
      <bottom style="thin">
        <color rgb="FFABABAB"/>
      </bottom>
      <diagonal/>
    </border>
    <border>
      <left/>
      <right/>
      <top style="thin">
        <color rgb="FFABABAB"/>
      </top>
      <bottom style="thin">
        <color rgb="FFABABAB"/>
      </bottom>
      <diagonal/>
    </border>
    <border>
      <left/>
      <right style="thin">
        <color rgb="FFABABAB"/>
      </right>
      <top style="thin">
        <color rgb="FFABABAB"/>
      </top>
      <bottom/>
      <diagonal/>
    </border>
    <border>
      <left/>
      <right style="thin">
        <color rgb="FFABABAB"/>
      </right>
      <top/>
      <bottom/>
      <diagonal/>
    </border>
    <border>
      <left/>
      <right style="thin">
        <color rgb="FFABABAB"/>
      </right>
      <top style="thin">
        <color rgb="FFABABAB"/>
      </top>
      <bottom style="thin">
        <color rgb="FFABABAB"/>
      </bottom>
      <diagonal/>
    </border>
    <border>
      <left style="thin">
        <color rgb="FFABABAB"/>
      </left>
      <right/>
      <top style="thin">
        <color indexed="65"/>
      </top>
      <bottom/>
      <diagonal/>
    </border>
    <border>
      <left style="thin">
        <color indexed="65"/>
      </left>
      <right/>
      <top style="thin">
        <color rgb="FFABABAB"/>
      </top>
      <bottom style="thin">
        <color rgb="FFABABAB"/>
      </bottom>
      <diagonal/>
    </border>
    <border>
      <left style="thin">
        <color rgb="FF999999"/>
      </left>
      <right/>
      <top style="thin">
        <color rgb="FF999999"/>
      </top>
      <bottom/>
      <diagonal/>
    </border>
    <border>
      <left style="thin">
        <color rgb="FF999999"/>
      </left>
      <right/>
      <top/>
      <bottom/>
      <diagonal/>
    </border>
    <border>
      <left style="thin">
        <color indexed="65"/>
      </left>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style="thin">
        <color indexed="65"/>
      </left>
      <right style="thin">
        <color rgb="FF999999"/>
      </right>
      <top style="thin">
        <color rgb="FF999999"/>
      </top>
      <bottom/>
      <diagonal/>
    </border>
    <border>
      <left/>
      <right/>
      <top style="thin">
        <color rgb="FF999999"/>
      </top>
      <bottom/>
      <diagonal/>
    </border>
    <border>
      <left/>
      <right/>
      <top style="thin">
        <color rgb="FF999999"/>
      </top>
      <bottom style="thin">
        <color rgb="FF999999"/>
      </bottom>
      <diagonal/>
    </border>
  </borders>
  <cellStyleXfs count="3">
    <xf numFmtId="0" fontId="0" fillId="0" borderId="0"/>
    <xf numFmtId="0" fontId="1" fillId="0" borderId="0" applyNumberFormat="0" applyFill="0" applyBorder="0" applyAlignment="0" applyProtection="0"/>
    <xf numFmtId="0" fontId="5" fillId="0" borderId="0" applyNumberFormat="0" applyFill="0" applyBorder="0" applyAlignment="0" applyProtection="0"/>
  </cellStyleXfs>
  <cellXfs count="56">
    <xf numFmtId="0" fontId="0" fillId="0" borderId="0" xfId="0"/>
    <xf numFmtId="0" fontId="3" fillId="0" borderId="0" xfId="0" applyFont="1"/>
    <xf numFmtId="0" fontId="3" fillId="0" borderId="0" xfId="0" applyFont="1" applyAlignment="1">
      <alignment horizontal="right"/>
    </xf>
    <xf numFmtId="0" fontId="4" fillId="0" borderId="0" xfId="0" applyFont="1"/>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1" fillId="0" borderId="0" xfId="1"/>
    <xf numFmtId="0" fontId="0" fillId="0" borderId="0" xfId="0" applyAlignment="1">
      <alignment horizontal="right"/>
    </xf>
    <xf numFmtId="10" fontId="0" fillId="0" borderId="0" xfId="0" applyNumberFormat="1"/>
    <xf numFmtId="0" fontId="0" fillId="0" borderId="1" xfId="0" applyBorder="1" applyAlignment="1">
      <alignment horizontal="centerContinuous"/>
    </xf>
    <xf numFmtId="0" fontId="0" fillId="0" borderId="2" xfId="0" applyBorder="1" applyAlignment="1">
      <alignment horizontal="centerContinuous"/>
    </xf>
    <xf numFmtId="0" fontId="0" fillId="0" borderId="3" xfId="0" applyBorder="1" applyAlignment="1">
      <alignment horizontal="centerContinuous"/>
    </xf>
    <xf numFmtId="2" fontId="0" fillId="0" borderId="0" xfId="0" applyNumberFormat="1"/>
    <xf numFmtId="0" fontId="0" fillId="0" borderId="0" xfId="0" quotePrefix="1"/>
    <xf numFmtId="0" fontId="0" fillId="2" borderId="0" xfId="0" applyFill="1"/>
    <xf numFmtId="2" fontId="2" fillId="0" borderId="0" xfId="0" applyNumberFormat="1" applyFont="1"/>
    <xf numFmtId="0" fontId="5" fillId="0" borderId="0" xfId="2"/>
    <xf numFmtId="3" fontId="0" fillId="0" borderId="0" xfId="0" applyNumberFormat="1"/>
    <xf numFmtId="0" fontId="0" fillId="0" borderId="4" xfId="0" pivotButton="1" applyBorder="1"/>
    <xf numFmtId="0" fontId="0" fillId="0" borderId="5" xfId="0" applyBorder="1"/>
    <xf numFmtId="0" fontId="0" fillId="0" borderId="4" xfId="0" applyBorder="1"/>
    <xf numFmtId="0" fontId="0" fillId="0" borderId="6" xfId="0" applyBorder="1"/>
    <xf numFmtId="164" fontId="0" fillId="0" borderId="4" xfId="0" applyNumberFormat="1" applyBorder="1"/>
    <xf numFmtId="0" fontId="0" fillId="0" borderId="7" xfId="0" applyBorder="1"/>
    <xf numFmtId="164" fontId="0" fillId="0" borderId="7" xfId="0" applyNumberFormat="1" applyBorder="1"/>
    <xf numFmtId="0" fontId="0" fillId="0" borderId="8" xfId="0" applyBorder="1"/>
    <xf numFmtId="164" fontId="0" fillId="0" borderId="8" xfId="0" applyNumberFormat="1" applyBorder="1"/>
    <xf numFmtId="0" fontId="0" fillId="0" borderId="10" xfId="0" applyBorder="1"/>
    <xf numFmtId="3" fontId="0" fillId="0" borderId="6" xfId="0" applyNumberFormat="1" applyBorder="1"/>
    <xf numFmtId="3" fontId="0" fillId="0" borderId="10" xfId="0" applyNumberFormat="1" applyBorder="1"/>
    <xf numFmtId="3" fontId="0" fillId="0" borderId="11" xfId="0" applyNumberFormat="1" applyBorder="1"/>
    <xf numFmtId="3" fontId="0" fillId="0" borderId="9" xfId="0" applyNumberFormat="1" applyBorder="1"/>
    <xf numFmtId="3" fontId="0" fillId="0" borderId="12" xfId="0" applyNumberFormat="1" applyBorder="1"/>
    <xf numFmtId="0" fontId="0" fillId="0" borderId="13" xfId="0" applyBorder="1"/>
    <xf numFmtId="0" fontId="0" fillId="0" borderId="14" xfId="0" applyBorder="1"/>
    <xf numFmtId="0" fontId="0" fillId="0" borderId="15" xfId="0" pivotButton="1" applyBorder="1"/>
    <xf numFmtId="0" fontId="0" fillId="0" borderId="15" xfId="0" applyBorder="1"/>
    <xf numFmtId="164" fontId="0" fillId="0" borderId="15" xfId="0" applyNumberFormat="1" applyBorder="1"/>
    <xf numFmtId="0" fontId="0" fillId="0" borderId="16" xfId="0" applyBorder="1"/>
    <xf numFmtId="164" fontId="0" fillId="0" borderId="16" xfId="0" applyNumberFormat="1" applyBorder="1"/>
    <xf numFmtId="0" fontId="0" fillId="0" borderId="17" xfId="0" applyBorder="1"/>
    <xf numFmtId="0" fontId="0" fillId="0" borderId="18" xfId="0" applyBorder="1"/>
    <xf numFmtId="164" fontId="0" fillId="0" borderId="18" xfId="0" applyNumberFormat="1" applyBorder="1"/>
    <xf numFmtId="0" fontId="0" fillId="0" borderId="19" xfId="0" applyBorder="1"/>
    <xf numFmtId="164" fontId="0" fillId="0" borderId="19" xfId="0" applyNumberFormat="1" applyBorder="1"/>
    <xf numFmtId="164" fontId="0" fillId="0" borderId="20" xfId="0" applyNumberFormat="1" applyBorder="1"/>
    <xf numFmtId="164" fontId="0" fillId="0" borderId="21" xfId="0" applyNumberFormat="1" applyBorder="1"/>
    <xf numFmtId="0" fontId="0" fillId="0" borderId="22" xfId="0" applyBorder="1"/>
    <xf numFmtId="0" fontId="0" fillId="0" borderId="23" xfId="0" applyBorder="1"/>
    <xf numFmtId="164" fontId="0" fillId="0" borderId="23" xfId="0" applyNumberFormat="1" applyBorder="1"/>
    <xf numFmtId="164" fontId="0" fillId="0" borderId="24" xfId="0" applyNumberFormat="1" applyBorder="1"/>
    <xf numFmtId="164" fontId="6" fillId="3" borderId="16" xfId="0" applyNumberFormat="1" applyFont="1" applyFill="1" applyBorder="1"/>
    <xf numFmtId="0" fontId="0" fillId="0" borderId="0" xfId="0" applyNumberFormat="1"/>
    <xf numFmtId="3" fontId="0" fillId="4" borderId="0" xfId="0" applyNumberFormat="1" applyFill="1"/>
  </cellXfs>
  <cellStyles count="3">
    <cellStyle name="Heading 4" xfId="1" builtinId="19"/>
    <cellStyle name="Normal" xfId="0" builtinId="0"/>
    <cellStyle name="Title" xfId="2" builtinId="15"/>
  </cellStyles>
  <dxfs count="151">
    <dxf>
      <fill>
        <patternFill patternType="solid">
          <bgColor theme="4" tint="0.59996337778862885"/>
        </patternFill>
      </fill>
    </dxf>
    <dxf>
      <numFmt numFmtId="3" formatCode="#,##0"/>
    </dxf>
    <dxf>
      <numFmt numFmtId="14" formatCode="0.00%"/>
    </dxf>
    <dxf>
      <numFmt numFmtId="3" formatCode="#,##0"/>
    </dxf>
    <dxf>
      <numFmt numFmtId="14" formatCode="0.00%"/>
    </dxf>
    <dxf>
      <numFmt numFmtId="14" formatCode="0.00%"/>
    </dxf>
    <dxf>
      <numFmt numFmtId="3" formatCode="#,##0"/>
    </dxf>
    <dxf>
      <numFmt numFmtId="3" formatCode="#,##0"/>
    </dxf>
    <dxf>
      <numFmt numFmtId="164" formatCode="&quot;$&quot;#,##0"/>
    </dxf>
    <dxf>
      <numFmt numFmtId="164" formatCode="&quot;$&quot;#,##0"/>
    </dxf>
    <dxf>
      <numFmt numFmtId="14" formatCode="0.00%"/>
    </dxf>
    <dxf>
      <numFmt numFmtId="14" formatCode="0.0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4" formatCode="0.0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4" formatCode="0.00%"/>
    </dxf>
    <dxf>
      <numFmt numFmtId="14" formatCode="0.00%"/>
    </dxf>
    <dxf>
      <numFmt numFmtId="14" formatCode="0.00%"/>
    </dxf>
    <dxf>
      <numFmt numFmtId="164" formatCode="&quot;$&quot;#,##0"/>
    </dxf>
    <dxf>
      <numFmt numFmtId="164" formatCode="&quot;$&quot;#,##0"/>
    </dxf>
    <dxf>
      <numFmt numFmtId="14" formatCode="0.00%"/>
    </dxf>
    <dxf>
      <numFmt numFmtId="164" formatCode="&quot;$&quot;#,##0"/>
    </dxf>
    <dxf>
      <numFmt numFmtId="164" formatCode="&quot;$&quot;#,##0"/>
    </dxf>
    <dxf>
      <numFmt numFmtId="14" formatCode="0.00%"/>
    </dxf>
    <dxf>
      <numFmt numFmtId="164" formatCode="&quot;$&quot;#,##0"/>
    </dxf>
    <dxf>
      <numFmt numFmtId="164" formatCode="&quot;$&quot;#,##0"/>
    </dxf>
    <dxf>
      <numFmt numFmtId="14" formatCode="0.00%"/>
    </dxf>
    <dxf>
      <numFmt numFmtId="14" formatCode="0.0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3" formatCode="#,##0"/>
    </dxf>
    <dxf>
      <numFmt numFmtId="3" formatCode="#,##0"/>
    </dxf>
    <dxf>
      <numFmt numFmtId="3" formatCode="#,##0"/>
    </dxf>
    <dxf>
      <font>
        <b val="0"/>
        <i val="0"/>
        <strike val="0"/>
        <condense val="0"/>
        <extend val="0"/>
        <outline val="0"/>
        <shadow val="0"/>
        <u val="none"/>
        <vertAlign val="baseline"/>
        <sz val="11"/>
        <color theme="1"/>
        <name val="Rockwell"/>
        <family val="2"/>
        <scheme val="minor"/>
      </font>
      <fill>
        <patternFill patternType="none">
          <fgColor indexed="64"/>
          <bgColor indexed="65"/>
        </patternFill>
      </fill>
    </dxf>
    <dxf>
      <font>
        <color theme="0"/>
      </font>
      <fill>
        <patternFill patternType="solid">
          <fgColor indexed="64"/>
          <bgColor rgb="FF7030A0"/>
        </patternFill>
      </fill>
    </dxf>
    <dxf>
      <numFmt numFmtId="164" formatCode="&quot;$&quot;#,##0"/>
    </dxf>
    <dxf>
      <numFmt numFmtId="3" formatCode="#,##0"/>
    </dxf>
    <dxf>
      <alignment horizontal="right" readingOrder="0"/>
    </dxf>
    <dxf>
      <font>
        <b/>
      </font>
    </dxf>
    <dxf>
      <alignment horizontal="right" readingOrder="0"/>
    </dxf>
    <dxf>
      <alignment horizontal="right" readingOrder="0"/>
    </dxf>
    <dxf>
      <alignment horizontal="right" readingOrder="0"/>
    </dxf>
    <dxf>
      <numFmt numFmtId="14" formatCode="0.00%"/>
    </dxf>
    <dxf>
      <alignment horizontal="right" readingOrder="0"/>
    </dxf>
    <dxf>
      <numFmt numFmtId="164" formatCode="&quot;$&quot;#,##0"/>
    </dxf>
    <dxf>
      <numFmt numFmtId="14" formatCode="0.00%"/>
    </dxf>
    <dxf>
      <alignment horizontal="right" readingOrder="0"/>
    </dxf>
    <dxf>
      <numFmt numFmtId="164" formatCode="&quot;$&quot;#,##0"/>
    </dxf>
    <dxf>
      <numFmt numFmtId="3" formatCode="#,##0"/>
    </dxf>
    <dxf>
      <border>
        <top style="thin">
          <color theme="9" tint="0.79998168889431442"/>
        </top>
        <bottom style="thin">
          <color theme="9" tint="0.79998168889431442"/>
        </bottom>
      </border>
    </dxf>
    <dxf>
      <border>
        <top style="thin">
          <color theme="9" tint="0.79998168889431442"/>
        </top>
        <bottom style="thin">
          <color theme="9" tint="0.79998168889431442"/>
        </bottom>
      </border>
    </dxf>
    <dxf>
      <fill>
        <patternFill patternType="solid">
          <fgColor theme="9" tint="0.79998168889431442"/>
          <bgColor theme="9" tint="0.79998168889431442"/>
        </patternFill>
      </fill>
      <border>
        <bottom style="thin">
          <color theme="9"/>
        </bottom>
      </border>
    </dxf>
    <dxf>
      <font>
        <color theme="0"/>
      </font>
      <fill>
        <patternFill patternType="solid">
          <fgColor theme="9" tint="0.39997558519241921"/>
          <bgColor theme="9" tint="0.39997558519241921"/>
        </patternFill>
      </fill>
      <border>
        <bottom style="thin">
          <color theme="9" tint="0.79998168889431442"/>
        </bottom>
        <horizontal style="thin">
          <color theme="9" tint="0.39997558519241921"/>
        </horizontal>
      </border>
    </dxf>
    <dxf>
      <border>
        <bottom style="thin">
          <color theme="9" tint="0.59999389629810485"/>
        </bottom>
      </border>
    </dxf>
    <dxf>
      <font>
        <b/>
        <color theme="1"/>
      </font>
      <fill>
        <patternFill patternType="solid">
          <fgColor theme="0" tint="-0.14999847407452621"/>
          <bgColor theme="0" tint="-0.14999847407452621"/>
        </patternFill>
      </fill>
    </dxf>
    <dxf>
      <font>
        <b/>
        <color theme="0"/>
      </font>
      <fill>
        <patternFill patternType="solid">
          <fgColor theme="9" tint="0.39997558519241921"/>
          <bgColor theme="9" tint="0.39997558519241921"/>
        </patternFill>
      </fill>
    </dxf>
    <dxf>
      <font>
        <b/>
        <color theme="0"/>
      </font>
    </dxf>
    <dxf>
      <border>
        <left style="thin">
          <color theme="9" tint="-0.249977111117893"/>
        </left>
        <right style="thin">
          <color theme="9" tint="-0.249977111117893"/>
        </right>
      </border>
    </dxf>
    <dxf>
      <border>
        <top style="thin">
          <color theme="9" tint="-0.249977111117893"/>
        </top>
        <bottom style="thin">
          <color theme="9" tint="-0.249977111117893"/>
        </bottom>
        <horizontal style="thin">
          <color theme="9" tint="-0.249977111117893"/>
        </horizontal>
      </border>
    </dxf>
    <dxf>
      <font>
        <b/>
        <color theme="1"/>
      </font>
      <border>
        <top style="double">
          <color theme="9" tint="-0.249977111117893"/>
        </top>
      </border>
    </dxf>
    <dxf>
      <font>
        <color theme="0"/>
      </font>
      <fill>
        <patternFill patternType="solid">
          <fgColor theme="9" tint="-0.249977111117893"/>
          <bgColor theme="9" tint="-0.249977111117893"/>
        </patternFill>
      </fill>
      <border>
        <horizontal style="thin">
          <color theme="9" tint="-0.249977111117893"/>
        </horizontal>
      </border>
    </dxf>
    <dxf>
      <font>
        <color theme="1"/>
      </font>
      <border>
        <horizontal style="thin">
          <color theme="9" tint="0.79998168889431442"/>
        </horizontal>
      </border>
    </dxf>
    <dxf>
      <font>
        <color theme="0"/>
      </font>
      <fill>
        <patternFill patternType="solid">
          <fgColor theme="4" tint="-0.499984740745262"/>
          <bgColor theme="4" tint="-0.499984740745262"/>
        </patternFill>
      </fill>
      <border>
        <horizontal style="thin">
          <color theme="4" tint="-0.499984740745262"/>
        </horizontal>
      </border>
    </dxf>
    <dxf>
      <font>
        <b/>
        <color theme="0"/>
      </font>
      <fill>
        <patternFill patternType="solid">
          <fgColor theme="4" tint="-0.499984740745262"/>
          <bgColor theme="4" tint="-0.499984740745262"/>
        </patternFill>
      </fill>
      <border>
        <horizontal style="thin">
          <color theme="4" tint="-0.499984740745262"/>
        </horizontal>
      </border>
    </dxf>
    <dxf>
      <font>
        <b/>
        <color theme="1"/>
      </font>
    </dxf>
    <dxf>
      <font>
        <b/>
        <color theme="1"/>
      </font>
      <fill>
        <patternFill patternType="solid">
          <fgColor theme="4" tint="0.79998168889431442"/>
          <bgColor theme="4" tint="0.79998168889431442"/>
        </patternFill>
      </fill>
      <border>
        <top style="thin">
          <color theme="4" tint="0.39997558519241921"/>
        </top>
        <bottom style="thin">
          <color theme="4" tint="0.39997558519241921"/>
        </bottom>
      </border>
    </dxf>
    <dxf>
      <font>
        <b/>
        <color theme="1"/>
      </font>
      <border>
        <bottom style="thin">
          <color theme="4" tint="0.79998168889431442"/>
        </bottom>
      </border>
    </dxf>
    <dxf>
      <border>
        <left style="thin">
          <color theme="4" tint="0.79998168889431442"/>
        </left>
        <right style="thin">
          <color theme="4" tint="0.79998168889431442"/>
        </right>
      </border>
    </dxf>
    <dxf>
      <fill>
        <patternFill patternType="solid">
          <fgColor theme="4" tint="0.39994506668294322"/>
          <bgColor theme="0"/>
        </patternFill>
      </fill>
    </dxf>
    <dxf>
      <fill>
        <patternFill>
          <bgColor rgb="FFC8E1CC"/>
        </patternFill>
      </fill>
    </dxf>
    <dxf>
      <font>
        <b/>
        <color theme="0"/>
      </font>
      <fill>
        <patternFill patternType="solid">
          <fgColor theme="4" tint="-0.499984740745262"/>
          <bgColor rgb="FF00B050"/>
        </patternFill>
      </fill>
    </dxf>
    <dxf>
      <font>
        <b/>
        <color theme="0"/>
      </font>
      <fill>
        <patternFill patternType="solid">
          <fgColor theme="4" tint="-0.499984740745262"/>
          <bgColor rgb="FF00B050"/>
        </patternFill>
      </fill>
      <border>
        <bottom style="thin">
          <color theme="4"/>
        </bottom>
        <horizontal style="thin">
          <color theme="4" tint="-0.499984740745262"/>
        </horizontal>
      </border>
    </dxf>
    <dxf>
      <font>
        <color theme="1"/>
      </font>
      <fill>
        <patternFill patternType="solid">
          <fgColor theme="4" tint="0.59999389629810485"/>
          <bgColor theme="4" tint="0.59999389629810485"/>
        </patternFill>
      </fill>
      <border>
        <horizontal style="thin">
          <color theme="4" tint="0.79998168889431442"/>
        </horizontal>
      </border>
    </dxf>
  </dxfs>
  <tableStyles count="2" defaultTableStyle="TableStyleMedium2" defaultPivotStyle="PivotStyleLight16">
    <tableStyle name="Greenbar" table="0" count="11" xr9:uid="{00000000-0011-0000-FFFF-FFFF00000000}">
      <tableStyleElement type="wholeTable" dxfId="150"/>
      <tableStyleElement type="headerRow" dxfId="149"/>
      <tableStyleElement type="totalRow" dxfId="148"/>
      <tableStyleElement type="firstRowStripe" size="3" dxfId="147"/>
      <tableStyleElement type="secondRowStripe" size="3" dxfId="146"/>
      <tableStyleElement type="secondColumnStripe" dxfId="145"/>
      <tableStyleElement type="firstSubtotalRow" dxfId="144"/>
      <tableStyleElement type="firstRowSubheading" dxfId="143"/>
      <tableStyleElement type="secondRowSubheading" dxfId="142"/>
      <tableStyleElement type="pageFieldLabels" dxfId="141"/>
      <tableStyleElement type="pageFieldValues" dxfId="140"/>
    </tableStyle>
    <tableStyle name="GreenBar " table="0" count="14" xr9:uid="{00000000-0011-0000-FFFF-FFFF01000000}">
      <tableStyleElement type="wholeTable" dxfId="139"/>
      <tableStyleElement type="headerRow" dxfId="138"/>
      <tableStyleElement type="totalRow" dxfId="137"/>
      <tableStyleElement type="firstRowStripe" size="3" dxfId="136"/>
      <tableStyleElement type="secondRowStripe" size="3"/>
      <tableStyleElement type="firstColumnStripe" dxfId="135"/>
      <tableStyleElement type="firstHeaderCell" dxfId="134"/>
      <tableStyleElement type="firstSubtotalRow" dxfId="133"/>
      <tableStyleElement type="secondSubtotalRow" dxfId="132"/>
      <tableStyleElement type="firstColumnSubheading" dxfId="131"/>
      <tableStyleElement type="firstRowSubheading" dxfId="130"/>
      <tableStyleElement type="secondRowSubheading" dxfId="129"/>
      <tableStyleElement type="pageFieldLabels" dxfId="128"/>
      <tableStyleElement type="pageFieldValues" dxfId="127"/>
    </tableStyle>
  </tableStyles>
  <colors>
    <mruColors>
      <color rgb="FFC8E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401955</xdr:colOff>
      <xdr:row>11</xdr:row>
      <xdr:rowOff>139803</xdr:rowOff>
    </xdr:to>
    <xdr:pic>
      <xdr:nvPicPr>
        <xdr:cNvPr id="4" name="Picture 3">
          <a:extLst>
            <a:ext uri="{FF2B5EF4-FFF2-40B4-BE49-F238E27FC236}">
              <a16:creationId xmlns:a16="http://schemas.microsoft.com/office/drawing/2014/main" id="{8F4F878F-C947-4236-98F6-8AF8C74A85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43075" cy="2151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447675</xdr:colOff>
      <xdr:row>3</xdr:row>
      <xdr:rowOff>0</xdr:rowOff>
    </xdr:from>
    <xdr:to>
      <xdr:col>4</xdr:col>
      <xdr:colOff>76200</xdr:colOff>
      <xdr:row>4</xdr:row>
      <xdr:rowOff>0</xdr:rowOff>
    </xdr:to>
    <xdr:sp macro="" textlink="">
      <xdr:nvSpPr>
        <xdr:cNvPr id="2" name="Oval 1">
          <a:extLst>
            <a:ext uri="{FF2B5EF4-FFF2-40B4-BE49-F238E27FC236}">
              <a16:creationId xmlns:a16="http://schemas.microsoft.com/office/drawing/2014/main" id="{00000000-0008-0000-0700-000002000000}"/>
            </a:ext>
          </a:extLst>
        </xdr:cNvPr>
        <xdr:cNvSpPr/>
      </xdr:nvSpPr>
      <xdr:spPr>
        <a:xfrm>
          <a:off x="3343275" y="571500"/>
          <a:ext cx="628650" cy="19050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428625</xdr:colOff>
      <xdr:row>2</xdr:row>
      <xdr:rowOff>180975</xdr:rowOff>
    </xdr:from>
    <xdr:to>
      <xdr:col>3</xdr:col>
      <xdr:colOff>28575</xdr:colOff>
      <xdr:row>4</xdr:row>
      <xdr:rowOff>9525</xdr:rowOff>
    </xdr:to>
    <xdr:sp macro="" textlink="">
      <xdr:nvSpPr>
        <xdr:cNvPr id="3" name="Oval 2">
          <a:extLst>
            <a:ext uri="{FF2B5EF4-FFF2-40B4-BE49-F238E27FC236}">
              <a16:creationId xmlns:a16="http://schemas.microsoft.com/office/drawing/2014/main" id="{00000000-0008-0000-0700-000003000000}"/>
            </a:ext>
          </a:extLst>
        </xdr:cNvPr>
        <xdr:cNvSpPr/>
      </xdr:nvSpPr>
      <xdr:spPr>
        <a:xfrm>
          <a:off x="2286000" y="561975"/>
          <a:ext cx="638175" cy="20955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342900</xdr:colOff>
      <xdr:row>7</xdr:row>
      <xdr:rowOff>161924</xdr:rowOff>
    </xdr:from>
    <xdr:to>
      <xdr:col>3</xdr:col>
      <xdr:colOff>57150</xdr:colOff>
      <xdr:row>9</xdr:row>
      <xdr:rowOff>38099</xdr:rowOff>
    </xdr:to>
    <xdr:sp macro="" textlink="">
      <xdr:nvSpPr>
        <xdr:cNvPr id="4" name="Oval 3">
          <a:extLst>
            <a:ext uri="{FF2B5EF4-FFF2-40B4-BE49-F238E27FC236}">
              <a16:creationId xmlns:a16="http://schemas.microsoft.com/office/drawing/2014/main" id="{00000000-0008-0000-0700-000004000000}"/>
            </a:ext>
          </a:extLst>
        </xdr:cNvPr>
        <xdr:cNvSpPr/>
      </xdr:nvSpPr>
      <xdr:spPr>
        <a:xfrm>
          <a:off x="2200275" y="1495424"/>
          <a:ext cx="75247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985178</xdr:colOff>
      <xdr:row>3</xdr:row>
      <xdr:rowOff>162602</xdr:rowOff>
    </xdr:from>
    <xdr:to>
      <xdr:col>3</xdr:col>
      <xdr:colOff>539739</xdr:colOff>
      <xdr:row>8</xdr:row>
      <xdr:rowOff>9086</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2" idx="3"/>
          <a:endCxn id="4" idx="7"/>
        </xdr:cNvCxnSpPr>
      </xdr:nvCxnSpPr>
      <xdr:spPr>
        <a:xfrm flipH="1">
          <a:off x="2842553" y="734102"/>
          <a:ext cx="592786" cy="798984"/>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3</xdr:row>
      <xdr:rowOff>95250</xdr:rowOff>
    </xdr:from>
    <xdr:to>
      <xdr:col>3</xdr:col>
      <xdr:colOff>447675</xdr:colOff>
      <xdr:row>3</xdr:row>
      <xdr:rowOff>95250</xdr:rowOff>
    </xdr:to>
    <xdr:cxnSp macro="">
      <xdr:nvCxnSpPr>
        <xdr:cNvPr id="7" name="Straight Arrow Connector 6">
          <a:extLst>
            <a:ext uri="{FF2B5EF4-FFF2-40B4-BE49-F238E27FC236}">
              <a16:creationId xmlns:a16="http://schemas.microsoft.com/office/drawing/2014/main" id="{00000000-0008-0000-0700-000007000000}"/>
            </a:ext>
          </a:extLst>
        </xdr:cNvPr>
        <xdr:cNvCxnSpPr>
          <a:stCxn id="2" idx="2"/>
          <a:endCxn id="3" idx="6"/>
        </xdr:cNvCxnSpPr>
      </xdr:nvCxnSpPr>
      <xdr:spPr>
        <a:xfrm flipH="1">
          <a:off x="2924175" y="666750"/>
          <a:ext cx="4191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428625</xdr:colOff>
      <xdr:row>9</xdr:row>
      <xdr:rowOff>180975</xdr:rowOff>
    </xdr:from>
    <xdr:to>
      <xdr:col>4</xdr:col>
      <xdr:colOff>57150</xdr:colOff>
      <xdr:row>10</xdr:row>
      <xdr:rowOff>180975</xdr:rowOff>
    </xdr:to>
    <xdr:sp macro="" textlink="">
      <xdr:nvSpPr>
        <xdr:cNvPr id="12" name="Oval 11">
          <a:extLst>
            <a:ext uri="{FF2B5EF4-FFF2-40B4-BE49-F238E27FC236}">
              <a16:creationId xmlns:a16="http://schemas.microsoft.com/office/drawing/2014/main" id="{00000000-0008-0000-0700-00000C000000}"/>
            </a:ext>
          </a:extLst>
        </xdr:cNvPr>
        <xdr:cNvSpPr/>
      </xdr:nvSpPr>
      <xdr:spPr>
        <a:xfrm>
          <a:off x="3324225" y="1895475"/>
          <a:ext cx="628650" cy="19050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342901</xdr:colOff>
      <xdr:row>9</xdr:row>
      <xdr:rowOff>171449</xdr:rowOff>
    </xdr:from>
    <xdr:to>
      <xdr:col>3</xdr:col>
      <xdr:colOff>9526</xdr:colOff>
      <xdr:row>11</xdr:row>
      <xdr:rowOff>66674</xdr:rowOff>
    </xdr:to>
    <xdr:sp macro="" textlink="">
      <xdr:nvSpPr>
        <xdr:cNvPr id="13" name="Oval 12">
          <a:extLst>
            <a:ext uri="{FF2B5EF4-FFF2-40B4-BE49-F238E27FC236}">
              <a16:creationId xmlns:a16="http://schemas.microsoft.com/office/drawing/2014/main" id="{00000000-0008-0000-0700-00000D000000}"/>
            </a:ext>
          </a:extLst>
        </xdr:cNvPr>
        <xdr:cNvSpPr/>
      </xdr:nvSpPr>
      <xdr:spPr>
        <a:xfrm>
          <a:off x="2200276" y="1885949"/>
          <a:ext cx="704850" cy="27622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333375</xdr:colOff>
      <xdr:row>18</xdr:row>
      <xdr:rowOff>161924</xdr:rowOff>
    </xdr:from>
    <xdr:to>
      <xdr:col>3</xdr:col>
      <xdr:colOff>47625</xdr:colOff>
      <xdr:row>20</xdr:row>
      <xdr:rowOff>38099</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190750" y="3590924"/>
          <a:ext cx="75247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975653</xdr:colOff>
      <xdr:row>10</xdr:row>
      <xdr:rowOff>153077</xdr:rowOff>
    </xdr:from>
    <xdr:to>
      <xdr:col>3</xdr:col>
      <xdr:colOff>520689</xdr:colOff>
      <xdr:row>19</xdr:row>
      <xdr:rowOff>9086</xdr:rowOff>
    </xdr:to>
    <xdr:cxnSp macro="">
      <xdr:nvCxnSpPr>
        <xdr:cNvPr id="15" name="Straight Arrow Connector 14">
          <a:extLst>
            <a:ext uri="{FF2B5EF4-FFF2-40B4-BE49-F238E27FC236}">
              <a16:creationId xmlns:a16="http://schemas.microsoft.com/office/drawing/2014/main" id="{00000000-0008-0000-0700-00000F000000}"/>
            </a:ext>
          </a:extLst>
        </xdr:cNvPr>
        <xdr:cNvCxnSpPr>
          <a:stCxn id="12" idx="3"/>
          <a:endCxn id="14" idx="7"/>
        </xdr:cNvCxnSpPr>
      </xdr:nvCxnSpPr>
      <xdr:spPr>
        <a:xfrm flipH="1">
          <a:off x="2833028" y="2058077"/>
          <a:ext cx="583261" cy="1570509"/>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9526</xdr:colOff>
      <xdr:row>10</xdr:row>
      <xdr:rowOff>85725</xdr:rowOff>
    </xdr:from>
    <xdr:to>
      <xdr:col>3</xdr:col>
      <xdr:colOff>428625</xdr:colOff>
      <xdr:row>10</xdr:row>
      <xdr:rowOff>119062</xdr:rowOff>
    </xdr:to>
    <xdr:cxnSp macro="">
      <xdr:nvCxnSpPr>
        <xdr:cNvPr id="16" name="Straight Arrow Connector 15">
          <a:extLst>
            <a:ext uri="{FF2B5EF4-FFF2-40B4-BE49-F238E27FC236}">
              <a16:creationId xmlns:a16="http://schemas.microsoft.com/office/drawing/2014/main" id="{00000000-0008-0000-0700-000010000000}"/>
            </a:ext>
          </a:extLst>
        </xdr:cNvPr>
        <xdr:cNvCxnSpPr>
          <a:stCxn id="12" idx="2"/>
          <a:endCxn id="13" idx="6"/>
        </xdr:cNvCxnSpPr>
      </xdr:nvCxnSpPr>
      <xdr:spPr>
        <a:xfrm flipH="1">
          <a:off x="2905126" y="1990725"/>
          <a:ext cx="419099" cy="33337"/>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127000</xdr:colOff>
      <xdr:row>10</xdr:row>
      <xdr:rowOff>52386</xdr:rowOff>
    </xdr:from>
    <xdr:ext cx="2079625" cy="32143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4394200" y="1957386"/>
              <a:ext cx="207962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𝐺𝑒𝑜𝑟𝑔𝑖𝑎𝑃𝑒𝑎𝑐h</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rPr>
                          <m:t>𝐺𝑒𝑜𝑟𝑔𝑖𝑎𝑇𝑜𝑡𝑎𝑙</m:t>
                        </m:r>
                      </m:num>
                      <m:den>
                        <m:r>
                          <a:rPr lang="en-US" sz="1100" b="0" i="1">
                            <a:latin typeface="Cambria Math" panose="02040503050406030204" pitchFamily="18" charset="0"/>
                          </a:rPr>
                          <m:t>𝑃𝑒𝑎𝑐h𝑇𝑜𝑡𝑎𝑙</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rPr>
                          <m:t>𝑇𝑜𝑡𝑎𝑙</m:t>
                        </m:r>
                      </m:den>
                    </m:f>
                  </m:oMath>
                </m:oMathPara>
              </a14:m>
              <a:endParaRPr lang="en-US" sz="1100"/>
            </a:p>
          </xdr:txBody>
        </xdr:sp>
      </mc:Choice>
      <mc:Fallback xmlns="">
        <xdr:sp macro="" textlink="">
          <xdr:nvSpPr>
            <xdr:cNvPr id="4" name="TextBox 3"/>
            <xdr:cNvSpPr txBox="1"/>
          </xdr:nvSpPr>
          <xdr:spPr>
            <a:xfrm>
              <a:off x="4394200" y="1957386"/>
              <a:ext cx="2079625" cy="321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100" b="0" i="0">
                  <a:latin typeface="Cambria Math" panose="02040503050406030204" pitchFamily="18" charset="0"/>
                </a:rPr>
                <a:t>=(𝐺𝑒𝑜𝑟𝑔𝑖𝑎𝑃𝑒𝑎𝑐ℎ</a:t>
              </a:r>
              <a:r>
                <a:rPr lang="en-US" sz="1100" b="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rPr>
                <a:t>𝐺𝑒𝑜𝑟𝑔𝑖𝑎𝑇𝑜𝑡𝑎𝑙)/(𝑃𝑒𝑎𝑐ℎ𝑇𝑜𝑡𝑎𝑙</a:t>
              </a:r>
              <a:r>
                <a:rPr lang="en-US" sz="1100" b="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rPr>
                <a:t>𝑇𝑜𝑡𝑎𝑙)</a:t>
              </a:r>
              <a:endParaRPr lang="en-US" sz="11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247650</xdr:colOff>
      <xdr:row>20</xdr:row>
      <xdr:rowOff>180975</xdr:rowOff>
    </xdr:from>
    <xdr:to>
      <xdr:col>5</xdr:col>
      <xdr:colOff>565786</xdr:colOff>
      <xdr:row>26</xdr:row>
      <xdr:rowOff>17145</xdr:rowOff>
    </xdr:to>
    <mc:AlternateContent xmlns:mc="http://schemas.openxmlformats.org/markup-compatibility/2006" xmlns:a14="http://schemas.microsoft.com/office/drawing/2010/main">
      <mc:Choice Requires="a14">
        <xdr:graphicFrame macro="">
          <xdr:nvGraphicFramePr>
            <xdr:cNvPr id="2" name="Sector">
              <a:extLst>
                <a:ext uri="{FF2B5EF4-FFF2-40B4-BE49-F238E27FC236}">
                  <a16:creationId xmlns:a16="http://schemas.microsoft.com/office/drawing/2014/main" id="{FE653E84-B7AF-42AE-9799-479EEFD60493}"/>
                </a:ext>
              </a:extLst>
            </xdr:cNvPr>
            <xdr:cNvGraphicFramePr/>
          </xdr:nvGraphicFramePr>
          <xdr:xfrm>
            <a:off x="0" y="0"/>
            <a:ext cx="0" cy="0"/>
          </xdr:xfrm>
          <a:graphic>
            <a:graphicData uri="http://schemas.microsoft.com/office/drawing/2010/slicer">
              <sle:slicer xmlns:sle="http://schemas.microsoft.com/office/drawing/2010/slicer" name="Sector"/>
            </a:graphicData>
          </a:graphic>
        </xdr:graphicFrame>
      </mc:Choice>
      <mc:Fallback xmlns="">
        <xdr:sp macro="" textlink="">
          <xdr:nvSpPr>
            <xdr:cNvPr id="0" name=""/>
            <xdr:cNvSpPr>
              <a:spLocks noTextEdit="1"/>
            </xdr:cNvSpPr>
          </xdr:nvSpPr>
          <xdr:spPr>
            <a:xfrm>
              <a:off x="247650" y="4095750"/>
              <a:ext cx="4162426"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Jelen" refreshedDate="41140.403962962962" createdVersion="5" refreshedVersion="5" minRefreshableVersion="3" recordCount="12" xr:uid="{00000000-000A-0000-FFFF-FFFF0D000000}">
  <cacheSource type="worksheet">
    <worksheetSource ref="A1:B13" sheet="Tie"/>
  </cacheSource>
  <cacheFields count="2">
    <cacheField name="Code" numFmtId="0">
      <sharedItems count="12">
        <s v="A"/>
        <s v="B"/>
        <s v="C"/>
        <s v="D"/>
        <s v="E"/>
        <s v="F"/>
        <s v="G"/>
        <s v="H"/>
        <s v="I"/>
        <s v="J"/>
        <s v="K"/>
        <s v="L"/>
      </sharedItems>
    </cacheField>
    <cacheField name="Value" numFmtId="0">
      <sharedItems containsSemiMixedTypes="0" containsString="0" containsNumber="1" containsInteger="1" minValue="10" maxValue="5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Jelen" refreshedDate="41140.40913148148" createdVersion="5" refreshedVersion="5" minRefreshableVersion="3" recordCount="12" xr:uid="{00000000-000A-0000-FFFF-FFFF0E000000}">
  <cacheSource type="worksheet">
    <worksheetSource ref="R1:T13" sheet="Index"/>
  </cacheSource>
  <cacheFields count="3">
    <cacheField name="Crop" numFmtId="0">
      <sharedItems count="4">
        <s v="Apple"/>
        <s v="Banana"/>
        <s v="Kiwi"/>
        <s v="Peach"/>
      </sharedItems>
    </cacheField>
    <cacheField name="State" numFmtId="0">
      <sharedItems count="3">
        <s v="California"/>
        <s v="Georgia"/>
        <s v="Ohio"/>
      </sharedItems>
    </cacheField>
    <cacheField name="Sales" numFmtId="0">
      <sharedItems containsSemiMixedTypes="0" containsString="0" containsNumber="1" containsInteger="1" minValue="1" maxValue="2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refreshedDate="42102.252426620369" createdVersion="6" refreshedVersion="6" minRefreshableVersion="3" recordCount="563" xr:uid="{00000000-000A-0000-FFFF-FFFF0F000000}">
  <cacheSource type="worksheet">
    <worksheetSource ref="A1:I564" sheet="Data"/>
  </cacheSource>
  <cacheFields count="9">
    <cacheField name="Sector" numFmtId="0">
      <sharedItems count="6">
        <s v="Training"/>
        <s v="Software"/>
        <s v="Associations"/>
        <s v="Consultants"/>
        <s v="Retail"/>
        <s v="Professional"/>
      </sharedItems>
    </cacheField>
    <cacheField name="Region" numFmtId="0">
      <sharedItems count="4">
        <s v="Midwest"/>
        <s v="Northeast"/>
        <s v="South"/>
        <s v="West"/>
      </sharedItems>
    </cacheField>
    <cacheField name="Product" numFmtId="0">
      <sharedItems count="4">
        <s v="Gizmo"/>
        <s v="Gadget"/>
        <s v="Widget"/>
        <s v="Doodads"/>
      </sharedItems>
    </cacheField>
    <cacheField name="Date" numFmtId="14">
      <sharedItems containsSemiMixedTypes="0" containsNonDate="0" containsDate="1" containsString="0" minDate="2017-01-01T00:00:00" maxDate="2018-12-30T00:00:00"/>
    </cacheField>
    <cacheField name="Customer" numFmtId="14">
      <sharedItems count="27">
        <s v="599CD.com"/>
        <s v="F-Keys Ltd."/>
        <s v="Association for Computers &amp; Taxation"/>
        <s v="Construction Intelligence &amp; Analytics, Inc."/>
        <s v="Data2Impact"/>
        <s v="Excel4Apps"/>
        <s v="Andrew Spain Consulting"/>
        <s v="LearnExcelBooks.com"/>
        <s v="MyOnlineTrainingHub.com"/>
        <s v="MySpreadsheetLab"/>
        <s v="Vertex42"/>
        <s v="CPASelfStudy.com"/>
        <s v="ExcelTricks.de"/>
        <s v="Hartville MarketPlace and Flea Market"/>
        <s v="Lake Local School District"/>
        <s v="Profology.com"/>
        <s v="Serving Brevard Realty"/>
        <s v="Bits of Confetti"/>
        <s v="Cambia Factor"/>
        <s v="Excelerator BI"/>
        <s v="Fintega Financial Modelling"/>
        <s v="New Hope Laundry"/>
        <s v="Frontline Systems"/>
        <s v="Juliet Babcock-Hyde CPA, PLLC"/>
        <s v="IMA Houston Chapter"/>
        <s v="WM Squared Inc."/>
        <s v="LaFrenier Sons Septic"/>
      </sharedItems>
    </cacheField>
    <cacheField name="Quantity" numFmtId="0">
      <sharedItems containsSemiMixedTypes="0" containsString="0" containsNumber="1" containsInteger="1" minValue="100" maxValue="1000"/>
    </cacheField>
    <cacheField name="Revenue" numFmtId="0">
      <sharedItems containsSemiMixedTypes="0" containsString="0" containsNumber="1" containsInteger="1" minValue="1704" maxValue="25350"/>
    </cacheField>
    <cacheField name="Profit" numFmtId="0">
      <sharedItems containsSemiMixedTypes="0" containsString="0" containsNumber="1" containsInteger="1" minValue="847" maxValue="10220"/>
    </cacheField>
    <cacheField name="Cost" numFmtId="0">
      <sharedItems containsSemiMixedTypes="0" containsString="0" containsNumber="1" containsInteger="1" minValue="857" maxValue="15130"/>
    </cacheField>
  </cacheFields>
  <extLst>
    <ext xmlns:x14="http://schemas.microsoft.com/office/spreadsheetml/2009/9/main" uri="{725AE2AE-9491-48be-B2B4-4EB974FC3084}">
      <x14:pivotCacheDefinition pivotCacheId="28181826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refreshedDate="42102.790091666669" createdVersion="5" refreshedVersion="6" minRefreshableVersion="3" recordCount="563" xr:uid="{00000000-000A-0000-FFFF-FFFF10000000}">
  <cacheSource type="worksheet">
    <worksheetSource ref="A1:I564" sheet="BlankCell"/>
  </cacheSource>
  <cacheFields count="9">
    <cacheField name="Sector" numFmtId="0">
      <sharedItems/>
    </cacheField>
    <cacheField name="Region" numFmtId="0">
      <sharedItems/>
    </cacheField>
    <cacheField name="Product" numFmtId="0">
      <sharedItems count="4">
        <s v="Gizmo"/>
        <s v="Gadget"/>
        <s v="Widget"/>
        <s v="Doodads"/>
      </sharedItems>
    </cacheField>
    <cacheField name="Date" numFmtId="14">
      <sharedItems containsSemiMixedTypes="0" containsNonDate="0" containsDate="1" containsString="0" minDate="2017-01-01T00:00:00" maxDate="2018-12-30T00:00:00"/>
    </cacheField>
    <cacheField name="Customer" numFmtId="14">
      <sharedItems/>
    </cacheField>
    <cacheField name="Quantity" numFmtId="0">
      <sharedItems containsSemiMixedTypes="0" containsString="0" containsNumber="1" containsInteger="1" minValue="100" maxValue="1000"/>
    </cacheField>
    <cacheField name="Revenue" numFmtId="0">
      <sharedItems containsString="0" containsBlank="1" containsNumber="1" containsInteger="1" minValue="1704" maxValue="25350"/>
    </cacheField>
    <cacheField name="Profit" numFmtId="0">
      <sharedItems containsSemiMixedTypes="0" containsString="0" containsNumber="1" containsInteger="1" minValue="847" maxValue="10220"/>
    </cacheField>
    <cacheField name="Cost" numFmtId="0">
      <sharedItems containsSemiMixedTypes="0" containsString="0" containsNumber="1" containsInteger="1" minValue="857" maxValue="1513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refreshedDate="42102.793869907407" createdVersion="5" refreshedVersion="6" minRefreshableVersion="3" recordCount="563" xr:uid="{00000000-000A-0000-FFFF-FFFF11000000}">
  <cacheSource type="worksheet">
    <worksheetSource ref="A1:K564" sheet="MoreData"/>
  </cacheSource>
  <cacheFields count="11">
    <cacheField name="Sector" numFmtId="0">
      <sharedItems/>
    </cacheField>
    <cacheField name="Region" numFmtId="0">
      <sharedItems count="4">
        <s v="Midwest"/>
        <s v="Northeast"/>
        <s v="South"/>
        <s v="West"/>
      </sharedItems>
    </cacheField>
    <cacheField name="Market" numFmtId="0">
      <sharedItems count="12">
        <s v="Detroit"/>
        <s v="New York"/>
        <s v="Houston"/>
        <s v="Louisville"/>
        <s v="NoCal"/>
        <s v="Arkla"/>
        <s v="Atlanta"/>
        <s v="Chicago"/>
        <s v="Cincinnati"/>
        <s v="Charlotte"/>
        <s v="Minneapolis"/>
        <s v="SoCal"/>
      </sharedItems>
    </cacheField>
    <cacheField name="Rep" numFmtId="0">
      <sharedItems count="24">
        <s v="Anne Troy"/>
        <s v="Jade Miller"/>
        <s v="Jeffrey P. Coulson"/>
        <s v="John Cockerill"/>
        <s v="John Durran"/>
        <s v="Larry Vance"/>
        <s v="Michael Karpfen"/>
        <s v="Mike Mann"/>
        <s v="Richard Oldcorn"/>
        <s v="Ryan Wilson"/>
        <s v="Sabine Hanschitz"/>
        <s v="Todd A Lesko"/>
        <s v="Carl" u="1"/>
        <s v="Lottie" u="1"/>
        <s v="Sam" u="1"/>
        <s v="Scarlett" u="1"/>
        <s v="Leo" u="1"/>
        <s v="Rose" u="1"/>
        <s v="Heidi" u="1"/>
        <s v="Red" u="1"/>
        <s v="Rudi" u="1"/>
        <s v="Henry" u="1"/>
        <s v="Krys" u="1"/>
        <s v="Mike" u="1"/>
      </sharedItems>
    </cacheField>
    <cacheField name="Product" numFmtId="0">
      <sharedItems/>
    </cacheField>
    <cacheField name="Date" numFmtId="14">
      <sharedItems containsSemiMixedTypes="0" containsNonDate="0" containsDate="1" containsString="0" minDate="2017-01-01T00:00:00" maxDate="2018-12-30T00:00:00"/>
    </cacheField>
    <cacheField name="Customer" numFmtId="14">
      <sharedItems/>
    </cacheField>
    <cacheField name="Quantity" numFmtId="0">
      <sharedItems containsSemiMixedTypes="0" containsString="0" containsNumber="1" containsInteger="1" minValue="100" maxValue="1000"/>
    </cacheField>
    <cacheField name="Revenue" numFmtId="0">
      <sharedItems containsSemiMixedTypes="0" containsString="0" containsNumber="1" containsInteger="1" minValue="1704" maxValue="25350"/>
    </cacheField>
    <cacheField name="Profit" numFmtId="0">
      <sharedItems containsSemiMixedTypes="0" containsString="0" containsNumber="1" containsInteger="1" minValue="847" maxValue="10220"/>
    </cacheField>
    <cacheField name="Cost" numFmtId="0">
      <sharedItems containsSemiMixedTypes="0" containsString="0" containsNumber="1" containsInteger="1" minValue="857" maxValue="1513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refreshedDate="42102.80261053241" createdVersion="5" refreshedVersion="6" minRefreshableVersion="3" recordCount="563" xr:uid="{00000000-000A-0000-FFFF-FFFF12000000}">
  <cacheSource type="worksheet">
    <worksheetSource ref="A1:K564" sheet="MoreData"/>
  </cacheSource>
  <cacheFields count="11">
    <cacheField name="Sector" numFmtId="0">
      <sharedItems/>
    </cacheField>
    <cacheField name="Region" numFmtId="0">
      <sharedItems count="4">
        <s v="Midwest"/>
        <s v="Northeast"/>
        <s v="South"/>
        <s v="West"/>
      </sharedItems>
    </cacheField>
    <cacheField name="Market" numFmtId="0">
      <sharedItems count="12">
        <s v="Detroit"/>
        <s v="New York"/>
        <s v="Houston"/>
        <s v="Louisville"/>
        <s v="NoCal"/>
        <s v="Arkla"/>
        <s v="Atlanta"/>
        <s v="Chicago"/>
        <s v="Cincinnati"/>
        <s v="Charlotte"/>
        <s v="Minneapolis"/>
        <s v="SoCal"/>
      </sharedItems>
    </cacheField>
    <cacheField name="Rep" numFmtId="0">
      <sharedItems/>
    </cacheField>
    <cacheField name="Product" numFmtId="0">
      <sharedItems/>
    </cacheField>
    <cacheField name="Date" numFmtId="14">
      <sharedItems containsSemiMixedTypes="0" containsNonDate="0" containsDate="1" containsString="0" minDate="2017-01-01T00:00:00" maxDate="2018-12-30T00:00:00"/>
    </cacheField>
    <cacheField name="Customer" numFmtId="14">
      <sharedItems/>
    </cacheField>
    <cacheField name="Quantity" numFmtId="0">
      <sharedItems containsSemiMixedTypes="0" containsString="0" containsNumber="1" containsInteger="1" minValue="100" maxValue="1000"/>
    </cacheField>
    <cacheField name="Revenue" numFmtId="0">
      <sharedItems containsSemiMixedTypes="0" containsString="0" containsNumber="1" containsInteger="1" minValue="1704" maxValue="25350"/>
    </cacheField>
    <cacheField name="Profit" numFmtId="0">
      <sharedItems containsSemiMixedTypes="0" containsString="0" containsNumber="1" containsInteger="1" minValue="847" maxValue="10220"/>
    </cacheField>
    <cacheField name="Cost" numFmtId="0">
      <sharedItems containsSemiMixedTypes="0" containsString="0" containsNumber="1" containsInteger="1" minValue="857" maxValue="1513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x v="0"/>
    <n v="50"/>
  </r>
  <r>
    <x v="1"/>
    <n v="49"/>
  </r>
  <r>
    <x v="2"/>
    <n v="26"/>
  </r>
  <r>
    <x v="3"/>
    <n v="10"/>
  </r>
  <r>
    <x v="4"/>
    <n v="17"/>
  </r>
  <r>
    <x v="5"/>
    <n v="28"/>
  </r>
  <r>
    <x v="6"/>
    <n v="11"/>
  </r>
  <r>
    <x v="7"/>
    <n v="12"/>
  </r>
  <r>
    <x v="8"/>
    <n v="14"/>
  </r>
  <r>
    <x v="9"/>
    <n v="13"/>
  </r>
  <r>
    <x v="10"/>
    <n v="12"/>
  </r>
  <r>
    <x v="11"/>
    <n v="50"/>
  </r>
</pivotCacheRecords>
</file>

<file path=xl/pivotCache/pivotCacheRecords2.xml><?xml version="1.0" encoding="utf-8"?>
<pivotCacheRecords xmlns="http://schemas.openxmlformats.org/spreadsheetml/2006/main" xmlns:r="http://schemas.openxmlformats.org/officeDocument/2006/relationships" count="12">
  <r>
    <x v="0"/>
    <x v="0"/>
    <n v="100"/>
  </r>
  <r>
    <x v="0"/>
    <x v="1"/>
    <n v="10"/>
  </r>
  <r>
    <x v="0"/>
    <x v="2"/>
    <n v="30"/>
  </r>
  <r>
    <x v="1"/>
    <x v="0"/>
    <n v="200"/>
  </r>
  <r>
    <x v="1"/>
    <x v="1"/>
    <n v="10"/>
  </r>
  <r>
    <x v="1"/>
    <x v="2"/>
    <n v="1"/>
  </r>
  <r>
    <x v="2"/>
    <x v="0"/>
    <n v="200"/>
  </r>
  <r>
    <x v="2"/>
    <x v="1"/>
    <n v="10"/>
  </r>
  <r>
    <x v="2"/>
    <x v="2"/>
    <n v="1"/>
  </r>
  <r>
    <x v="3"/>
    <x v="0"/>
    <n v="100"/>
  </r>
  <r>
    <x v="3"/>
    <x v="1"/>
    <n v="180"/>
  </r>
  <r>
    <x v="3"/>
    <x v="2"/>
    <n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3">
  <r>
    <x v="0"/>
    <x v="0"/>
    <x v="0"/>
    <d v="2017-01-01T00:00:00"/>
    <x v="0"/>
    <n v="1000"/>
    <n v="22810"/>
    <n v="10220"/>
    <n v="12590"/>
  </r>
  <r>
    <x v="1"/>
    <x v="1"/>
    <x v="1"/>
    <d v="2017-01-02T00:00:00"/>
    <x v="1"/>
    <n v="100"/>
    <n v="2257"/>
    <n v="984"/>
    <n v="1273"/>
  </r>
  <r>
    <x v="2"/>
    <x v="2"/>
    <x v="0"/>
    <d v="2017-01-04T00:00:00"/>
    <x v="2"/>
    <n v="400"/>
    <n v="9152"/>
    <n v="4088"/>
    <n v="5064"/>
  </r>
  <r>
    <x v="3"/>
    <x v="0"/>
    <x v="1"/>
    <d v="2017-01-04T00:00:00"/>
    <x v="3"/>
    <n v="800"/>
    <n v="18552"/>
    <n v="7872"/>
    <n v="10680"/>
  </r>
  <r>
    <x v="3"/>
    <x v="3"/>
    <x v="1"/>
    <d v="2017-01-07T00:00:00"/>
    <x v="4"/>
    <n v="1000"/>
    <n v="21730"/>
    <n v="9840"/>
    <n v="11890"/>
  </r>
  <r>
    <x v="1"/>
    <x v="0"/>
    <x v="2"/>
    <d v="2017-01-07T00:00:00"/>
    <x v="5"/>
    <n v="400"/>
    <n v="8456"/>
    <n v="3388"/>
    <n v="5068"/>
  </r>
  <r>
    <x v="1"/>
    <x v="0"/>
    <x v="2"/>
    <d v="2017-01-09T00:00:00"/>
    <x v="5"/>
    <n v="800"/>
    <n v="16416"/>
    <n v="6776"/>
    <n v="9640"/>
  </r>
  <r>
    <x v="3"/>
    <x v="2"/>
    <x v="0"/>
    <d v="2017-01-10T00:00:00"/>
    <x v="6"/>
    <n v="900"/>
    <n v="21438"/>
    <n v="9198"/>
    <n v="12240"/>
  </r>
  <r>
    <x v="0"/>
    <x v="1"/>
    <x v="2"/>
    <d v="2017-01-12T00:00:00"/>
    <x v="7"/>
    <n v="300"/>
    <n v="6267"/>
    <n v="2541"/>
    <n v="3726"/>
  </r>
  <r>
    <x v="0"/>
    <x v="2"/>
    <x v="0"/>
    <d v="2017-01-14T00:00:00"/>
    <x v="8"/>
    <n v="100"/>
    <n v="2401"/>
    <n v="1022"/>
    <n v="1379"/>
  </r>
  <r>
    <x v="1"/>
    <x v="1"/>
    <x v="2"/>
    <d v="2017-01-15T00:00:00"/>
    <x v="1"/>
    <n v="500"/>
    <n v="9345"/>
    <n v="4235"/>
    <n v="5110"/>
  </r>
  <r>
    <x v="0"/>
    <x v="1"/>
    <x v="2"/>
    <d v="2017-01-16T00:00:00"/>
    <x v="9"/>
    <n v="600"/>
    <n v="11628"/>
    <n v="5082"/>
    <n v="6546"/>
  </r>
  <r>
    <x v="1"/>
    <x v="1"/>
    <x v="1"/>
    <d v="2017-01-19T00:00:00"/>
    <x v="1"/>
    <n v="100"/>
    <n v="2042"/>
    <n v="984"/>
    <n v="1058"/>
  </r>
  <r>
    <x v="1"/>
    <x v="1"/>
    <x v="3"/>
    <d v="2017-01-21T00:00:00"/>
    <x v="10"/>
    <n v="800"/>
    <n v="14440"/>
    <n v="6776"/>
    <n v="7664"/>
  </r>
  <r>
    <x v="3"/>
    <x v="0"/>
    <x v="3"/>
    <d v="2017-01-21T00:00:00"/>
    <x v="3"/>
    <n v="200"/>
    <n v="3552"/>
    <n v="1694"/>
    <n v="1858"/>
  </r>
  <r>
    <x v="1"/>
    <x v="0"/>
    <x v="2"/>
    <d v="2017-01-23T00:00:00"/>
    <x v="5"/>
    <n v="800"/>
    <n v="14592"/>
    <n v="6776"/>
    <n v="7816"/>
  </r>
  <r>
    <x v="0"/>
    <x v="1"/>
    <x v="2"/>
    <d v="2017-01-24T00:00:00"/>
    <x v="7"/>
    <n v="600"/>
    <n v="12606"/>
    <n v="5082"/>
    <n v="7524"/>
  </r>
  <r>
    <x v="0"/>
    <x v="1"/>
    <x v="2"/>
    <d v="2017-01-25T00:00:00"/>
    <x v="9"/>
    <n v="1000"/>
    <n v="20770"/>
    <n v="8470"/>
    <n v="12300"/>
  </r>
  <r>
    <x v="0"/>
    <x v="1"/>
    <x v="2"/>
    <d v="2017-01-26T00:00:00"/>
    <x v="7"/>
    <n v="400"/>
    <n v="8128"/>
    <n v="3388"/>
    <n v="4740"/>
  </r>
  <r>
    <x v="2"/>
    <x v="2"/>
    <x v="2"/>
    <d v="2017-01-29T00:00:00"/>
    <x v="2"/>
    <n v="400"/>
    <n v="7136"/>
    <n v="3388"/>
    <n v="3748"/>
  </r>
  <r>
    <x v="1"/>
    <x v="0"/>
    <x v="1"/>
    <d v="2017-01-29T00:00:00"/>
    <x v="5"/>
    <n v="700"/>
    <n v="17150"/>
    <n v="6888"/>
    <n v="10262"/>
  </r>
  <r>
    <x v="3"/>
    <x v="2"/>
    <x v="1"/>
    <d v="2017-01-30T00:00:00"/>
    <x v="6"/>
    <n v="300"/>
    <n v="6714"/>
    <n v="2952"/>
    <n v="3762"/>
  </r>
  <r>
    <x v="1"/>
    <x v="0"/>
    <x v="2"/>
    <d v="2017-01-31T00:00:00"/>
    <x v="5"/>
    <n v="800"/>
    <n v="15640"/>
    <n v="6776"/>
    <n v="8864"/>
  </r>
  <r>
    <x v="3"/>
    <x v="2"/>
    <x v="2"/>
    <d v="2017-02-01T00:00:00"/>
    <x v="6"/>
    <n v="300"/>
    <n v="5532"/>
    <n v="2541"/>
    <n v="2991"/>
  </r>
  <r>
    <x v="1"/>
    <x v="1"/>
    <x v="1"/>
    <d v="2017-02-03T00:00:00"/>
    <x v="1"/>
    <n v="800"/>
    <n v="17160"/>
    <n v="7872"/>
    <n v="9288"/>
  </r>
  <r>
    <x v="0"/>
    <x v="1"/>
    <x v="1"/>
    <d v="2017-02-06T00:00:00"/>
    <x v="11"/>
    <n v="900"/>
    <n v="21708"/>
    <n v="8856"/>
    <n v="12852"/>
  </r>
  <r>
    <x v="0"/>
    <x v="1"/>
    <x v="2"/>
    <d v="2017-02-07T00:00:00"/>
    <x v="7"/>
    <n v="1000"/>
    <n v="19890"/>
    <n v="8470"/>
    <n v="11420"/>
  </r>
  <r>
    <x v="0"/>
    <x v="1"/>
    <x v="2"/>
    <d v="2017-02-08T00:00:00"/>
    <x v="9"/>
    <n v="100"/>
    <n v="1817"/>
    <n v="847"/>
    <n v="970"/>
  </r>
  <r>
    <x v="1"/>
    <x v="0"/>
    <x v="2"/>
    <d v="2017-02-09T00:00:00"/>
    <x v="5"/>
    <n v="300"/>
    <n v="5157"/>
    <n v="2541"/>
    <n v="2616"/>
  </r>
  <r>
    <x v="0"/>
    <x v="1"/>
    <x v="1"/>
    <d v="2017-02-14T00:00:00"/>
    <x v="9"/>
    <n v="700"/>
    <n v="13867"/>
    <n v="6888"/>
    <n v="6979"/>
  </r>
  <r>
    <x v="0"/>
    <x v="0"/>
    <x v="0"/>
    <d v="2017-02-16T00:00:00"/>
    <x v="12"/>
    <n v="800"/>
    <n v="16936"/>
    <n v="8176"/>
    <n v="8760"/>
  </r>
  <r>
    <x v="4"/>
    <x v="2"/>
    <x v="2"/>
    <d v="2017-02-17T00:00:00"/>
    <x v="13"/>
    <n v="600"/>
    <n v="11430"/>
    <n v="5082"/>
    <n v="6348"/>
  </r>
  <r>
    <x v="3"/>
    <x v="2"/>
    <x v="2"/>
    <d v="2017-02-18T00:00:00"/>
    <x v="6"/>
    <n v="1000"/>
    <n v="20250"/>
    <n v="8470"/>
    <n v="11780"/>
  </r>
  <r>
    <x v="3"/>
    <x v="2"/>
    <x v="2"/>
    <d v="2017-02-19T00:00:00"/>
    <x v="6"/>
    <n v="500"/>
    <n v="10385"/>
    <n v="4235"/>
    <n v="6150"/>
  </r>
  <r>
    <x v="4"/>
    <x v="2"/>
    <x v="2"/>
    <d v="2017-02-20T00:00:00"/>
    <x v="13"/>
    <n v="600"/>
    <n v="11124"/>
    <n v="5082"/>
    <n v="6042"/>
  </r>
  <r>
    <x v="0"/>
    <x v="0"/>
    <x v="2"/>
    <d v="2017-02-20T00:00:00"/>
    <x v="0"/>
    <n v="300"/>
    <n v="5700"/>
    <n v="2541"/>
    <n v="3159"/>
  </r>
  <r>
    <x v="3"/>
    <x v="2"/>
    <x v="0"/>
    <d v="2017-02-20T00:00:00"/>
    <x v="6"/>
    <n v="1000"/>
    <n v="23810"/>
    <n v="10220"/>
    <n v="13590"/>
  </r>
  <r>
    <x v="3"/>
    <x v="2"/>
    <x v="0"/>
    <d v="2017-02-23T00:00:00"/>
    <x v="6"/>
    <n v="500"/>
    <n v="11525"/>
    <n v="5110"/>
    <n v="6415"/>
  </r>
  <r>
    <x v="0"/>
    <x v="3"/>
    <x v="1"/>
    <d v="2017-02-26T00:00:00"/>
    <x v="14"/>
    <n v="900"/>
    <n v="20610"/>
    <n v="8856"/>
    <n v="11754"/>
  </r>
  <r>
    <x v="0"/>
    <x v="0"/>
    <x v="1"/>
    <d v="2017-02-26T00:00:00"/>
    <x v="0"/>
    <n v="600"/>
    <n v="13206"/>
    <n v="5904"/>
    <n v="7302"/>
  </r>
  <r>
    <x v="3"/>
    <x v="2"/>
    <x v="0"/>
    <d v="2017-02-26T00:00:00"/>
    <x v="6"/>
    <n v="1000"/>
    <n v="25140"/>
    <n v="10220"/>
    <n v="14920"/>
  </r>
  <r>
    <x v="0"/>
    <x v="0"/>
    <x v="2"/>
    <d v="2017-02-27T00:00:00"/>
    <x v="0"/>
    <n v="900"/>
    <n v="16209"/>
    <n v="7623"/>
    <n v="8586"/>
  </r>
  <r>
    <x v="3"/>
    <x v="2"/>
    <x v="1"/>
    <d v="2017-02-27T00:00:00"/>
    <x v="6"/>
    <n v="400"/>
    <n v="8708"/>
    <n v="3936"/>
    <n v="4772"/>
  </r>
  <r>
    <x v="1"/>
    <x v="0"/>
    <x v="0"/>
    <d v="2017-02-28T00:00:00"/>
    <x v="5"/>
    <n v="900"/>
    <n v="21456"/>
    <n v="9198"/>
    <n v="12258"/>
  </r>
  <r>
    <x v="3"/>
    <x v="2"/>
    <x v="0"/>
    <d v="2017-03-01T00:00:00"/>
    <x v="6"/>
    <n v="500"/>
    <n v="10445"/>
    <n v="5110"/>
    <n v="5335"/>
  </r>
  <r>
    <x v="0"/>
    <x v="1"/>
    <x v="1"/>
    <d v="2017-03-04T00:00:00"/>
    <x v="11"/>
    <n v="600"/>
    <n v="14472"/>
    <n v="5904"/>
    <n v="8568"/>
  </r>
  <r>
    <x v="3"/>
    <x v="2"/>
    <x v="0"/>
    <d v="2017-03-05T00:00:00"/>
    <x v="6"/>
    <n v="200"/>
    <n v="4262"/>
    <n v="2044"/>
    <n v="2218"/>
  </r>
  <r>
    <x v="0"/>
    <x v="0"/>
    <x v="2"/>
    <d v="2017-03-06T00:00:00"/>
    <x v="15"/>
    <n v="700"/>
    <n v="12474"/>
    <n v="5929"/>
    <n v="6545"/>
  </r>
  <r>
    <x v="4"/>
    <x v="2"/>
    <x v="2"/>
    <d v="2017-03-07T00:00:00"/>
    <x v="13"/>
    <n v="500"/>
    <n v="10155"/>
    <n v="4235"/>
    <n v="5920"/>
  </r>
  <r>
    <x v="3"/>
    <x v="2"/>
    <x v="1"/>
    <d v="2017-03-10T00:00:00"/>
    <x v="6"/>
    <n v="900"/>
    <n v="19503"/>
    <n v="8856"/>
    <n v="10647"/>
  </r>
  <r>
    <x v="0"/>
    <x v="1"/>
    <x v="2"/>
    <d v="2017-03-13T00:00:00"/>
    <x v="7"/>
    <n v="100"/>
    <n v="1819"/>
    <n v="847"/>
    <n v="972"/>
  </r>
  <r>
    <x v="0"/>
    <x v="1"/>
    <x v="0"/>
    <d v="2017-03-14T00:00:00"/>
    <x v="9"/>
    <n v="1000"/>
    <n v="24430"/>
    <n v="10220"/>
    <n v="14210"/>
  </r>
  <r>
    <x v="3"/>
    <x v="2"/>
    <x v="0"/>
    <d v="2017-03-14T00:00:00"/>
    <x v="6"/>
    <n v="500"/>
    <n v="10935"/>
    <n v="5110"/>
    <n v="5825"/>
  </r>
  <r>
    <x v="0"/>
    <x v="3"/>
    <x v="2"/>
    <d v="2017-03-16T00:00:00"/>
    <x v="14"/>
    <n v="400"/>
    <n v="8116"/>
    <n v="3388"/>
    <n v="4728"/>
  </r>
  <r>
    <x v="0"/>
    <x v="1"/>
    <x v="0"/>
    <d v="2017-03-17T00:00:00"/>
    <x v="9"/>
    <n v="900"/>
    <n v="18783"/>
    <n v="9198"/>
    <n v="9585"/>
  </r>
  <r>
    <x v="3"/>
    <x v="2"/>
    <x v="2"/>
    <d v="2017-03-19T00:00:00"/>
    <x v="6"/>
    <n v="800"/>
    <n v="16696"/>
    <n v="6776"/>
    <n v="9920"/>
  </r>
  <r>
    <x v="0"/>
    <x v="1"/>
    <x v="2"/>
    <d v="2017-03-20T00:00:00"/>
    <x v="11"/>
    <n v="400"/>
    <n v="7132"/>
    <n v="3388"/>
    <n v="3744"/>
  </r>
  <r>
    <x v="0"/>
    <x v="1"/>
    <x v="0"/>
    <d v="2017-03-21T00:00:00"/>
    <x v="11"/>
    <n v="200"/>
    <n v="4784"/>
    <n v="2044"/>
    <n v="2740"/>
  </r>
  <r>
    <x v="0"/>
    <x v="2"/>
    <x v="0"/>
    <d v="2017-03-22T00:00:00"/>
    <x v="8"/>
    <n v="300"/>
    <n v="6765"/>
    <n v="3066"/>
    <n v="3699"/>
  </r>
  <r>
    <x v="3"/>
    <x v="2"/>
    <x v="2"/>
    <d v="2017-03-23T00:00:00"/>
    <x v="6"/>
    <n v="300"/>
    <n v="5355"/>
    <n v="2541"/>
    <n v="2814"/>
  </r>
  <r>
    <x v="3"/>
    <x v="2"/>
    <x v="2"/>
    <d v="2017-03-24T00:00:00"/>
    <x v="6"/>
    <n v="200"/>
    <n v="3756"/>
    <n v="1694"/>
    <n v="2062"/>
  </r>
  <r>
    <x v="1"/>
    <x v="0"/>
    <x v="1"/>
    <d v="2017-03-25T00:00:00"/>
    <x v="5"/>
    <n v="1000"/>
    <n v="20090"/>
    <n v="9840"/>
    <n v="10250"/>
  </r>
  <r>
    <x v="0"/>
    <x v="0"/>
    <x v="0"/>
    <d v="2017-03-26T00:00:00"/>
    <x v="0"/>
    <n v="1000"/>
    <n v="23090"/>
    <n v="10220"/>
    <n v="12870"/>
  </r>
  <r>
    <x v="0"/>
    <x v="2"/>
    <x v="1"/>
    <d v="2017-03-28T00:00:00"/>
    <x v="8"/>
    <n v="900"/>
    <n v="21357"/>
    <n v="8856"/>
    <n v="12501"/>
  </r>
  <r>
    <x v="1"/>
    <x v="0"/>
    <x v="2"/>
    <d v="2017-03-28T00:00:00"/>
    <x v="5"/>
    <n v="300"/>
    <n v="5358"/>
    <n v="2541"/>
    <n v="2817"/>
  </r>
  <r>
    <x v="0"/>
    <x v="1"/>
    <x v="1"/>
    <d v="2017-03-30T00:00:00"/>
    <x v="11"/>
    <n v="800"/>
    <n v="16016"/>
    <n v="7872"/>
    <n v="8144"/>
  </r>
  <r>
    <x v="0"/>
    <x v="2"/>
    <x v="0"/>
    <d v="2017-04-01T00:00:00"/>
    <x v="8"/>
    <n v="600"/>
    <n v="14448"/>
    <n v="6132"/>
    <n v="8316"/>
  </r>
  <r>
    <x v="0"/>
    <x v="2"/>
    <x v="2"/>
    <d v="2017-04-02T00:00:00"/>
    <x v="8"/>
    <n v="300"/>
    <n v="5370"/>
    <n v="2541"/>
    <n v="2829"/>
  </r>
  <r>
    <x v="0"/>
    <x v="0"/>
    <x v="0"/>
    <d v="2017-04-04T00:00:00"/>
    <x v="15"/>
    <n v="800"/>
    <n v="20408"/>
    <n v="8176"/>
    <n v="12232"/>
  </r>
  <r>
    <x v="4"/>
    <x v="2"/>
    <x v="1"/>
    <d v="2017-04-04T00:00:00"/>
    <x v="13"/>
    <n v="400"/>
    <n v="8632"/>
    <n v="3936"/>
    <n v="4696"/>
  </r>
  <r>
    <x v="4"/>
    <x v="2"/>
    <x v="1"/>
    <d v="2017-04-04T00:00:00"/>
    <x v="13"/>
    <n v="300"/>
    <n v="6588"/>
    <n v="2952"/>
    <n v="3636"/>
  </r>
  <r>
    <x v="1"/>
    <x v="1"/>
    <x v="0"/>
    <d v="2017-04-05T00:00:00"/>
    <x v="1"/>
    <n v="100"/>
    <n v="2466"/>
    <n v="1022"/>
    <n v="1444"/>
  </r>
  <r>
    <x v="5"/>
    <x v="2"/>
    <x v="2"/>
    <d v="2017-04-07T00:00:00"/>
    <x v="16"/>
    <n v="700"/>
    <n v="14686"/>
    <n v="5929"/>
    <n v="8757"/>
  </r>
  <r>
    <x v="0"/>
    <x v="1"/>
    <x v="2"/>
    <d v="2017-04-07T00:00:00"/>
    <x v="11"/>
    <n v="300"/>
    <n v="5886"/>
    <n v="2541"/>
    <n v="3345"/>
  </r>
  <r>
    <x v="4"/>
    <x v="2"/>
    <x v="1"/>
    <d v="2017-04-10T00:00:00"/>
    <x v="13"/>
    <n v="500"/>
    <n v="12095"/>
    <n v="4920"/>
    <n v="7175"/>
  </r>
  <r>
    <x v="0"/>
    <x v="1"/>
    <x v="0"/>
    <d v="2017-04-11T00:00:00"/>
    <x v="7"/>
    <n v="900"/>
    <n v="19539"/>
    <n v="9198"/>
    <n v="10341"/>
  </r>
  <r>
    <x v="0"/>
    <x v="1"/>
    <x v="2"/>
    <d v="2017-04-12T00:00:00"/>
    <x v="11"/>
    <n v="300"/>
    <n v="6063"/>
    <n v="2541"/>
    <n v="3522"/>
  </r>
  <r>
    <x v="0"/>
    <x v="1"/>
    <x v="2"/>
    <d v="2017-04-13T00:00:00"/>
    <x v="11"/>
    <n v="600"/>
    <n v="11598"/>
    <n v="5082"/>
    <n v="6516"/>
  </r>
  <r>
    <x v="0"/>
    <x v="1"/>
    <x v="2"/>
    <d v="2017-04-14T00:00:00"/>
    <x v="9"/>
    <n v="400"/>
    <n v="8016"/>
    <n v="3388"/>
    <n v="4628"/>
  </r>
  <r>
    <x v="1"/>
    <x v="1"/>
    <x v="0"/>
    <d v="2017-04-20T00:00:00"/>
    <x v="1"/>
    <n v="1000"/>
    <n v="21880"/>
    <n v="10220"/>
    <n v="11660"/>
  </r>
  <r>
    <x v="4"/>
    <x v="3"/>
    <x v="3"/>
    <d v="2017-04-20T00:00:00"/>
    <x v="17"/>
    <n v="200"/>
    <n v="4948"/>
    <n v="2044"/>
    <n v="2904"/>
  </r>
  <r>
    <x v="3"/>
    <x v="2"/>
    <x v="0"/>
    <d v="2017-04-22T00:00:00"/>
    <x v="6"/>
    <n v="700"/>
    <n v="15834"/>
    <n v="7154"/>
    <n v="8680"/>
  </r>
  <r>
    <x v="0"/>
    <x v="0"/>
    <x v="1"/>
    <d v="2017-04-23T00:00:00"/>
    <x v="0"/>
    <n v="100"/>
    <n v="2457"/>
    <n v="984"/>
    <n v="1473"/>
  </r>
  <r>
    <x v="4"/>
    <x v="2"/>
    <x v="2"/>
    <d v="2017-04-24T00:00:00"/>
    <x v="13"/>
    <n v="300"/>
    <n v="5439"/>
    <n v="2541"/>
    <n v="2898"/>
  </r>
  <r>
    <x v="3"/>
    <x v="2"/>
    <x v="1"/>
    <d v="2017-04-25T00:00:00"/>
    <x v="6"/>
    <n v="500"/>
    <n v="11435"/>
    <n v="4920"/>
    <n v="6515"/>
  </r>
  <r>
    <x v="1"/>
    <x v="0"/>
    <x v="0"/>
    <d v="2017-04-27T00:00:00"/>
    <x v="5"/>
    <n v="1000"/>
    <n v="22530"/>
    <n v="10220"/>
    <n v="12310"/>
  </r>
  <r>
    <x v="0"/>
    <x v="0"/>
    <x v="0"/>
    <d v="2017-04-28T00:00:00"/>
    <x v="0"/>
    <n v="1000"/>
    <n v="25060"/>
    <n v="10220"/>
    <n v="14840"/>
  </r>
  <r>
    <x v="3"/>
    <x v="2"/>
    <x v="0"/>
    <d v="2017-04-29T00:00:00"/>
    <x v="18"/>
    <n v="800"/>
    <n v="18264"/>
    <n v="8176"/>
    <n v="10088"/>
  </r>
  <r>
    <x v="0"/>
    <x v="2"/>
    <x v="0"/>
    <d v="2017-04-30T00:00:00"/>
    <x v="8"/>
    <n v="200"/>
    <n v="4124"/>
    <n v="2044"/>
    <n v="2080"/>
  </r>
  <r>
    <x v="0"/>
    <x v="0"/>
    <x v="2"/>
    <d v="2017-05-01T00:00:00"/>
    <x v="0"/>
    <n v="200"/>
    <n v="3802"/>
    <n v="1694"/>
    <n v="2108"/>
  </r>
  <r>
    <x v="3"/>
    <x v="0"/>
    <x v="1"/>
    <d v="2017-05-01T00:00:00"/>
    <x v="19"/>
    <n v="800"/>
    <n v="19520"/>
    <n v="7872"/>
    <n v="11648"/>
  </r>
  <r>
    <x v="5"/>
    <x v="2"/>
    <x v="0"/>
    <d v="2017-05-03T00:00:00"/>
    <x v="16"/>
    <n v="800"/>
    <n v="19288"/>
    <n v="8176"/>
    <n v="11112"/>
  </r>
  <r>
    <x v="0"/>
    <x v="2"/>
    <x v="2"/>
    <d v="2017-05-05T00:00:00"/>
    <x v="8"/>
    <n v="800"/>
    <n v="15592"/>
    <n v="6776"/>
    <n v="8816"/>
  </r>
  <r>
    <x v="5"/>
    <x v="2"/>
    <x v="0"/>
    <d v="2017-05-05T00:00:00"/>
    <x v="16"/>
    <n v="300"/>
    <n v="6867"/>
    <n v="3066"/>
    <n v="3801"/>
  </r>
  <r>
    <x v="0"/>
    <x v="2"/>
    <x v="2"/>
    <d v="2017-05-07T00:00:00"/>
    <x v="8"/>
    <n v="600"/>
    <n v="12318"/>
    <n v="5082"/>
    <n v="7236"/>
  </r>
  <r>
    <x v="5"/>
    <x v="2"/>
    <x v="1"/>
    <d v="2017-05-07T00:00:00"/>
    <x v="16"/>
    <n v="400"/>
    <n v="8052"/>
    <n v="3936"/>
    <n v="4116"/>
  </r>
  <r>
    <x v="3"/>
    <x v="2"/>
    <x v="1"/>
    <d v="2017-05-08T00:00:00"/>
    <x v="6"/>
    <n v="800"/>
    <n v="17544"/>
    <n v="7872"/>
    <n v="9672"/>
  </r>
  <r>
    <x v="0"/>
    <x v="1"/>
    <x v="1"/>
    <d v="2017-05-09T00:00:00"/>
    <x v="7"/>
    <n v="700"/>
    <n v="16765"/>
    <n v="6888"/>
    <n v="9877"/>
  </r>
  <r>
    <x v="4"/>
    <x v="2"/>
    <x v="2"/>
    <d v="2017-05-11T00:00:00"/>
    <x v="13"/>
    <n v="500"/>
    <n v="8785"/>
    <n v="4235"/>
    <n v="4550"/>
  </r>
  <r>
    <x v="3"/>
    <x v="2"/>
    <x v="1"/>
    <d v="2017-05-12T00:00:00"/>
    <x v="6"/>
    <n v="700"/>
    <n v="16772"/>
    <n v="6888"/>
    <n v="9884"/>
  </r>
  <r>
    <x v="0"/>
    <x v="1"/>
    <x v="2"/>
    <d v="2017-05-13T00:00:00"/>
    <x v="11"/>
    <n v="500"/>
    <n v="9380"/>
    <n v="4235"/>
    <n v="5145"/>
  </r>
  <r>
    <x v="3"/>
    <x v="2"/>
    <x v="0"/>
    <d v="2017-05-13T00:00:00"/>
    <x v="6"/>
    <n v="500"/>
    <n v="12625"/>
    <n v="5110"/>
    <n v="7515"/>
  </r>
  <r>
    <x v="0"/>
    <x v="0"/>
    <x v="2"/>
    <d v="2017-05-14T00:00:00"/>
    <x v="12"/>
    <n v="500"/>
    <n v="9635"/>
    <n v="4235"/>
    <n v="5400"/>
  </r>
  <r>
    <x v="5"/>
    <x v="2"/>
    <x v="1"/>
    <d v="2017-05-16T00:00:00"/>
    <x v="16"/>
    <n v="300"/>
    <n v="6156"/>
    <n v="2952"/>
    <n v="3204"/>
  </r>
  <r>
    <x v="0"/>
    <x v="0"/>
    <x v="1"/>
    <d v="2017-05-19T00:00:00"/>
    <x v="15"/>
    <n v="900"/>
    <n v="17757"/>
    <n v="8856"/>
    <n v="8901"/>
  </r>
  <r>
    <x v="3"/>
    <x v="3"/>
    <x v="0"/>
    <d v="2017-05-20T00:00:00"/>
    <x v="20"/>
    <n v="200"/>
    <n v="4846"/>
    <n v="2044"/>
    <n v="2802"/>
  </r>
  <r>
    <x v="0"/>
    <x v="1"/>
    <x v="2"/>
    <d v="2017-05-21T00:00:00"/>
    <x v="11"/>
    <n v="600"/>
    <n v="11208"/>
    <n v="5082"/>
    <n v="6126"/>
  </r>
  <r>
    <x v="0"/>
    <x v="2"/>
    <x v="1"/>
    <d v="2017-05-22T00:00:00"/>
    <x v="8"/>
    <n v="500"/>
    <n v="10195"/>
    <n v="4920"/>
    <n v="5275"/>
  </r>
  <r>
    <x v="1"/>
    <x v="1"/>
    <x v="2"/>
    <d v="2017-05-23T00:00:00"/>
    <x v="1"/>
    <n v="200"/>
    <n v="4012"/>
    <n v="1694"/>
    <n v="2318"/>
  </r>
  <r>
    <x v="1"/>
    <x v="0"/>
    <x v="2"/>
    <d v="2017-05-23T00:00:00"/>
    <x v="5"/>
    <n v="700"/>
    <n v="12803"/>
    <n v="5929"/>
    <n v="6874"/>
  </r>
  <r>
    <x v="4"/>
    <x v="2"/>
    <x v="1"/>
    <d v="2017-05-24T00:00:00"/>
    <x v="13"/>
    <n v="100"/>
    <n v="2319"/>
    <n v="984"/>
    <n v="1335"/>
  </r>
  <r>
    <x v="1"/>
    <x v="0"/>
    <x v="2"/>
    <d v="2017-05-24T00:00:00"/>
    <x v="5"/>
    <n v="600"/>
    <n v="11700"/>
    <n v="5082"/>
    <n v="6618"/>
  </r>
  <r>
    <x v="4"/>
    <x v="2"/>
    <x v="1"/>
    <d v="2017-05-26T00:00:00"/>
    <x v="13"/>
    <n v="600"/>
    <n v="12048"/>
    <n v="5904"/>
    <n v="6144"/>
  </r>
  <r>
    <x v="0"/>
    <x v="1"/>
    <x v="0"/>
    <d v="2017-05-28T00:00:00"/>
    <x v="7"/>
    <n v="700"/>
    <n v="14469"/>
    <n v="7154"/>
    <n v="7315"/>
  </r>
  <r>
    <x v="4"/>
    <x v="2"/>
    <x v="2"/>
    <d v="2017-05-29T00:00:00"/>
    <x v="13"/>
    <n v="900"/>
    <n v="17964"/>
    <n v="7623"/>
    <n v="10341"/>
  </r>
  <r>
    <x v="0"/>
    <x v="2"/>
    <x v="2"/>
    <d v="2017-05-30T00:00:00"/>
    <x v="8"/>
    <n v="700"/>
    <n v="13412"/>
    <n v="5929"/>
    <n v="7483"/>
  </r>
  <r>
    <x v="1"/>
    <x v="0"/>
    <x v="0"/>
    <d v="2017-05-30T00:00:00"/>
    <x v="5"/>
    <n v="300"/>
    <n v="6660"/>
    <n v="3066"/>
    <n v="3594"/>
  </r>
  <r>
    <x v="0"/>
    <x v="1"/>
    <x v="0"/>
    <d v="2017-05-31T00:00:00"/>
    <x v="11"/>
    <n v="900"/>
    <n v="18918"/>
    <n v="9198"/>
    <n v="9720"/>
  </r>
  <r>
    <x v="1"/>
    <x v="0"/>
    <x v="2"/>
    <d v="2017-06-01T00:00:00"/>
    <x v="5"/>
    <n v="700"/>
    <n v="13986"/>
    <n v="5929"/>
    <n v="8057"/>
  </r>
  <r>
    <x v="0"/>
    <x v="1"/>
    <x v="1"/>
    <d v="2017-06-03T00:00:00"/>
    <x v="7"/>
    <n v="1000"/>
    <n v="20480"/>
    <n v="9840"/>
    <n v="10640"/>
  </r>
  <r>
    <x v="3"/>
    <x v="2"/>
    <x v="0"/>
    <d v="2017-06-06T00:00:00"/>
    <x v="6"/>
    <n v="200"/>
    <n v="4264"/>
    <n v="2044"/>
    <n v="2220"/>
  </r>
  <r>
    <x v="4"/>
    <x v="0"/>
    <x v="1"/>
    <d v="2017-06-07T00:00:00"/>
    <x v="21"/>
    <n v="200"/>
    <n v="4282"/>
    <n v="1968"/>
    <n v="2314"/>
  </r>
  <r>
    <x v="0"/>
    <x v="1"/>
    <x v="0"/>
    <d v="2017-06-08T00:00:00"/>
    <x v="7"/>
    <n v="500"/>
    <n v="12135"/>
    <n v="5110"/>
    <n v="7025"/>
  </r>
  <r>
    <x v="0"/>
    <x v="1"/>
    <x v="1"/>
    <d v="2017-06-10T00:00:00"/>
    <x v="7"/>
    <n v="200"/>
    <n v="4286"/>
    <n v="1968"/>
    <n v="2318"/>
  </r>
  <r>
    <x v="1"/>
    <x v="1"/>
    <x v="0"/>
    <d v="2017-06-12T00:00:00"/>
    <x v="1"/>
    <n v="500"/>
    <n v="10650"/>
    <n v="5110"/>
    <n v="5540"/>
  </r>
  <r>
    <x v="1"/>
    <x v="1"/>
    <x v="2"/>
    <d v="2017-06-13T00:00:00"/>
    <x v="1"/>
    <n v="1000"/>
    <n v="19630"/>
    <n v="8470"/>
    <n v="11160"/>
  </r>
  <r>
    <x v="0"/>
    <x v="1"/>
    <x v="2"/>
    <d v="2017-06-14T00:00:00"/>
    <x v="11"/>
    <n v="700"/>
    <n v="12838"/>
    <n v="5929"/>
    <n v="6909"/>
  </r>
  <r>
    <x v="0"/>
    <x v="0"/>
    <x v="2"/>
    <d v="2017-06-15T00:00:00"/>
    <x v="0"/>
    <n v="200"/>
    <n v="3856"/>
    <n v="1694"/>
    <n v="2162"/>
  </r>
  <r>
    <x v="1"/>
    <x v="1"/>
    <x v="1"/>
    <d v="2017-06-19T00:00:00"/>
    <x v="10"/>
    <n v="1000"/>
    <n v="22140"/>
    <n v="9840"/>
    <n v="12300"/>
  </r>
  <r>
    <x v="0"/>
    <x v="1"/>
    <x v="2"/>
    <d v="2017-06-23T00:00:00"/>
    <x v="7"/>
    <n v="500"/>
    <n v="10330"/>
    <n v="4235"/>
    <n v="6095"/>
  </r>
  <r>
    <x v="4"/>
    <x v="2"/>
    <x v="2"/>
    <d v="2017-06-24T00:00:00"/>
    <x v="13"/>
    <n v="100"/>
    <n v="1882"/>
    <n v="847"/>
    <n v="1035"/>
  </r>
  <r>
    <x v="0"/>
    <x v="0"/>
    <x v="1"/>
    <d v="2017-06-25T00:00:00"/>
    <x v="0"/>
    <n v="100"/>
    <n v="2221"/>
    <n v="984"/>
    <n v="1237"/>
  </r>
  <r>
    <x v="4"/>
    <x v="2"/>
    <x v="2"/>
    <d v="2017-06-26T00:00:00"/>
    <x v="13"/>
    <n v="700"/>
    <n v="13734"/>
    <n v="5929"/>
    <n v="7805"/>
  </r>
  <r>
    <x v="5"/>
    <x v="2"/>
    <x v="1"/>
    <d v="2017-06-26T00:00:00"/>
    <x v="16"/>
    <n v="800"/>
    <n v="15856"/>
    <n v="7872"/>
    <n v="7984"/>
  </r>
  <r>
    <x v="3"/>
    <x v="3"/>
    <x v="1"/>
    <d v="2017-06-27T00:00:00"/>
    <x v="4"/>
    <n v="200"/>
    <n v="4754"/>
    <n v="1968"/>
    <n v="2786"/>
  </r>
  <r>
    <x v="4"/>
    <x v="2"/>
    <x v="1"/>
    <d v="2017-06-30T00:00:00"/>
    <x v="13"/>
    <n v="100"/>
    <n v="2231"/>
    <n v="984"/>
    <n v="1247"/>
  </r>
  <r>
    <x v="0"/>
    <x v="1"/>
    <x v="0"/>
    <d v="2017-07-02T00:00:00"/>
    <x v="11"/>
    <n v="900"/>
    <n v="21960"/>
    <n v="9198"/>
    <n v="12762"/>
  </r>
  <r>
    <x v="1"/>
    <x v="0"/>
    <x v="0"/>
    <d v="2017-07-03T00:00:00"/>
    <x v="22"/>
    <n v="300"/>
    <n v="7167"/>
    <n v="3066"/>
    <n v="4101"/>
  </r>
  <r>
    <x v="3"/>
    <x v="2"/>
    <x v="0"/>
    <d v="2017-07-03T00:00:00"/>
    <x v="6"/>
    <n v="900"/>
    <n v="22716"/>
    <n v="9198"/>
    <n v="13518"/>
  </r>
  <r>
    <x v="0"/>
    <x v="2"/>
    <x v="0"/>
    <d v="2017-07-04T00:00:00"/>
    <x v="8"/>
    <n v="900"/>
    <n v="19062"/>
    <n v="9198"/>
    <n v="9864"/>
  </r>
  <r>
    <x v="1"/>
    <x v="0"/>
    <x v="0"/>
    <d v="2017-07-05T00:00:00"/>
    <x v="5"/>
    <n v="300"/>
    <n v="7593"/>
    <n v="3066"/>
    <n v="4527"/>
  </r>
  <r>
    <x v="4"/>
    <x v="2"/>
    <x v="1"/>
    <d v="2017-07-08T00:00:00"/>
    <x v="13"/>
    <n v="900"/>
    <n v="21168"/>
    <n v="8856"/>
    <n v="12312"/>
  </r>
  <r>
    <x v="0"/>
    <x v="0"/>
    <x v="0"/>
    <d v="2017-07-10T00:00:00"/>
    <x v="12"/>
    <n v="1000"/>
    <n v="24130"/>
    <n v="10220"/>
    <n v="13910"/>
  </r>
  <r>
    <x v="4"/>
    <x v="0"/>
    <x v="0"/>
    <d v="2017-07-11T00:00:00"/>
    <x v="21"/>
    <n v="400"/>
    <n v="8876"/>
    <n v="4088"/>
    <n v="4788"/>
  </r>
  <r>
    <x v="0"/>
    <x v="1"/>
    <x v="1"/>
    <d v="2017-07-14T00:00:00"/>
    <x v="11"/>
    <n v="900"/>
    <n v="21555"/>
    <n v="8856"/>
    <n v="12699"/>
  </r>
  <r>
    <x v="0"/>
    <x v="1"/>
    <x v="2"/>
    <d v="2017-07-15T00:00:00"/>
    <x v="7"/>
    <n v="300"/>
    <n v="5967"/>
    <n v="2541"/>
    <n v="3426"/>
  </r>
  <r>
    <x v="0"/>
    <x v="0"/>
    <x v="0"/>
    <d v="2017-07-15T00:00:00"/>
    <x v="0"/>
    <n v="700"/>
    <n v="15876"/>
    <n v="7154"/>
    <n v="8722"/>
  </r>
  <r>
    <x v="5"/>
    <x v="2"/>
    <x v="0"/>
    <d v="2017-07-17T00:00:00"/>
    <x v="16"/>
    <n v="1000"/>
    <n v="25350"/>
    <n v="10220"/>
    <n v="15130"/>
  </r>
  <r>
    <x v="0"/>
    <x v="1"/>
    <x v="1"/>
    <d v="2017-07-18T00:00:00"/>
    <x v="7"/>
    <n v="500"/>
    <n v="11545"/>
    <n v="4920"/>
    <n v="6625"/>
  </r>
  <r>
    <x v="5"/>
    <x v="2"/>
    <x v="2"/>
    <d v="2017-07-18T00:00:00"/>
    <x v="23"/>
    <n v="200"/>
    <n v="4158"/>
    <n v="1694"/>
    <n v="2464"/>
  </r>
  <r>
    <x v="1"/>
    <x v="0"/>
    <x v="2"/>
    <d v="2017-07-20T00:00:00"/>
    <x v="5"/>
    <n v="600"/>
    <n v="12684"/>
    <n v="5082"/>
    <n v="7602"/>
  </r>
  <r>
    <x v="3"/>
    <x v="2"/>
    <x v="2"/>
    <d v="2017-07-22T00:00:00"/>
    <x v="6"/>
    <n v="1000"/>
    <n v="18660"/>
    <n v="8470"/>
    <n v="10190"/>
  </r>
  <r>
    <x v="0"/>
    <x v="2"/>
    <x v="1"/>
    <d v="2017-07-23T00:00:00"/>
    <x v="8"/>
    <n v="500"/>
    <n v="11660"/>
    <n v="4920"/>
    <n v="6740"/>
  </r>
  <r>
    <x v="1"/>
    <x v="0"/>
    <x v="1"/>
    <d v="2017-07-26T00:00:00"/>
    <x v="5"/>
    <n v="800"/>
    <n v="15816"/>
    <n v="7872"/>
    <n v="7944"/>
  </r>
  <r>
    <x v="1"/>
    <x v="0"/>
    <x v="0"/>
    <d v="2017-07-27T00:00:00"/>
    <x v="22"/>
    <n v="1000"/>
    <n v="23890"/>
    <n v="10220"/>
    <n v="13670"/>
  </r>
  <r>
    <x v="1"/>
    <x v="1"/>
    <x v="1"/>
    <d v="2017-07-28T00:00:00"/>
    <x v="1"/>
    <n v="600"/>
    <n v="13866"/>
    <n v="5904"/>
    <n v="7962"/>
  </r>
  <r>
    <x v="3"/>
    <x v="3"/>
    <x v="2"/>
    <d v="2017-07-29T00:00:00"/>
    <x v="20"/>
    <n v="1000"/>
    <n v="17840"/>
    <n v="8470"/>
    <n v="9370"/>
  </r>
  <r>
    <x v="3"/>
    <x v="2"/>
    <x v="2"/>
    <d v="2017-07-29T00:00:00"/>
    <x v="6"/>
    <n v="800"/>
    <n v="13936"/>
    <n v="6776"/>
    <n v="7160"/>
  </r>
  <r>
    <x v="0"/>
    <x v="1"/>
    <x v="0"/>
    <d v="2017-07-30T00:00:00"/>
    <x v="11"/>
    <n v="600"/>
    <n v="12984"/>
    <n v="6132"/>
    <n v="6852"/>
  </r>
  <r>
    <x v="0"/>
    <x v="1"/>
    <x v="1"/>
    <d v="2017-07-31T00:00:00"/>
    <x v="9"/>
    <n v="1000"/>
    <n v="21800"/>
    <n v="9840"/>
    <n v="11960"/>
  </r>
  <r>
    <x v="3"/>
    <x v="2"/>
    <x v="2"/>
    <d v="2017-07-31T00:00:00"/>
    <x v="6"/>
    <n v="300"/>
    <n v="5508"/>
    <n v="2541"/>
    <n v="2967"/>
  </r>
  <r>
    <x v="4"/>
    <x v="2"/>
    <x v="0"/>
    <d v="2017-08-03T00:00:00"/>
    <x v="13"/>
    <n v="400"/>
    <n v="9704"/>
    <n v="4088"/>
    <n v="5616"/>
  </r>
  <r>
    <x v="5"/>
    <x v="2"/>
    <x v="0"/>
    <d v="2017-08-04T00:00:00"/>
    <x v="23"/>
    <n v="600"/>
    <n v="13962"/>
    <n v="6132"/>
    <n v="7830"/>
  </r>
  <r>
    <x v="4"/>
    <x v="2"/>
    <x v="2"/>
    <d v="2017-08-05T00:00:00"/>
    <x v="13"/>
    <n v="700"/>
    <n v="13433"/>
    <n v="5929"/>
    <n v="7504"/>
  </r>
  <r>
    <x v="5"/>
    <x v="2"/>
    <x v="2"/>
    <d v="2017-08-06T00:00:00"/>
    <x v="16"/>
    <n v="800"/>
    <n v="15288"/>
    <n v="6776"/>
    <n v="8512"/>
  </r>
  <r>
    <x v="1"/>
    <x v="0"/>
    <x v="0"/>
    <d v="2017-08-06T00:00:00"/>
    <x v="5"/>
    <n v="900"/>
    <n v="19584"/>
    <n v="9198"/>
    <n v="10386"/>
  </r>
  <r>
    <x v="0"/>
    <x v="1"/>
    <x v="0"/>
    <d v="2017-08-07T00:00:00"/>
    <x v="11"/>
    <n v="100"/>
    <n v="2320"/>
    <n v="1022"/>
    <n v="1298"/>
  </r>
  <r>
    <x v="0"/>
    <x v="2"/>
    <x v="1"/>
    <d v="2017-08-12T00:00:00"/>
    <x v="8"/>
    <n v="800"/>
    <n v="16936"/>
    <n v="7872"/>
    <n v="9064"/>
  </r>
  <r>
    <x v="0"/>
    <x v="0"/>
    <x v="2"/>
    <d v="2017-08-14T00:00:00"/>
    <x v="0"/>
    <n v="300"/>
    <n v="6138"/>
    <n v="2541"/>
    <n v="3597"/>
  </r>
  <r>
    <x v="0"/>
    <x v="1"/>
    <x v="1"/>
    <d v="2017-08-14T00:00:00"/>
    <x v="7"/>
    <n v="600"/>
    <n v="12030"/>
    <n v="5904"/>
    <n v="6126"/>
  </r>
  <r>
    <x v="5"/>
    <x v="2"/>
    <x v="0"/>
    <d v="2017-08-16T00:00:00"/>
    <x v="16"/>
    <n v="400"/>
    <n v="9384"/>
    <n v="4088"/>
    <n v="5296"/>
  </r>
  <r>
    <x v="4"/>
    <x v="2"/>
    <x v="2"/>
    <d v="2017-08-17T00:00:00"/>
    <x v="13"/>
    <n v="300"/>
    <n v="5904"/>
    <n v="2541"/>
    <n v="3363"/>
  </r>
  <r>
    <x v="4"/>
    <x v="2"/>
    <x v="2"/>
    <d v="2017-08-19T00:00:00"/>
    <x v="13"/>
    <n v="1000"/>
    <n v="21120"/>
    <n v="8470"/>
    <n v="12650"/>
  </r>
  <r>
    <x v="5"/>
    <x v="2"/>
    <x v="0"/>
    <d v="2017-08-20T00:00:00"/>
    <x v="16"/>
    <n v="900"/>
    <n v="18684"/>
    <n v="9198"/>
    <n v="9486"/>
  </r>
  <r>
    <x v="0"/>
    <x v="0"/>
    <x v="2"/>
    <d v="2017-08-20T00:00:00"/>
    <x v="0"/>
    <n v="100"/>
    <n v="1836"/>
    <n v="847"/>
    <n v="989"/>
  </r>
  <r>
    <x v="0"/>
    <x v="2"/>
    <x v="0"/>
    <d v="2017-08-22T00:00:00"/>
    <x v="8"/>
    <n v="600"/>
    <n v="15006"/>
    <n v="6132"/>
    <n v="8874"/>
  </r>
  <r>
    <x v="0"/>
    <x v="1"/>
    <x v="1"/>
    <d v="2017-08-22T00:00:00"/>
    <x v="9"/>
    <n v="900"/>
    <n v="19989"/>
    <n v="8856"/>
    <n v="11133"/>
  </r>
  <r>
    <x v="4"/>
    <x v="3"/>
    <x v="3"/>
    <d v="2017-08-25T00:00:00"/>
    <x v="17"/>
    <n v="800"/>
    <n v="17856"/>
    <n v="8176"/>
    <n v="9680"/>
  </r>
  <r>
    <x v="0"/>
    <x v="0"/>
    <x v="2"/>
    <d v="2017-08-25T00:00:00"/>
    <x v="0"/>
    <n v="100"/>
    <n v="1913"/>
    <n v="847"/>
    <n v="1066"/>
  </r>
  <r>
    <x v="0"/>
    <x v="1"/>
    <x v="0"/>
    <d v="2017-08-25T00:00:00"/>
    <x v="11"/>
    <n v="400"/>
    <n v="8744"/>
    <n v="4088"/>
    <n v="4656"/>
  </r>
  <r>
    <x v="0"/>
    <x v="1"/>
    <x v="0"/>
    <d v="2017-08-26T00:00:00"/>
    <x v="9"/>
    <n v="900"/>
    <n v="19368"/>
    <n v="9198"/>
    <n v="10170"/>
  </r>
  <r>
    <x v="3"/>
    <x v="0"/>
    <x v="2"/>
    <d v="2017-08-27T00:00:00"/>
    <x v="19"/>
    <n v="100"/>
    <n v="1819"/>
    <n v="847"/>
    <n v="972"/>
  </r>
  <r>
    <x v="0"/>
    <x v="2"/>
    <x v="0"/>
    <d v="2017-08-28T00:00:00"/>
    <x v="8"/>
    <n v="500"/>
    <n v="10990"/>
    <n v="5110"/>
    <n v="5880"/>
  </r>
  <r>
    <x v="0"/>
    <x v="2"/>
    <x v="0"/>
    <d v="2017-08-28T00:00:00"/>
    <x v="8"/>
    <n v="200"/>
    <n v="4440"/>
    <n v="2044"/>
    <n v="2396"/>
  </r>
  <r>
    <x v="1"/>
    <x v="1"/>
    <x v="2"/>
    <d v="2017-08-29T00:00:00"/>
    <x v="1"/>
    <n v="300"/>
    <n v="6309"/>
    <n v="2541"/>
    <n v="3768"/>
  </r>
  <r>
    <x v="5"/>
    <x v="2"/>
    <x v="1"/>
    <d v="2017-08-30T00:00:00"/>
    <x v="16"/>
    <n v="800"/>
    <n v="18904"/>
    <n v="7872"/>
    <n v="11032"/>
  </r>
  <r>
    <x v="2"/>
    <x v="1"/>
    <x v="0"/>
    <d v="2017-09-01T00:00:00"/>
    <x v="24"/>
    <n v="800"/>
    <n v="18072"/>
    <n v="8176"/>
    <n v="9896"/>
  </r>
  <r>
    <x v="3"/>
    <x v="2"/>
    <x v="2"/>
    <d v="2017-09-01T00:00:00"/>
    <x v="6"/>
    <n v="100"/>
    <n v="2012"/>
    <n v="847"/>
    <n v="1165"/>
  </r>
  <r>
    <x v="0"/>
    <x v="0"/>
    <x v="2"/>
    <d v="2017-09-04T00:00:00"/>
    <x v="0"/>
    <n v="500"/>
    <n v="10295"/>
    <n v="4235"/>
    <n v="6060"/>
  </r>
  <r>
    <x v="0"/>
    <x v="0"/>
    <x v="2"/>
    <d v="2017-09-05T00:00:00"/>
    <x v="0"/>
    <n v="400"/>
    <n v="7944"/>
    <n v="3388"/>
    <n v="4556"/>
  </r>
  <r>
    <x v="0"/>
    <x v="1"/>
    <x v="2"/>
    <d v="2017-09-06T00:00:00"/>
    <x v="7"/>
    <n v="100"/>
    <n v="1957"/>
    <n v="847"/>
    <n v="1110"/>
  </r>
  <r>
    <x v="1"/>
    <x v="1"/>
    <x v="1"/>
    <d v="2017-09-10T00:00:00"/>
    <x v="1"/>
    <n v="700"/>
    <n v="15680"/>
    <n v="6888"/>
    <n v="8792"/>
  </r>
  <r>
    <x v="0"/>
    <x v="2"/>
    <x v="1"/>
    <d v="2017-09-10T00:00:00"/>
    <x v="8"/>
    <n v="600"/>
    <n v="12756"/>
    <n v="5904"/>
    <n v="6852"/>
  </r>
  <r>
    <x v="4"/>
    <x v="2"/>
    <x v="2"/>
    <d v="2017-09-11T00:00:00"/>
    <x v="13"/>
    <n v="300"/>
    <n v="5826"/>
    <n v="2541"/>
    <n v="3285"/>
  </r>
  <r>
    <x v="0"/>
    <x v="1"/>
    <x v="0"/>
    <d v="2017-09-13T00:00:00"/>
    <x v="9"/>
    <n v="800"/>
    <n v="20008"/>
    <n v="8176"/>
    <n v="11832"/>
  </r>
  <r>
    <x v="0"/>
    <x v="1"/>
    <x v="2"/>
    <d v="2017-09-14T00:00:00"/>
    <x v="9"/>
    <n v="300"/>
    <n v="5457"/>
    <n v="2541"/>
    <n v="2916"/>
  </r>
  <r>
    <x v="4"/>
    <x v="2"/>
    <x v="2"/>
    <d v="2017-09-15T00:00:00"/>
    <x v="13"/>
    <n v="600"/>
    <n v="12330"/>
    <n v="5082"/>
    <n v="7248"/>
  </r>
  <r>
    <x v="0"/>
    <x v="2"/>
    <x v="1"/>
    <d v="2017-09-18T00:00:00"/>
    <x v="8"/>
    <n v="500"/>
    <n v="11845"/>
    <n v="4920"/>
    <n v="6925"/>
  </r>
  <r>
    <x v="3"/>
    <x v="2"/>
    <x v="1"/>
    <d v="2017-09-19T00:00:00"/>
    <x v="18"/>
    <n v="800"/>
    <n v="16784"/>
    <n v="7872"/>
    <n v="8912"/>
  </r>
  <r>
    <x v="1"/>
    <x v="0"/>
    <x v="2"/>
    <d v="2017-09-22T00:00:00"/>
    <x v="5"/>
    <n v="1000"/>
    <n v="17200"/>
    <n v="8470"/>
    <n v="8730"/>
  </r>
  <r>
    <x v="0"/>
    <x v="1"/>
    <x v="2"/>
    <d v="2017-09-23T00:00:00"/>
    <x v="9"/>
    <n v="600"/>
    <n v="10602"/>
    <n v="5082"/>
    <n v="5520"/>
  </r>
  <r>
    <x v="0"/>
    <x v="2"/>
    <x v="2"/>
    <d v="2017-09-25T00:00:00"/>
    <x v="8"/>
    <n v="500"/>
    <n v="9350"/>
    <n v="4235"/>
    <n v="5115"/>
  </r>
  <r>
    <x v="1"/>
    <x v="0"/>
    <x v="0"/>
    <d v="2017-09-25T00:00:00"/>
    <x v="5"/>
    <n v="100"/>
    <n v="2095"/>
    <n v="1022"/>
    <n v="1073"/>
  </r>
  <r>
    <x v="1"/>
    <x v="0"/>
    <x v="1"/>
    <d v="2017-09-26T00:00:00"/>
    <x v="5"/>
    <n v="600"/>
    <n v="13728"/>
    <n v="5904"/>
    <n v="7824"/>
  </r>
  <r>
    <x v="0"/>
    <x v="1"/>
    <x v="2"/>
    <d v="2017-09-27T00:00:00"/>
    <x v="11"/>
    <n v="900"/>
    <n v="17712"/>
    <n v="7623"/>
    <n v="10089"/>
  </r>
  <r>
    <x v="3"/>
    <x v="2"/>
    <x v="1"/>
    <d v="2017-09-27T00:00:00"/>
    <x v="6"/>
    <n v="1000"/>
    <n v="23080"/>
    <n v="9840"/>
    <n v="13240"/>
  </r>
  <r>
    <x v="3"/>
    <x v="2"/>
    <x v="2"/>
    <d v="2017-09-28T00:00:00"/>
    <x v="6"/>
    <n v="800"/>
    <n v="13552"/>
    <n v="6776"/>
    <n v="6776"/>
  </r>
  <r>
    <x v="1"/>
    <x v="0"/>
    <x v="0"/>
    <d v="2017-09-29T00:00:00"/>
    <x v="5"/>
    <n v="600"/>
    <n v="12480"/>
    <n v="6132"/>
    <n v="6348"/>
  </r>
  <r>
    <x v="0"/>
    <x v="1"/>
    <x v="2"/>
    <d v="2017-09-30T00:00:00"/>
    <x v="9"/>
    <n v="900"/>
    <n v="15759"/>
    <n v="7623"/>
    <n v="8136"/>
  </r>
  <r>
    <x v="0"/>
    <x v="1"/>
    <x v="1"/>
    <d v="2017-10-02T00:00:00"/>
    <x v="11"/>
    <n v="200"/>
    <n v="4866"/>
    <n v="1968"/>
    <n v="2898"/>
  </r>
  <r>
    <x v="0"/>
    <x v="0"/>
    <x v="2"/>
    <d v="2017-10-03T00:00:00"/>
    <x v="0"/>
    <n v="100"/>
    <n v="1877"/>
    <n v="847"/>
    <n v="1030"/>
  </r>
  <r>
    <x v="3"/>
    <x v="2"/>
    <x v="0"/>
    <d v="2017-10-06T00:00:00"/>
    <x v="18"/>
    <n v="800"/>
    <n v="16936"/>
    <n v="8176"/>
    <n v="8760"/>
  </r>
  <r>
    <x v="3"/>
    <x v="2"/>
    <x v="0"/>
    <d v="2017-10-07T00:00:00"/>
    <x v="6"/>
    <n v="700"/>
    <n v="15715"/>
    <n v="7154"/>
    <n v="8561"/>
  </r>
  <r>
    <x v="0"/>
    <x v="1"/>
    <x v="0"/>
    <d v="2017-10-08T00:00:00"/>
    <x v="9"/>
    <n v="800"/>
    <n v="18208"/>
    <n v="8176"/>
    <n v="10032"/>
  </r>
  <r>
    <x v="4"/>
    <x v="3"/>
    <x v="1"/>
    <d v="2017-10-08T00:00:00"/>
    <x v="17"/>
    <n v="100"/>
    <n v="2358"/>
    <n v="984"/>
    <n v="1374"/>
  </r>
  <r>
    <x v="0"/>
    <x v="1"/>
    <x v="0"/>
    <d v="2017-10-10T00:00:00"/>
    <x v="7"/>
    <n v="400"/>
    <n v="8560"/>
    <n v="4088"/>
    <n v="4472"/>
  </r>
  <r>
    <x v="0"/>
    <x v="1"/>
    <x v="1"/>
    <d v="2017-10-12T00:00:00"/>
    <x v="7"/>
    <n v="1000"/>
    <n v="20190"/>
    <n v="9840"/>
    <n v="10350"/>
  </r>
  <r>
    <x v="0"/>
    <x v="3"/>
    <x v="0"/>
    <d v="2017-10-13T00:00:00"/>
    <x v="14"/>
    <n v="300"/>
    <n v="7032"/>
    <n v="3066"/>
    <n v="3966"/>
  </r>
  <r>
    <x v="0"/>
    <x v="1"/>
    <x v="0"/>
    <d v="2017-10-15T00:00:00"/>
    <x v="9"/>
    <n v="100"/>
    <n v="2517"/>
    <n v="1022"/>
    <n v="1495"/>
  </r>
  <r>
    <x v="4"/>
    <x v="2"/>
    <x v="0"/>
    <d v="2017-10-16T00:00:00"/>
    <x v="13"/>
    <n v="500"/>
    <n v="10550"/>
    <n v="5110"/>
    <n v="5440"/>
  </r>
  <r>
    <x v="5"/>
    <x v="2"/>
    <x v="2"/>
    <d v="2017-10-16T00:00:00"/>
    <x v="16"/>
    <n v="700"/>
    <n v="14133"/>
    <n v="5929"/>
    <n v="8204"/>
  </r>
  <r>
    <x v="4"/>
    <x v="2"/>
    <x v="0"/>
    <d v="2017-10-17T00:00:00"/>
    <x v="13"/>
    <n v="300"/>
    <n v="6495"/>
    <n v="3066"/>
    <n v="3429"/>
  </r>
  <r>
    <x v="0"/>
    <x v="1"/>
    <x v="2"/>
    <d v="2017-10-18T00:00:00"/>
    <x v="9"/>
    <n v="400"/>
    <n v="7520"/>
    <n v="3388"/>
    <n v="4132"/>
  </r>
  <r>
    <x v="0"/>
    <x v="2"/>
    <x v="0"/>
    <d v="2017-10-20T00:00:00"/>
    <x v="8"/>
    <n v="900"/>
    <n v="21834"/>
    <n v="9198"/>
    <n v="12636"/>
  </r>
  <r>
    <x v="0"/>
    <x v="1"/>
    <x v="2"/>
    <d v="2017-10-20T00:00:00"/>
    <x v="9"/>
    <n v="800"/>
    <n v="14136"/>
    <n v="6776"/>
    <n v="7360"/>
  </r>
  <r>
    <x v="1"/>
    <x v="0"/>
    <x v="2"/>
    <d v="2017-10-22T00:00:00"/>
    <x v="5"/>
    <n v="800"/>
    <n v="16008"/>
    <n v="6776"/>
    <n v="9232"/>
  </r>
  <r>
    <x v="5"/>
    <x v="2"/>
    <x v="1"/>
    <d v="2017-10-22T00:00:00"/>
    <x v="23"/>
    <n v="500"/>
    <n v="11220"/>
    <n v="4920"/>
    <n v="6300"/>
  </r>
  <r>
    <x v="3"/>
    <x v="2"/>
    <x v="1"/>
    <d v="2017-10-23T00:00:00"/>
    <x v="6"/>
    <n v="1000"/>
    <n v="23040"/>
    <n v="9840"/>
    <n v="13200"/>
  </r>
  <r>
    <x v="4"/>
    <x v="2"/>
    <x v="1"/>
    <d v="2017-10-25T00:00:00"/>
    <x v="13"/>
    <n v="500"/>
    <n v="10955"/>
    <n v="4920"/>
    <n v="6035"/>
  </r>
  <r>
    <x v="4"/>
    <x v="2"/>
    <x v="0"/>
    <d v="2017-10-25T00:00:00"/>
    <x v="13"/>
    <n v="900"/>
    <n v="21762"/>
    <n v="9198"/>
    <n v="12564"/>
  </r>
  <r>
    <x v="4"/>
    <x v="2"/>
    <x v="2"/>
    <d v="2017-10-27T00:00:00"/>
    <x v="13"/>
    <n v="800"/>
    <n v="15976"/>
    <n v="6776"/>
    <n v="9200"/>
  </r>
  <r>
    <x v="0"/>
    <x v="1"/>
    <x v="1"/>
    <d v="2017-10-30T00:00:00"/>
    <x v="9"/>
    <n v="1000"/>
    <n v="20540"/>
    <n v="9840"/>
    <n v="10700"/>
  </r>
  <r>
    <x v="0"/>
    <x v="1"/>
    <x v="2"/>
    <d v="2017-10-31T00:00:00"/>
    <x v="11"/>
    <n v="500"/>
    <n v="9475"/>
    <n v="4235"/>
    <n v="5240"/>
  </r>
  <r>
    <x v="1"/>
    <x v="0"/>
    <x v="0"/>
    <d v="2017-11-01T00:00:00"/>
    <x v="5"/>
    <n v="100"/>
    <n v="2343"/>
    <n v="1022"/>
    <n v="1321"/>
  </r>
  <r>
    <x v="0"/>
    <x v="1"/>
    <x v="0"/>
    <d v="2017-11-04T00:00:00"/>
    <x v="11"/>
    <n v="500"/>
    <n v="10645"/>
    <n v="5110"/>
    <n v="5535"/>
  </r>
  <r>
    <x v="0"/>
    <x v="1"/>
    <x v="2"/>
    <d v="2017-11-05T00:00:00"/>
    <x v="11"/>
    <n v="400"/>
    <n v="8468"/>
    <n v="3388"/>
    <n v="5080"/>
  </r>
  <r>
    <x v="0"/>
    <x v="1"/>
    <x v="2"/>
    <d v="2017-11-08T00:00:00"/>
    <x v="9"/>
    <n v="400"/>
    <n v="8196"/>
    <n v="3388"/>
    <n v="4808"/>
  </r>
  <r>
    <x v="0"/>
    <x v="1"/>
    <x v="1"/>
    <d v="2017-11-11T00:00:00"/>
    <x v="9"/>
    <n v="500"/>
    <n v="11295"/>
    <n v="4920"/>
    <n v="6375"/>
  </r>
  <r>
    <x v="1"/>
    <x v="1"/>
    <x v="0"/>
    <d v="2017-11-13T00:00:00"/>
    <x v="1"/>
    <n v="800"/>
    <n v="19376"/>
    <n v="8176"/>
    <n v="11200"/>
  </r>
  <r>
    <x v="0"/>
    <x v="1"/>
    <x v="1"/>
    <d v="2017-11-13T00:00:00"/>
    <x v="11"/>
    <n v="600"/>
    <n v="14466"/>
    <n v="5904"/>
    <n v="8562"/>
  </r>
  <r>
    <x v="0"/>
    <x v="2"/>
    <x v="2"/>
    <d v="2017-11-15T00:00:00"/>
    <x v="8"/>
    <n v="900"/>
    <n v="15255"/>
    <n v="7623"/>
    <n v="7632"/>
  </r>
  <r>
    <x v="5"/>
    <x v="2"/>
    <x v="1"/>
    <d v="2017-11-15T00:00:00"/>
    <x v="16"/>
    <n v="900"/>
    <n v="21033"/>
    <n v="8856"/>
    <n v="12177"/>
  </r>
  <r>
    <x v="5"/>
    <x v="3"/>
    <x v="2"/>
    <d v="2017-11-16T00:00:00"/>
    <x v="25"/>
    <n v="1000"/>
    <n v="17250"/>
    <n v="8470"/>
    <n v="8780"/>
  </r>
  <r>
    <x v="1"/>
    <x v="0"/>
    <x v="1"/>
    <d v="2017-11-17T00:00:00"/>
    <x v="5"/>
    <n v="600"/>
    <n v="13200"/>
    <n v="5904"/>
    <n v="7296"/>
  </r>
  <r>
    <x v="1"/>
    <x v="1"/>
    <x v="3"/>
    <d v="2017-11-20T00:00:00"/>
    <x v="10"/>
    <n v="1000"/>
    <n v="24420"/>
    <n v="10220"/>
    <n v="14200"/>
  </r>
  <r>
    <x v="0"/>
    <x v="1"/>
    <x v="2"/>
    <d v="2017-11-20T00:00:00"/>
    <x v="11"/>
    <n v="200"/>
    <n v="3672"/>
    <n v="1694"/>
    <n v="1978"/>
  </r>
  <r>
    <x v="0"/>
    <x v="1"/>
    <x v="1"/>
    <d v="2017-11-21T00:00:00"/>
    <x v="9"/>
    <n v="300"/>
    <n v="7053"/>
    <n v="2952"/>
    <n v="4101"/>
  </r>
  <r>
    <x v="1"/>
    <x v="1"/>
    <x v="2"/>
    <d v="2017-11-23T00:00:00"/>
    <x v="1"/>
    <n v="900"/>
    <n v="17136"/>
    <n v="7623"/>
    <n v="9513"/>
  </r>
  <r>
    <x v="0"/>
    <x v="1"/>
    <x v="1"/>
    <d v="2017-11-23T00:00:00"/>
    <x v="9"/>
    <n v="100"/>
    <n v="2410"/>
    <n v="984"/>
    <n v="1426"/>
  </r>
  <r>
    <x v="1"/>
    <x v="1"/>
    <x v="1"/>
    <d v="2017-11-24T00:00:00"/>
    <x v="1"/>
    <n v="300"/>
    <n v="6462"/>
    <n v="2952"/>
    <n v="3510"/>
  </r>
  <r>
    <x v="3"/>
    <x v="0"/>
    <x v="0"/>
    <d v="2017-11-25T00:00:00"/>
    <x v="19"/>
    <n v="100"/>
    <n v="2538"/>
    <n v="1022"/>
    <n v="1516"/>
  </r>
  <r>
    <x v="0"/>
    <x v="1"/>
    <x v="1"/>
    <d v="2017-11-28T00:00:00"/>
    <x v="11"/>
    <n v="500"/>
    <n v="9890"/>
    <n v="4920"/>
    <n v="4970"/>
  </r>
  <r>
    <x v="1"/>
    <x v="0"/>
    <x v="1"/>
    <d v="2017-11-28T00:00:00"/>
    <x v="5"/>
    <n v="100"/>
    <n v="2004"/>
    <n v="984"/>
    <n v="1020"/>
  </r>
  <r>
    <x v="0"/>
    <x v="1"/>
    <x v="0"/>
    <d v="2017-11-29T00:00:00"/>
    <x v="11"/>
    <n v="300"/>
    <n v="7569"/>
    <n v="3066"/>
    <n v="4503"/>
  </r>
  <r>
    <x v="1"/>
    <x v="1"/>
    <x v="2"/>
    <d v="2017-11-30T00:00:00"/>
    <x v="1"/>
    <n v="300"/>
    <n v="5592"/>
    <n v="2541"/>
    <n v="3051"/>
  </r>
  <r>
    <x v="0"/>
    <x v="1"/>
    <x v="1"/>
    <d v="2017-12-01T00:00:00"/>
    <x v="7"/>
    <n v="200"/>
    <n v="3942"/>
    <n v="1968"/>
    <n v="1974"/>
  </r>
  <r>
    <x v="4"/>
    <x v="0"/>
    <x v="1"/>
    <d v="2017-12-02T00:00:00"/>
    <x v="26"/>
    <n v="800"/>
    <n v="19344"/>
    <n v="7872"/>
    <n v="11472"/>
  </r>
  <r>
    <x v="0"/>
    <x v="2"/>
    <x v="1"/>
    <d v="2017-12-04T00:00:00"/>
    <x v="8"/>
    <n v="900"/>
    <n v="21546"/>
    <n v="8856"/>
    <n v="12690"/>
  </r>
  <r>
    <x v="4"/>
    <x v="0"/>
    <x v="1"/>
    <d v="2017-12-05T00:00:00"/>
    <x v="26"/>
    <n v="500"/>
    <n v="10760"/>
    <n v="4920"/>
    <n v="5840"/>
  </r>
  <r>
    <x v="3"/>
    <x v="2"/>
    <x v="2"/>
    <d v="2017-12-05T00:00:00"/>
    <x v="6"/>
    <n v="900"/>
    <n v="18243"/>
    <n v="7623"/>
    <n v="10620"/>
  </r>
  <r>
    <x v="0"/>
    <x v="0"/>
    <x v="2"/>
    <d v="2017-12-06T00:00:00"/>
    <x v="0"/>
    <n v="800"/>
    <n v="16856"/>
    <n v="6776"/>
    <n v="10080"/>
  </r>
  <r>
    <x v="4"/>
    <x v="2"/>
    <x v="2"/>
    <d v="2017-12-08T00:00:00"/>
    <x v="13"/>
    <n v="700"/>
    <n v="14105"/>
    <n v="5929"/>
    <n v="8176"/>
  </r>
  <r>
    <x v="0"/>
    <x v="1"/>
    <x v="2"/>
    <d v="2017-12-08T00:00:00"/>
    <x v="7"/>
    <n v="100"/>
    <n v="2111"/>
    <n v="847"/>
    <n v="1264"/>
  </r>
  <r>
    <x v="0"/>
    <x v="0"/>
    <x v="0"/>
    <d v="2017-12-09T00:00:00"/>
    <x v="15"/>
    <n v="400"/>
    <n v="9660"/>
    <n v="4088"/>
    <n v="5572"/>
  </r>
  <r>
    <x v="4"/>
    <x v="2"/>
    <x v="2"/>
    <d v="2017-12-10T00:00:00"/>
    <x v="13"/>
    <n v="100"/>
    <n v="1878"/>
    <n v="847"/>
    <n v="1031"/>
  </r>
  <r>
    <x v="0"/>
    <x v="1"/>
    <x v="1"/>
    <d v="2017-12-10T00:00:00"/>
    <x v="11"/>
    <n v="600"/>
    <n v="12888"/>
    <n v="5904"/>
    <n v="6984"/>
  </r>
  <r>
    <x v="0"/>
    <x v="1"/>
    <x v="2"/>
    <d v="2017-12-12T00:00:00"/>
    <x v="7"/>
    <n v="100"/>
    <n v="2108"/>
    <n v="847"/>
    <n v="1261"/>
  </r>
  <r>
    <x v="4"/>
    <x v="2"/>
    <x v="2"/>
    <d v="2017-12-14T00:00:00"/>
    <x v="13"/>
    <n v="600"/>
    <n v="11964"/>
    <n v="5082"/>
    <n v="6882"/>
  </r>
  <r>
    <x v="4"/>
    <x v="2"/>
    <x v="0"/>
    <d v="2017-12-15T00:00:00"/>
    <x v="13"/>
    <n v="900"/>
    <n v="20664"/>
    <n v="9198"/>
    <n v="11466"/>
  </r>
  <r>
    <x v="0"/>
    <x v="1"/>
    <x v="0"/>
    <d v="2017-12-15T00:00:00"/>
    <x v="7"/>
    <n v="300"/>
    <n v="6732"/>
    <n v="3066"/>
    <n v="3666"/>
  </r>
  <r>
    <x v="4"/>
    <x v="2"/>
    <x v="2"/>
    <d v="2017-12-18T00:00:00"/>
    <x v="13"/>
    <n v="900"/>
    <n v="15651"/>
    <n v="7623"/>
    <n v="8028"/>
  </r>
  <r>
    <x v="5"/>
    <x v="2"/>
    <x v="2"/>
    <d v="2017-12-19T00:00:00"/>
    <x v="16"/>
    <n v="600"/>
    <n v="11274"/>
    <n v="5082"/>
    <n v="6192"/>
  </r>
  <r>
    <x v="0"/>
    <x v="0"/>
    <x v="2"/>
    <d v="2017-12-20T00:00:00"/>
    <x v="0"/>
    <n v="800"/>
    <n v="14408"/>
    <n v="6776"/>
    <n v="7632"/>
  </r>
  <r>
    <x v="0"/>
    <x v="1"/>
    <x v="0"/>
    <d v="2017-12-21T00:00:00"/>
    <x v="7"/>
    <n v="100"/>
    <n v="2213"/>
    <n v="1022"/>
    <n v="1191"/>
  </r>
  <r>
    <x v="0"/>
    <x v="1"/>
    <x v="2"/>
    <d v="2017-12-22T00:00:00"/>
    <x v="7"/>
    <n v="500"/>
    <n v="8725"/>
    <n v="4235"/>
    <n v="4490"/>
  </r>
  <r>
    <x v="1"/>
    <x v="1"/>
    <x v="0"/>
    <d v="2017-12-24T00:00:00"/>
    <x v="1"/>
    <n v="900"/>
    <n v="18666"/>
    <n v="9198"/>
    <n v="9468"/>
  </r>
  <r>
    <x v="1"/>
    <x v="1"/>
    <x v="2"/>
    <d v="2017-12-25T00:00:00"/>
    <x v="1"/>
    <n v="100"/>
    <n v="2055"/>
    <n v="847"/>
    <n v="1208"/>
  </r>
  <r>
    <x v="0"/>
    <x v="1"/>
    <x v="1"/>
    <d v="2017-12-25T00:00:00"/>
    <x v="11"/>
    <n v="500"/>
    <n v="10475"/>
    <n v="4920"/>
    <n v="5555"/>
  </r>
  <r>
    <x v="4"/>
    <x v="2"/>
    <x v="0"/>
    <d v="2017-12-27T00:00:00"/>
    <x v="13"/>
    <n v="600"/>
    <n v="14178"/>
    <n v="6132"/>
    <n v="8046"/>
  </r>
  <r>
    <x v="0"/>
    <x v="1"/>
    <x v="2"/>
    <d v="2017-12-27T00:00:00"/>
    <x v="11"/>
    <n v="100"/>
    <n v="1861"/>
    <n v="847"/>
    <n v="1014"/>
  </r>
  <r>
    <x v="0"/>
    <x v="2"/>
    <x v="2"/>
    <d v="2017-12-28T00:00:00"/>
    <x v="8"/>
    <n v="500"/>
    <n v="9460"/>
    <n v="4235"/>
    <n v="5225"/>
  </r>
  <r>
    <x v="1"/>
    <x v="0"/>
    <x v="2"/>
    <d v="2017-12-29T00:00:00"/>
    <x v="5"/>
    <n v="600"/>
    <n v="10290"/>
    <n v="5082"/>
    <n v="5208"/>
  </r>
  <r>
    <x v="1"/>
    <x v="1"/>
    <x v="2"/>
    <d v="2018-01-02T00:00:00"/>
    <x v="1"/>
    <n v="500"/>
    <n v="10245"/>
    <n v="4235"/>
    <n v="6010"/>
  </r>
  <r>
    <x v="0"/>
    <x v="1"/>
    <x v="0"/>
    <d v="2018-01-03T00:00:00"/>
    <x v="11"/>
    <n v="500"/>
    <n v="11240"/>
    <n v="5110"/>
    <n v="6130"/>
  </r>
  <r>
    <x v="0"/>
    <x v="1"/>
    <x v="0"/>
    <d v="2018-01-04T00:00:00"/>
    <x v="11"/>
    <n v="400"/>
    <n v="9204"/>
    <n v="4088"/>
    <n v="5116"/>
  </r>
  <r>
    <x v="0"/>
    <x v="1"/>
    <x v="2"/>
    <d v="2018-01-05T00:00:00"/>
    <x v="7"/>
    <n v="400"/>
    <n v="6860"/>
    <n v="3388"/>
    <n v="3472"/>
  </r>
  <r>
    <x v="2"/>
    <x v="2"/>
    <x v="0"/>
    <d v="2018-01-07T00:00:00"/>
    <x v="2"/>
    <n v="600"/>
    <n v="13806"/>
    <n v="6132"/>
    <n v="7674"/>
  </r>
  <r>
    <x v="3"/>
    <x v="3"/>
    <x v="0"/>
    <d v="2018-01-09T00:00:00"/>
    <x v="20"/>
    <n v="900"/>
    <n v="21015"/>
    <n v="9198"/>
    <n v="11817"/>
  </r>
  <r>
    <x v="0"/>
    <x v="1"/>
    <x v="0"/>
    <d v="2018-01-10T00:00:00"/>
    <x v="11"/>
    <n v="900"/>
    <n v="21465"/>
    <n v="9198"/>
    <n v="12267"/>
  </r>
  <r>
    <x v="0"/>
    <x v="1"/>
    <x v="0"/>
    <d v="2018-01-12T00:00:00"/>
    <x v="11"/>
    <n v="400"/>
    <n v="9144"/>
    <n v="4088"/>
    <n v="5056"/>
  </r>
  <r>
    <x v="0"/>
    <x v="2"/>
    <x v="2"/>
    <d v="2018-01-14T00:00:00"/>
    <x v="8"/>
    <n v="100"/>
    <n v="1740"/>
    <n v="847"/>
    <n v="893"/>
  </r>
  <r>
    <x v="3"/>
    <x v="2"/>
    <x v="2"/>
    <d v="2018-01-14T00:00:00"/>
    <x v="6"/>
    <n v="1000"/>
    <n v="19110"/>
    <n v="8470"/>
    <n v="10640"/>
  </r>
  <r>
    <x v="3"/>
    <x v="2"/>
    <x v="0"/>
    <d v="2018-01-16T00:00:00"/>
    <x v="6"/>
    <n v="900"/>
    <n v="21888"/>
    <n v="9198"/>
    <n v="12690"/>
  </r>
  <r>
    <x v="4"/>
    <x v="2"/>
    <x v="1"/>
    <d v="2018-01-17T00:00:00"/>
    <x v="13"/>
    <n v="300"/>
    <n v="5961"/>
    <n v="2952"/>
    <n v="3009"/>
  </r>
  <r>
    <x v="0"/>
    <x v="1"/>
    <x v="2"/>
    <d v="2018-01-20T00:00:00"/>
    <x v="9"/>
    <n v="900"/>
    <n v="17505"/>
    <n v="7623"/>
    <n v="9882"/>
  </r>
  <r>
    <x v="4"/>
    <x v="2"/>
    <x v="1"/>
    <d v="2018-01-21T00:00:00"/>
    <x v="13"/>
    <n v="300"/>
    <n v="7032"/>
    <n v="2952"/>
    <n v="4080"/>
  </r>
  <r>
    <x v="4"/>
    <x v="2"/>
    <x v="1"/>
    <d v="2018-01-22T00:00:00"/>
    <x v="13"/>
    <n v="300"/>
    <n v="6735"/>
    <n v="2952"/>
    <n v="3783"/>
  </r>
  <r>
    <x v="4"/>
    <x v="2"/>
    <x v="2"/>
    <d v="2018-01-23T00:00:00"/>
    <x v="13"/>
    <n v="400"/>
    <n v="8164"/>
    <n v="3388"/>
    <n v="4776"/>
  </r>
  <r>
    <x v="3"/>
    <x v="2"/>
    <x v="2"/>
    <d v="2018-01-24T00:00:00"/>
    <x v="6"/>
    <n v="300"/>
    <n v="6207"/>
    <n v="2541"/>
    <n v="3666"/>
  </r>
  <r>
    <x v="4"/>
    <x v="2"/>
    <x v="1"/>
    <d v="2018-01-25T00:00:00"/>
    <x v="13"/>
    <n v="300"/>
    <n v="6240"/>
    <n v="2952"/>
    <n v="3288"/>
  </r>
  <r>
    <x v="0"/>
    <x v="1"/>
    <x v="2"/>
    <d v="2018-01-27T00:00:00"/>
    <x v="11"/>
    <n v="500"/>
    <n v="10445"/>
    <n v="4235"/>
    <n v="6210"/>
  </r>
  <r>
    <x v="3"/>
    <x v="2"/>
    <x v="2"/>
    <d v="2018-01-29T00:00:00"/>
    <x v="6"/>
    <n v="800"/>
    <n v="14224"/>
    <n v="6776"/>
    <n v="7448"/>
  </r>
  <r>
    <x v="0"/>
    <x v="2"/>
    <x v="0"/>
    <d v="2018-01-30T00:00:00"/>
    <x v="8"/>
    <n v="400"/>
    <n v="10044"/>
    <n v="4088"/>
    <n v="5956"/>
  </r>
  <r>
    <x v="0"/>
    <x v="1"/>
    <x v="2"/>
    <d v="2018-01-31T00:00:00"/>
    <x v="9"/>
    <n v="1000"/>
    <n v="19250"/>
    <n v="8470"/>
    <n v="10780"/>
  </r>
  <r>
    <x v="4"/>
    <x v="2"/>
    <x v="1"/>
    <d v="2018-02-01T00:00:00"/>
    <x v="13"/>
    <n v="200"/>
    <n v="4740"/>
    <n v="1968"/>
    <n v="2772"/>
  </r>
  <r>
    <x v="1"/>
    <x v="0"/>
    <x v="1"/>
    <d v="2018-02-01T00:00:00"/>
    <x v="5"/>
    <n v="600"/>
    <n v="12672"/>
    <n v="5904"/>
    <n v="6768"/>
  </r>
  <r>
    <x v="4"/>
    <x v="2"/>
    <x v="2"/>
    <d v="2018-02-05T00:00:00"/>
    <x v="13"/>
    <n v="700"/>
    <n v="13314"/>
    <n v="5929"/>
    <n v="7385"/>
  </r>
  <r>
    <x v="0"/>
    <x v="1"/>
    <x v="1"/>
    <d v="2018-02-06T00:00:00"/>
    <x v="11"/>
    <n v="200"/>
    <n v="4280"/>
    <n v="1968"/>
    <n v="2312"/>
  </r>
  <r>
    <x v="1"/>
    <x v="1"/>
    <x v="2"/>
    <d v="2018-02-08T00:00:00"/>
    <x v="1"/>
    <n v="300"/>
    <n v="6045"/>
    <n v="2541"/>
    <n v="3504"/>
  </r>
  <r>
    <x v="3"/>
    <x v="2"/>
    <x v="2"/>
    <d v="2018-02-09T00:00:00"/>
    <x v="6"/>
    <n v="400"/>
    <n v="7180"/>
    <n v="3388"/>
    <n v="3792"/>
  </r>
  <r>
    <x v="0"/>
    <x v="1"/>
    <x v="1"/>
    <d v="2018-02-13T00:00:00"/>
    <x v="9"/>
    <n v="600"/>
    <n v="12798"/>
    <n v="5904"/>
    <n v="6894"/>
  </r>
  <r>
    <x v="3"/>
    <x v="2"/>
    <x v="2"/>
    <d v="2018-02-15T00:00:00"/>
    <x v="6"/>
    <n v="100"/>
    <n v="2066"/>
    <n v="847"/>
    <n v="1219"/>
  </r>
  <r>
    <x v="0"/>
    <x v="0"/>
    <x v="1"/>
    <d v="2018-02-16T00:00:00"/>
    <x v="0"/>
    <n v="200"/>
    <n v="4742"/>
    <n v="1968"/>
    <n v="2774"/>
  </r>
  <r>
    <x v="1"/>
    <x v="0"/>
    <x v="2"/>
    <d v="2018-02-17T00:00:00"/>
    <x v="5"/>
    <n v="200"/>
    <n v="3876"/>
    <n v="1694"/>
    <n v="2182"/>
  </r>
  <r>
    <x v="0"/>
    <x v="1"/>
    <x v="1"/>
    <d v="2018-02-19T00:00:00"/>
    <x v="7"/>
    <n v="400"/>
    <n v="9088"/>
    <n v="3936"/>
    <n v="5152"/>
  </r>
  <r>
    <x v="1"/>
    <x v="0"/>
    <x v="0"/>
    <d v="2018-02-19T00:00:00"/>
    <x v="5"/>
    <n v="1000"/>
    <n v="25080"/>
    <n v="10220"/>
    <n v="14860"/>
  </r>
  <r>
    <x v="5"/>
    <x v="2"/>
    <x v="2"/>
    <d v="2018-02-20T00:00:00"/>
    <x v="16"/>
    <n v="400"/>
    <n v="7152"/>
    <n v="3388"/>
    <n v="3764"/>
  </r>
  <r>
    <x v="0"/>
    <x v="1"/>
    <x v="1"/>
    <d v="2018-02-20T00:00:00"/>
    <x v="11"/>
    <n v="800"/>
    <n v="18504"/>
    <n v="7872"/>
    <n v="10632"/>
  </r>
  <r>
    <x v="0"/>
    <x v="0"/>
    <x v="1"/>
    <d v="2018-02-22T00:00:00"/>
    <x v="0"/>
    <n v="600"/>
    <n v="12282"/>
    <n v="5904"/>
    <n v="6378"/>
  </r>
  <r>
    <x v="0"/>
    <x v="1"/>
    <x v="0"/>
    <d v="2018-02-24T00:00:00"/>
    <x v="11"/>
    <n v="1000"/>
    <n v="20940"/>
    <n v="10220"/>
    <n v="10720"/>
  </r>
  <r>
    <x v="1"/>
    <x v="0"/>
    <x v="2"/>
    <d v="2018-02-26T00:00:00"/>
    <x v="5"/>
    <n v="700"/>
    <n v="12145"/>
    <n v="5929"/>
    <n v="6216"/>
  </r>
  <r>
    <x v="0"/>
    <x v="0"/>
    <x v="0"/>
    <d v="2018-02-26T00:00:00"/>
    <x v="0"/>
    <n v="1000"/>
    <n v="22680"/>
    <n v="10220"/>
    <n v="12460"/>
  </r>
  <r>
    <x v="0"/>
    <x v="1"/>
    <x v="0"/>
    <d v="2018-02-26T00:00:00"/>
    <x v="7"/>
    <n v="700"/>
    <n v="17367"/>
    <n v="7154"/>
    <n v="10213"/>
  </r>
  <r>
    <x v="1"/>
    <x v="1"/>
    <x v="2"/>
    <d v="2018-02-27T00:00:00"/>
    <x v="1"/>
    <n v="600"/>
    <n v="11922"/>
    <n v="5082"/>
    <n v="6840"/>
  </r>
  <r>
    <x v="4"/>
    <x v="0"/>
    <x v="0"/>
    <d v="2018-02-27T00:00:00"/>
    <x v="26"/>
    <n v="200"/>
    <n v="4614"/>
    <n v="2044"/>
    <n v="2570"/>
  </r>
  <r>
    <x v="1"/>
    <x v="1"/>
    <x v="0"/>
    <d v="2018-02-28T00:00:00"/>
    <x v="1"/>
    <n v="1000"/>
    <n v="20490"/>
    <n v="10220"/>
    <n v="10270"/>
  </r>
  <r>
    <x v="0"/>
    <x v="1"/>
    <x v="0"/>
    <d v="2018-03-03T00:00:00"/>
    <x v="11"/>
    <n v="400"/>
    <n v="8620"/>
    <n v="4088"/>
    <n v="4532"/>
  </r>
  <r>
    <x v="0"/>
    <x v="1"/>
    <x v="1"/>
    <d v="2018-03-04T00:00:00"/>
    <x v="7"/>
    <n v="500"/>
    <n v="11860"/>
    <n v="4920"/>
    <n v="6940"/>
  </r>
  <r>
    <x v="5"/>
    <x v="2"/>
    <x v="2"/>
    <d v="2018-03-06T00:00:00"/>
    <x v="16"/>
    <n v="800"/>
    <n v="14984"/>
    <n v="6776"/>
    <n v="8208"/>
  </r>
  <r>
    <x v="0"/>
    <x v="0"/>
    <x v="2"/>
    <d v="2018-03-06T00:00:00"/>
    <x v="0"/>
    <n v="200"/>
    <n v="4010"/>
    <n v="1694"/>
    <n v="2316"/>
  </r>
  <r>
    <x v="1"/>
    <x v="0"/>
    <x v="0"/>
    <d v="2018-03-09T00:00:00"/>
    <x v="5"/>
    <n v="500"/>
    <n v="12505"/>
    <n v="5110"/>
    <n v="7395"/>
  </r>
  <r>
    <x v="1"/>
    <x v="0"/>
    <x v="2"/>
    <d v="2018-03-13T00:00:00"/>
    <x v="5"/>
    <n v="100"/>
    <n v="1704"/>
    <n v="847"/>
    <n v="857"/>
  </r>
  <r>
    <x v="0"/>
    <x v="1"/>
    <x v="0"/>
    <d v="2018-03-13T00:00:00"/>
    <x v="7"/>
    <n v="300"/>
    <n v="7305"/>
    <n v="3066"/>
    <n v="4239"/>
  </r>
  <r>
    <x v="0"/>
    <x v="1"/>
    <x v="0"/>
    <d v="2018-03-14T00:00:00"/>
    <x v="7"/>
    <n v="500"/>
    <n v="11965"/>
    <n v="5110"/>
    <n v="6855"/>
  </r>
  <r>
    <x v="5"/>
    <x v="2"/>
    <x v="0"/>
    <d v="2018-03-16T00:00:00"/>
    <x v="16"/>
    <n v="400"/>
    <n v="9240"/>
    <n v="4088"/>
    <n v="5152"/>
  </r>
  <r>
    <x v="0"/>
    <x v="0"/>
    <x v="1"/>
    <d v="2018-03-16T00:00:00"/>
    <x v="0"/>
    <n v="200"/>
    <n v="4526"/>
    <n v="1968"/>
    <n v="2558"/>
  </r>
  <r>
    <x v="0"/>
    <x v="1"/>
    <x v="1"/>
    <d v="2018-03-18T00:00:00"/>
    <x v="7"/>
    <n v="500"/>
    <n v="11695"/>
    <n v="4920"/>
    <n v="6775"/>
  </r>
  <r>
    <x v="4"/>
    <x v="2"/>
    <x v="1"/>
    <d v="2018-03-19T00:00:00"/>
    <x v="13"/>
    <n v="100"/>
    <n v="2272"/>
    <n v="984"/>
    <n v="1288"/>
  </r>
  <r>
    <x v="0"/>
    <x v="0"/>
    <x v="1"/>
    <d v="2018-03-20T00:00:00"/>
    <x v="0"/>
    <n v="100"/>
    <n v="2157"/>
    <n v="984"/>
    <n v="1173"/>
  </r>
  <r>
    <x v="1"/>
    <x v="1"/>
    <x v="0"/>
    <d v="2018-03-22T00:00:00"/>
    <x v="1"/>
    <n v="400"/>
    <n v="8732"/>
    <n v="4088"/>
    <n v="4644"/>
  </r>
  <r>
    <x v="0"/>
    <x v="1"/>
    <x v="1"/>
    <d v="2018-03-23T00:00:00"/>
    <x v="9"/>
    <n v="800"/>
    <n v="15856"/>
    <n v="7872"/>
    <n v="7984"/>
  </r>
  <r>
    <x v="3"/>
    <x v="0"/>
    <x v="3"/>
    <d v="2018-03-24T00:00:00"/>
    <x v="3"/>
    <n v="100"/>
    <n v="2484"/>
    <n v="1022"/>
    <n v="1462"/>
  </r>
  <r>
    <x v="3"/>
    <x v="2"/>
    <x v="1"/>
    <d v="2018-03-24T00:00:00"/>
    <x v="6"/>
    <n v="1000"/>
    <n v="23820"/>
    <n v="9840"/>
    <n v="13980"/>
  </r>
  <r>
    <x v="0"/>
    <x v="1"/>
    <x v="1"/>
    <d v="2018-03-25T00:00:00"/>
    <x v="11"/>
    <n v="200"/>
    <n v="4472"/>
    <n v="1968"/>
    <n v="2504"/>
  </r>
  <r>
    <x v="1"/>
    <x v="0"/>
    <x v="2"/>
    <d v="2018-03-26T00:00:00"/>
    <x v="5"/>
    <n v="700"/>
    <n v="11858"/>
    <n v="5929"/>
    <n v="5929"/>
  </r>
  <r>
    <x v="1"/>
    <x v="0"/>
    <x v="2"/>
    <d v="2018-03-28T00:00:00"/>
    <x v="5"/>
    <n v="500"/>
    <n v="9855"/>
    <n v="4235"/>
    <n v="5620"/>
  </r>
  <r>
    <x v="3"/>
    <x v="2"/>
    <x v="1"/>
    <d v="2018-03-30T00:00:00"/>
    <x v="6"/>
    <n v="800"/>
    <n v="17240"/>
    <n v="7872"/>
    <n v="9368"/>
  </r>
  <r>
    <x v="0"/>
    <x v="0"/>
    <x v="0"/>
    <d v="2018-03-31T00:00:00"/>
    <x v="0"/>
    <n v="600"/>
    <n v="13542"/>
    <n v="6132"/>
    <n v="7410"/>
  </r>
  <r>
    <x v="4"/>
    <x v="3"/>
    <x v="3"/>
    <d v="2018-04-01T00:00:00"/>
    <x v="17"/>
    <n v="300"/>
    <n v="5859"/>
    <n v="2541"/>
    <n v="3318"/>
  </r>
  <r>
    <x v="4"/>
    <x v="2"/>
    <x v="1"/>
    <d v="2018-04-03T00:00:00"/>
    <x v="13"/>
    <n v="300"/>
    <n v="7233"/>
    <n v="2952"/>
    <n v="4281"/>
  </r>
  <r>
    <x v="0"/>
    <x v="0"/>
    <x v="2"/>
    <d v="2018-04-04T00:00:00"/>
    <x v="0"/>
    <n v="400"/>
    <n v="7752"/>
    <n v="3388"/>
    <n v="4364"/>
  </r>
  <r>
    <x v="1"/>
    <x v="0"/>
    <x v="0"/>
    <d v="2018-04-04T00:00:00"/>
    <x v="5"/>
    <n v="700"/>
    <n v="15435"/>
    <n v="7154"/>
    <n v="8281"/>
  </r>
  <r>
    <x v="4"/>
    <x v="2"/>
    <x v="0"/>
    <d v="2018-04-05T00:00:00"/>
    <x v="13"/>
    <n v="100"/>
    <n v="2178"/>
    <n v="1022"/>
    <n v="1156"/>
  </r>
  <r>
    <x v="0"/>
    <x v="1"/>
    <x v="2"/>
    <d v="2018-04-05T00:00:00"/>
    <x v="9"/>
    <n v="500"/>
    <n v="9575"/>
    <n v="4235"/>
    <n v="5340"/>
  </r>
  <r>
    <x v="0"/>
    <x v="0"/>
    <x v="2"/>
    <d v="2018-04-07T00:00:00"/>
    <x v="0"/>
    <n v="500"/>
    <n v="10460"/>
    <n v="4235"/>
    <n v="6225"/>
  </r>
  <r>
    <x v="1"/>
    <x v="0"/>
    <x v="2"/>
    <d v="2018-04-10T00:00:00"/>
    <x v="5"/>
    <n v="400"/>
    <n v="8132"/>
    <n v="3388"/>
    <n v="4744"/>
  </r>
  <r>
    <x v="0"/>
    <x v="0"/>
    <x v="0"/>
    <d v="2018-04-10T00:00:00"/>
    <x v="0"/>
    <n v="800"/>
    <n v="18344"/>
    <n v="8176"/>
    <n v="10168"/>
  </r>
  <r>
    <x v="0"/>
    <x v="1"/>
    <x v="1"/>
    <d v="2018-04-12T00:00:00"/>
    <x v="11"/>
    <n v="400"/>
    <n v="8776"/>
    <n v="3936"/>
    <n v="4840"/>
  </r>
  <r>
    <x v="3"/>
    <x v="2"/>
    <x v="1"/>
    <d v="2018-04-13T00:00:00"/>
    <x v="6"/>
    <n v="900"/>
    <n v="20403"/>
    <n v="8856"/>
    <n v="11547"/>
  </r>
  <r>
    <x v="2"/>
    <x v="1"/>
    <x v="1"/>
    <d v="2018-04-14T00:00:00"/>
    <x v="24"/>
    <n v="600"/>
    <n v="14004"/>
    <n v="5904"/>
    <n v="8100"/>
  </r>
  <r>
    <x v="0"/>
    <x v="0"/>
    <x v="2"/>
    <d v="2018-04-15T00:00:00"/>
    <x v="0"/>
    <n v="800"/>
    <n v="14216"/>
    <n v="6776"/>
    <n v="7440"/>
  </r>
  <r>
    <x v="1"/>
    <x v="0"/>
    <x v="2"/>
    <d v="2018-04-20T00:00:00"/>
    <x v="5"/>
    <n v="900"/>
    <n v="17172"/>
    <n v="7623"/>
    <n v="9549"/>
  </r>
  <r>
    <x v="1"/>
    <x v="0"/>
    <x v="0"/>
    <d v="2018-04-21T00:00:00"/>
    <x v="5"/>
    <n v="1000"/>
    <n v="20670"/>
    <n v="10220"/>
    <n v="10450"/>
  </r>
  <r>
    <x v="3"/>
    <x v="2"/>
    <x v="2"/>
    <d v="2018-04-22T00:00:00"/>
    <x v="6"/>
    <n v="400"/>
    <n v="7376"/>
    <n v="3388"/>
    <n v="3988"/>
  </r>
  <r>
    <x v="3"/>
    <x v="0"/>
    <x v="0"/>
    <d v="2018-04-24T00:00:00"/>
    <x v="3"/>
    <n v="800"/>
    <n v="17728"/>
    <n v="8176"/>
    <n v="9552"/>
  </r>
  <r>
    <x v="0"/>
    <x v="0"/>
    <x v="1"/>
    <d v="2018-04-25T00:00:00"/>
    <x v="12"/>
    <n v="1000"/>
    <n v="20950"/>
    <n v="9840"/>
    <n v="11110"/>
  </r>
  <r>
    <x v="0"/>
    <x v="0"/>
    <x v="2"/>
    <d v="2018-04-26T00:00:00"/>
    <x v="0"/>
    <n v="400"/>
    <n v="7852"/>
    <n v="3388"/>
    <n v="4464"/>
  </r>
  <r>
    <x v="3"/>
    <x v="2"/>
    <x v="2"/>
    <d v="2018-04-27T00:00:00"/>
    <x v="6"/>
    <n v="600"/>
    <n v="12360"/>
    <n v="5082"/>
    <n v="7278"/>
  </r>
  <r>
    <x v="0"/>
    <x v="1"/>
    <x v="2"/>
    <d v="2018-04-29T00:00:00"/>
    <x v="11"/>
    <n v="300"/>
    <n v="6069"/>
    <n v="2541"/>
    <n v="3528"/>
  </r>
  <r>
    <x v="0"/>
    <x v="0"/>
    <x v="1"/>
    <d v="2018-04-29T00:00:00"/>
    <x v="0"/>
    <n v="900"/>
    <n v="18990"/>
    <n v="8856"/>
    <n v="10134"/>
  </r>
  <r>
    <x v="0"/>
    <x v="2"/>
    <x v="2"/>
    <d v="2018-05-01T00:00:00"/>
    <x v="8"/>
    <n v="1000"/>
    <n v="20310"/>
    <n v="8470"/>
    <n v="11840"/>
  </r>
  <r>
    <x v="0"/>
    <x v="2"/>
    <x v="1"/>
    <d v="2018-05-01T00:00:00"/>
    <x v="8"/>
    <n v="300"/>
    <n v="6018"/>
    <n v="2952"/>
    <n v="3066"/>
  </r>
  <r>
    <x v="0"/>
    <x v="2"/>
    <x v="0"/>
    <d v="2018-05-02T00:00:00"/>
    <x v="8"/>
    <n v="1000"/>
    <n v="25310"/>
    <n v="10220"/>
    <n v="15090"/>
  </r>
  <r>
    <x v="1"/>
    <x v="1"/>
    <x v="1"/>
    <d v="2018-05-03T00:00:00"/>
    <x v="1"/>
    <n v="200"/>
    <n v="4378"/>
    <n v="1968"/>
    <n v="2410"/>
  </r>
  <r>
    <x v="1"/>
    <x v="0"/>
    <x v="1"/>
    <d v="2018-05-05T00:00:00"/>
    <x v="5"/>
    <n v="700"/>
    <n v="15407"/>
    <n v="6888"/>
    <n v="8519"/>
  </r>
  <r>
    <x v="3"/>
    <x v="2"/>
    <x v="2"/>
    <d v="2018-05-06T00:00:00"/>
    <x v="6"/>
    <n v="1000"/>
    <n v="18290"/>
    <n v="8470"/>
    <n v="9820"/>
  </r>
  <r>
    <x v="0"/>
    <x v="2"/>
    <x v="2"/>
    <d v="2018-05-07T00:00:00"/>
    <x v="8"/>
    <n v="100"/>
    <n v="1842"/>
    <n v="847"/>
    <n v="995"/>
  </r>
  <r>
    <x v="0"/>
    <x v="1"/>
    <x v="0"/>
    <d v="2018-05-07T00:00:00"/>
    <x v="9"/>
    <n v="500"/>
    <n v="10400"/>
    <n v="5110"/>
    <n v="5290"/>
  </r>
  <r>
    <x v="0"/>
    <x v="0"/>
    <x v="2"/>
    <d v="2018-05-08T00:00:00"/>
    <x v="0"/>
    <n v="100"/>
    <n v="1982"/>
    <n v="847"/>
    <n v="1135"/>
  </r>
  <r>
    <x v="0"/>
    <x v="1"/>
    <x v="0"/>
    <d v="2018-05-10T00:00:00"/>
    <x v="9"/>
    <n v="300"/>
    <n v="6789"/>
    <n v="3066"/>
    <n v="3723"/>
  </r>
  <r>
    <x v="5"/>
    <x v="2"/>
    <x v="1"/>
    <d v="2018-05-11T00:00:00"/>
    <x v="16"/>
    <n v="300"/>
    <n v="7245"/>
    <n v="2952"/>
    <n v="4293"/>
  </r>
  <r>
    <x v="4"/>
    <x v="2"/>
    <x v="0"/>
    <d v="2018-05-12T00:00:00"/>
    <x v="13"/>
    <n v="500"/>
    <n v="11000"/>
    <n v="5110"/>
    <n v="5890"/>
  </r>
  <r>
    <x v="5"/>
    <x v="2"/>
    <x v="2"/>
    <d v="2018-05-13T00:00:00"/>
    <x v="16"/>
    <n v="500"/>
    <n v="9155"/>
    <n v="4235"/>
    <n v="4920"/>
  </r>
  <r>
    <x v="1"/>
    <x v="0"/>
    <x v="1"/>
    <d v="2018-05-13T00:00:00"/>
    <x v="5"/>
    <n v="400"/>
    <n v="9760"/>
    <n v="3936"/>
    <n v="5824"/>
  </r>
  <r>
    <x v="0"/>
    <x v="0"/>
    <x v="0"/>
    <d v="2018-05-15T00:00:00"/>
    <x v="0"/>
    <n v="400"/>
    <n v="9156"/>
    <n v="4088"/>
    <n v="5068"/>
  </r>
  <r>
    <x v="0"/>
    <x v="1"/>
    <x v="0"/>
    <d v="2018-05-18T00:00:00"/>
    <x v="11"/>
    <n v="500"/>
    <n v="10385"/>
    <n v="5110"/>
    <n v="5275"/>
  </r>
  <r>
    <x v="1"/>
    <x v="1"/>
    <x v="1"/>
    <d v="2018-05-20T00:00:00"/>
    <x v="1"/>
    <n v="700"/>
    <n v="14203"/>
    <n v="6888"/>
    <n v="7315"/>
  </r>
  <r>
    <x v="0"/>
    <x v="1"/>
    <x v="0"/>
    <d v="2018-05-21T00:00:00"/>
    <x v="9"/>
    <n v="600"/>
    <n v="14634"/>
    <n v="6132"/>
    <n v="8502"/>
  </r>
  <r>
    <x v="4"/>
    <x v="2"/>
    <x v="0"/>
    <d v="2018-05-22T00:00:00"/>
    <x v="13"/>
    <n v="100"/>
    <n v="2149"/>
    <n v="1022"/>
    <n v="1127"/>
  </r>
  <r>
    <x v="3"/>
    <x v="3"/>
    <x v="2"/>
    <d v="2018-05-22T00:00:00"/>
    <x v="4"/>
    <n v="700"/>
    <n v="13853"/>
    <n v="5929"/>
    <n v="7924"/>
  </r>
  <r>
    <x v="0"/>
    <x v="0"/>
    <x v="1"/>
    <d v="2018-05-23T00:00:00"/>
    <x v="0"/>
    <n v="200"/>
    <n v="4474"/>
    <n v="1968"/>
    <n v="2506"/>
  </r>
  <r>
    <x v="0"/>
    <x v="0"/>
    <x v="0"/>
    <d v="2018-05-23T00:00:00"/>
    <x v="0"/>
    <n v="100"/>
    <n v="2487"/>
    <n v="1022"/>
    <n v="1465"/>
  </r>
  <r>
    <x v="4"/>
    <x v="2"/>
    <x v="0"/>
    <d v="2018-05-24T00:00:00"/>
    <x v="13"/>
    <n v="200"/>
    <n v="4388"/>
    <n v="2044"/>
    <n v="2344"/>
  </r>
  <r>
    <x v="0"/>
    <x v="1"/>
    <x v="2"/>
    <d v="2018-05-25T00:00:00"/>
    <x v="11"/>
    <n v="300"/>
    <n v="5094"/>
    <n v="2541"/>
    <n v="2553"/>
  </r>
  <r>
    <x v="1"/>
    <x v="0"/>
    <x v="2"/>
    <d v="2018-05-28T00:00:00"/>
    <x v="5"/>
    <n v="200"/>
    <n v="3632"/>
    <n v="1694"/>
    <n v="1938"/>
  </r>
  <r>
    <x v="0"/>
    <x v="0"/>
    <x v="1"/>
    <d v="2018-05-28T00:00:00"/>
    <x v="0"/>
    <n v="800"/>
    <n v="16264"/>
    <n v="7872"/>
    <n v="8392"/>
  </r>
  <r>
    <x v="1"/>
    <x v="0"/>
    <x v="1"/>
    <d v="2018-05-30T00:00:00"/>
    <x v="5"/>
    <n v="700"/>
    <n v="16408"/>
    <n v="6888"/>
    <n v="9520"/>
  </r>
  <r>
    <x v="0"/>
    <x v="0"/>
    <x v="0"/>
    <d v="2018-05-30T00:00:00"/>
    <x v="0"/>
    <n v="500"/>
    <n v="12550"/>
    <n v="5110"/>
    <n v="7440"/>
  </r>
  <r>
    <x v="0"/>
    <x v="2"/>
    <x v="1"/>
    <d v="2018-05-31T00:00:00"/>
    <x v="8"/>
    <n v="800"/>
    <n v="17056"/>
    <n v="7872"/>
    <n v="9184"/>
  </r>
  <r>
    <x v="3"/>
    <x v="2"/>
    <x v="0"/>
    <d v="2018-05-31T00:00:00"/>
    <x v="6"/>
    <n v="800"/>
    <n v="19152"/>
    <n v="8176"/>
    <n v="10976"/>
  </r>
  <r>
    <x v="5"/>
    <x v="2"/>
    <x v="0"/>
    <d v="2018-06-03T00:00:00"/>
    <x v="16"/>
    <n v="1000"/>
    <n v="23990"/>
    <n v="10220"/>
    <n v="13770"/>
  </r>
  <r>
    <x v="0"/>
    <x v="1"/>
    <x v="0"/>
    <d v="2018-06-04T00:00:00"/>
    <x v="9"/>
    <n v="1000"/>
    <n v="22020"/>
    <n v="10220"/>
    <n v="11800"/>
  </r>
  <r>
    <x v="5"/>
    <x v="3"/>
    <x v="0"/>
    <d v="2018-06-07T00:00:00"/>
    <x v="25"/>
    <n v="400"/>
    <n v="9064"/>
    <n v="4088"/>
    <n v="4976"/>
  </r>
  <r>
    <x v="0"/>
    <x v="1"/>
    <x v="2"/>
    <d v="2018-06-08T00:00:00"/>
    <x v="9"/>
    <n v="900"/>
    <n v="18072"/>
    <n v="7623"/>
    <n v="10449"/>
  </r>
  <r>
    <x v="0"/>
    <x v="2"/>
    <x v="2"/>
    <d v="2018-06-09T00:00:00"/>
    <x v="8"/>
    <n v="800"/>
    <n v="16288"/>
    <n v="6776"/>
    <n v="9512"/>
  </r>
  <r>
    <x v="0"/>
    <x v="1"/>
    <x v="1"/>
    <d v="2018-06-11T00:00:00"/>
    <x v="7"/>
    <n v="800"/>
    <n v="17944"/>
    <n v="7872"/>
    <n v="10072"/>
  </r>
  <r>
    <x v="3"/>
    <x v="2"/>
    <x v="1"/>
    <d v="2018-06-12T00:00:00"/>
    <x v="6"/>
    <n v="300"/>
    <n v="6477"/>
    <n v="2952"/>
    <n v="3525"/>
  </r>
  <r>
    <x v="4"/>
    <x v="2"/>
    <x v="2"/>
    <d v="2018-06-13T00:00:00"/>
    <x v="13"/>
    <n v="600"/>
    <n v="10404"/>
    <n v="5082"/>
    <n v="5322"/>
  </r>
  <r>
    <x v="0"/>
    <x v="1"/>
    <x v="2"/>
    <d v="2018-06-14T00:00:00"/>
    <x v="7"/>
    <n v="500"/>
    <n v="8780"/>
    <n v="4235"/>
    <n v="4545"/>
  </r>
  <r>
    <x v="0"/>
    <x v="1"/>
    <x v="2"/>
    <d v="2018-06-18T00:00:00"/>
    <x v="11"/>
    <n v="700"/>
    <n v="13874"/>
    <n v="5929"/>
    <n v="7945"/>
  </r>
  <r>
    <x v="1"/>
    <x v="1"/>
    <x v="0"/>
    <d v="2018-06-21T00:00:00"/>
    <x v="1"/>
    <n v="700"/>
    <n v="15988"/>
    <n v="7154"/>
    <n v="8834"/>
  </r>
  <r>
    <x v="0"/>
    <x v="2"/>
    <x v="1"/>
    <d v="2018-06-24T00:00:00"/>
    <x v="8"/>
    <n v="1000"/>
    <n v="20020"/>
    <n v="9840"/>
    <n v="10180"/>
  </r>
  <r>
    <x v="2"/>
    <x v="1"/>
    <x v="1"/>
    <d v="2018-06-25T00:00:00"/>
    <x v="24"/>
    <n v="200"/>
    <n v="4060"/>
    <n v="1968"/>
    <n v="2092"/>
  </r>
  <r>
    <x v="0"/>
    <x v="1"/>
    <x v="2"/>
    <d v="2018-06-26T00:00:00"/>
    <x v="11"/>
    <n v="800"/>
    <n v="15400"/>
    <n v="6776"/>
    <n v="8624"/>
  </r>
  <r>
    <x v="0"/>
    <x v="0"/>
    <x v="1"/>
    <d v="2018-06-26T00:00:00"/>
    <x v="0"/>
    <n v="700"/>
    <n v="16219"/>
    <n v="6888"/>
    <n v="9331"/>
  </r>
  <r>
    <x v="4"/>
    <x v="2"/>
    <x v="0"/>
    <d v="2018-06-27T00:00:00"/>
    <x v="13"/>
    <n v="400"/>
    <n v="8804"/>
    <n v="4088"/>
    <n v="4716"/>
  </r>
  <r>
    <x v="4"/>
    <x v="2"/>
    <x v="0"/>
    <d v="2018-06-30T00:00:00"/>
    <x v="13"/>
    <n v="500"/>
    <n v="12425"/>
    <n v="5110"/>
    <n v="7315"/>
  </r>
  <r>
    <x v="1"/>
    <x v="1"/>
    <x v="1"/>
    <d v="2018-07-01T00:00:00"/>
    <x v="1"/>
    <n v="100"/>
    <n v="2054"/>
    <n v="984"/>
    <n v="1070"/>
  </r>
  <r>
    <x v="0"/>
    <x v="1"/>
    <x v="0"/>
    <d v="2018-07-02T00:00:00"/>
    <x v="7"/>
    <n v="400"/>
    <n v="9816"/>
    <n v="4088"/>
    <n v="5728"/>
  </r>
  <r>
    <x v="0"/>
    <x v="2"/>
    <x v="2"/>
    <d v="2018-07-03T00:00:00"/>
    <x v="8"/>
    <n v="200"/>
    <n v="4192"/>
    <n v="1694"/>
    <n v="2498"/>
  </r>
  <r>
    <x v="3"/>
    <x v="2"/>
    <x v="1"/>
    <d v="2018-07-03T00:00:00"/>
    <x v="6"/>
    <n v="900"/>
    <n v="18099"/>
    <n v="8856"/>
    <n v="9243"/>
  </r>
  <r>
    <x v="4"/>
    <x v="2"/>
    <x v="1"/>
    <d v="2018-07-05T00:00:00"/>
    <x v="13"/>
    <n v="700"/>
    <n v="16303"/>
    <n v="6888"/>
    <n v="9415"/>
  </r>
  <r>
    <x v="3"/>
    <x v="2"/>
    <x v="0"/>
    <d v="2018-07-07T00:00:00"/>
    <x v="6"/>
    <n v="400"/>
    <n v="8580"/>
    <n v="4088"/>
    <n v="4492"/>
  </r>
  <r>
    <x v="1"/>
    <x v="0"/>
    <x v="1"/>
    <d v="2018-07-08T00:00:00"/>
    <x v="5"/>
    <n v="500"/>
    <n v="12270"/>
    <n v="4920"/>
    <n v="7350"/>
  </r>
  <r>
    <x v="3"/>
    <x v="2"/>
    <x v="2"/>
    <d v="2018-07-11T00:00:00"/>
    <x v="6"/>
    <n v="900"/>
    <n v="17883"/>
    <n v="7623"/>
    <n v="10260"/>
  </r>
  <r>
    <x v="0"/>
    <x v="1"/>
    <x v="1"/>
    <d v="2018-07-13T00:00:00"/>
    <x v="7"/>
    <n v="500"/>
    <n v="11725"/>
    <n v="4920"/>
    <n v="6805"/>
  </r>
  <r>
    <x v="0"/>
    <x v="1"/>
    <x v="0"/>
    <d v="2018-07-14T00:00:00"/>
    <x v="7"/>
    <n v="900"/>
    <n v="21366"/>
    <n v="9198"/>
    <n v="12168"/>
  </r>
  <r>
    <x v="1"/>
    <x v="0"/>
    <x v="1"/>
    <d v="2018-07-15T00:00:00"/>
    <x v="22"/>
    <n v="700"/>
    <n v="14497"/>
    <n v="6888"/>
    <n v="7609"/>
  </r>
  <r>
    <x v="0"/>
    <x v="0"/>
    <x v="1"/>
    <d v="2018-07-16T00:00:00"/>
    <x v="0"/>
    <n v="800"/>
    <n v="17416"/>
    <n v="7872"/>
    <n v="9544"/>
  </r>
  <r>
    <x v="0"/>
    <x v="0"/>
    <x v="2"/>
    <d v="2018-07-18T00:00:00"/>
    <x v="0"/>
    <n v="700"/>
    <n v="13804"/>
    <n v="5929"/>
    <n v="7875"/>
  </r>
  <r>
    <x v="0"/>
    <x v="1"/>
    <x v="0"/>
    <d v="2018-07-18T00:00:00"/>
    <x v="7"/>
    <n v="200"/>
    <n v="4902"/>
    <n v="2044"/>
    <n v="2858"/>
  </r>
  <r>
    <x v="3"/>
    <x v="2"/>
    <x v="1"/>
    <d v="2018-07-19T00:00:00"/>
    <x v="6"/>
    <n v="500"/>
    <n v="11235"/>
    <n v="4920"/>
    <n v="6315"/>
  </r>
  <r>
    <x v="3"/>
    <x v="0"/>
    <x v="0"/>
    <d v="2018-07-21T00:00:00"/>
    <x v="19"/>
    <n v="1000"/>
    <n v="22840"/>
    <n v="10220"/>
    <n v="12620"/>
  </r>
  <r>
    <x v="4"/>
    <x v="2"/>
    <x v="2"/>
    <d v="2018-07-22T00:00:00"/>
    <x v="13"/>
    <n v="200"/>
    <n v="3390"/>
    <n v="1694"/>
    <n v="1696"/>
  </r>
  <r>
    <x v="1"/>
    <x v="1"/>
    <x v="1"/>
    <d v="2018-07-23T00:00:00"/>
    <x v="1"/>
    <n v="300"/>
    <n v="6228"/>
    <n v="2952"/>
    <n v="3276"/>
  </r>
  <r>
    <x v="0"/>
    <x v="0"/>
    <x v="1"/>
    <d v="2018-07-26T00:00:00"/>
    <x v="0"/>
    <n v="600"/>
    <n v="13332"/>
    <n v="5904"/>
    <n v="7428"/>
  </r>
  <r>
    <x v="3"/>
    <x v="2"/>
    <x v="1"/>
    <d v="2018-07-27T00:00:00"/>
    <x v="6"/>
    <n v="200"/>
    <n v="4132"/>
    <n v="1968"/>
    <n v="2164"/>
  </r>
  <r>
    <x v="4"/>
    <x v="2"/>
    <x v="0"/>
    <d v="2018-07-28T00:00:00"/>
    <x v="13"/>
    <n v="200"/>
    <n v="4722"/>
    <n v="2044"/>
    <n v="2678"/>
  </r>
  <r>
    <x v="1"/>
    <x v="0"/>
    <x v="1"/>
    <d v="2018-07-29T00:00:00"/>
    <x v="5"/>
    <n v="700"/>
    <n v="16170"/>
    <n v="6888"/>
    <n v="9282"/>
  </r>
  <r>
    <x v="1"/>
    <x v="1"/>
    <x v="1"/>
    <d v="2018-07-30T00:00:00"/>
    <x v="1"/>
    <n v="300"/>
    <n v="6159"/>
    <n v="2952"/>
    <n v="3207"/>
  </r>
  <r>
    <x v="0"/>
    <x v="3"/>
    <x v="2"/>
    <d v="2018-07-30T00:00:00"/>
    <x v="14"/>
    <n v="1000"/>
    <n v="18290"/>
    <n v="8470"/>
    <n v="9820"/>
  </r>
  <r>
    <x v="4"/>
    <x v="2"/>
    <x v="2"/>
    <d v="2018-07-31T00:00:00"/>
    <x v="13"/>
    <n v="1000"/>
    <n v="18500"/>
    <n v="8470"/>
    <n v="10030"/>
  </r>
  <r>
    <x v="4"/>
    <x v="2"/>
    <x v="0"/>
    <d v="2018-08-03T00:00:00"/>
    <x v="13"/>
    <n v="900"/>
    <n v="21159"/>
    <n v="9198"/>
    <n v="11961"/>
  </r>
  <r>
    <x v="0"/>
    <x v="2"/>
    <x v="2"/>
    <d v="2018-08-04T00:00:00"/>
    <x v="8"/>
    <n v="800"/>
    <n v="15488"/>
    <n v="6776"/>
    <n v="8712"/>
  </r>
  <r>
    <x v="0"/>
    <x v="0"/>
    <x v="0"/>
    <d v="2018-08-04T00:00:00"/>
    <x v="0"/>
    <n v="100"/>
    <n v="2547"/>
    <n v="1022"/>
    <n v="1525"/>
  </r>
  <r>
    <x v="3"/>
    <x v="2"/>
    <x v="2"/>
    <d v="2018-08-05T00:00:00"/>
    <x v="6"/>
    <n v="200"/>
    <n v="3418"/>
    <n v="1694"/>
    <n v="1724"/>
  </r>
  <r>
    <x v="1"/>
    <x v="0"/>
    <x v="2"/>
    <d v="2018-08-06T00:00:00"/>
    <x v="5"/>
    <n v="1000"/>
    <n v="19530"/>
    <n v="8470"/>
    <n v="11060"/>
  </r>
  <r>
    <x v="5"/>
    <x v="3"/>
    <x v="1"/>
    <d v="2018-08-07T00:00:00"/>
    <x v="25"/>
    <n v="200"/>
    <n v="4380"/>
    <n v="1968"/>
    <n v="2412"/>
  </r>
  <r>
    <x v="3"/>
    <x v="2"/>
    <x v="1"/>
    <d v="2018-08-11T00:00:00"/>
    <x v="6"/>
    <n v="600"/>
    <n v="13368"/>
    <n v="5904"/>
    <n v="7464"/>
  </r>
  <r>
    <x v="0"/>
    <x v="0"/>
    <x v="0"/>
    <d v="2018-08-12T00:00:00"/>
    <x v="0"/>
    <n v="200"/>
    <n v="4550"/>
    <n v="2044"/>
    <n v="2506"/>
  </r>
  <r>
    <x v="0"/>
    <x v="2"/>
    <x v="1"/>
    <d v="2018-08-14T00:00:00"/>
    <x v="8"/>
    <n v="300"/>
    <n v="6522"/>
    <n v="2952"/>
    <n v="3570"/>
  </r>
  <r>
    <x v="2"/>
    <x v="2"/>
    <x v="1"/>
    <d v="2018-08-16T00:00:00"/>
    <x v="2"/>
    <n v="200"/>
    <n v="4270"/>
    <n v="1968"/>
    <n v="2302"/>
  </r>
  <r>
    <x v="5"/>
    <x v="2"/>
    <x v="1"/>
    <d v="2018-08-16T00:00:00"/>
    <x v="16"/>
    <n v="700"/>
    <n v="17213"/>
    <n v="6888"/>
    <n v="10325"/>
  </r>
  <r>
    <x v="4"/>
    <x v="2"/>
    <x v="1"/>
    <d v="2018-08-18T00:00:00"/>
    <x v="13"/>
    <n v="800"/>
    <n v="16232"/>
    <n v="7872"/>
    <n v="8360"/>
  </r>
  <r>
    <x v="0"/>
    <x v="0"/>
    <x v="0"/>
    <d v="2018-08-19T00:00:00"/>
    <x v="0"/>
    <n v="500"/>
    <n v="12755"/>
    <n v="5110"/>
    <n v="7645"/>
  </r>
  <r>
    <x v="1"/>
    <x v="0"/>
    <x v="1"/>
    <d v="2018-08-20T00:00:00"/>
    <x v="5"/>
    <n v="200"/>
    <n v="4470"/>
    <n v="1968"/>
    <n v="2502"/>
  </r>
  <r>
    <x v="0"/>
    <x v="0"/>
    <x v="2"/>
    <d v="2018-08-21T00:00:00"/>
    <x v="0"/>
    <n v="300"/>
    <n v="6156"/>
    <n v="2541"/>
    <n v="3615"/>
  </r>
  <r>
    <x v="0"/>
    <x v="1"/>
    <x v="2"/>
    <d v="2018-08-22T00:00:00"/>
    <x v="11"/>
    <n v="800"/>
    <n v="15544"/>
    <n v="6776"/>
    <n v="8768"/>
  </r>
  <r>
    <x v="0"/>
    <x v="0"/>
    <x v="1"/>
    <d v="2018-08-24T00:00:00"/>
    <x v="0"/>
    <n v="100"/>
    <n v="2409"/>
    <n v="984"/>
    <n v="1425"/>
  </r>
  <r>
    <x v="5"/>
    <x v="2"/>
    <x v="0"/>
    <d v="2018-08-25T00:00:00"/>
    <x v="16"/>
    <n v="600"/>
    <n v="12570"/>
    <n v="6132"/>
    <n v="6438"/>
  </r>
  <r>
    <x v="0"/>
    <x v="1"/>
    <x v="0"/>
    <d v="2018-08-25T00:00:00"/>
    <x v="7"/>
    <n v="300"/>
    <n v="6438"/>
    <n v="3066"/>
    <n v="3372"/>
  </r>
  <r>
    <x v="0"/>
    <x v="0"/>
    <x v="0"/>
    <d v="2018-08-26T00:00:00"/>
    <x v="0"/>
    <n v="900"/>
    <n v="19593"/>
    <n v="9198"/>
    <n v="10395"/>
  </r>
  <r>
    <x v="1"/>
    <x v="1"/>
    <x v="2"/>
    <d v="2018-08-27T00:00:00"/>
    <x v="1"/>
    <n v="900"/>
    <n v="18981"/>
    <n v="7623"/>
    <n v="11358"/>
  </r>
  <r>
    <x v="4"/>
    <x v="2"/>
    <x v="0"/>
    <d v="2018-08-28T00:00:00"/>
    <x v="13"/>
    <n v="800"/>
    <n v="17160"/>
    <n v="8176"/>
    <n v="8984"/>
  </r>
  <r>
    <x v="0"/>
    <x v="1"/>
    <x v="2"/>
    <d v="2018-08-28T00:00:00"/>
    <x v="7"/>
    <n v="100"/>
    <n v="2028"/>
    <n v="847"/>
    <n v="1181"/>
  </r>
  <r>
    <x v="3"/>
    <x v="2"/>
    <x v="2"/>
    <d v="2018-08-28T00:00:00"/>
    <x v="6"/>
    <n v="300"/>
    <n v="5859"/>
    <n v="2541"/>
    <n v="3318"/>
  </r>
  <r>
    <x v="3"/>
    <x v="2"/>
    <x v="2"/>
    <d v="2018-08-29T00:00:00"/>
    <x v="18"/>
    <n v="300"/>
    <n v="5532"/>
    <n v="2541"/>
    <n v="2991"/>
  </r>
  <r>
    <x v="0"/>
    <x v="0"/>
    <x v="0"/>
    <d v="2018-08-30T00:00:00"/>
    <x v="0"/>
    <n v="500"/>
    <n v="12575"/>
    <n v="5110"/>
    <n v="7465"/>
  </r>
  <r>
    <x v="0"/>
    <x v="1"/>
    <x v="2"/>
    <d v="2018-09-01T00:00:00"/>
    <x v="9"/>
    <n v="800"/>
    <n v="16144"/>
    <n v="6776"/>
    <n v="9368"/>
  </r>
  <r>
    <x v="1"/>
    <x v="0"/>
    <x v="1"/>
    <d v="2018-09-03T00:00:00"/>
    <x v="5"/>
    <n v="900"/>
    <n v="18486"/>
    <n v="8856"/>
    <n v="9630"/>
  </r>
  <r>
    <x v="4"/>
    <x v="2"/>
    <x v="2"/>
    <d v="2018-09-05T00:00:00"/>
    <x v="13"/>
    <n v="900"/>
    <n v="17289"/>
    <n v="7623"/>
    <n v="9666"/>
  </r>
  <r>
    <x v="1"/>
    <x v="0"/>
    <x v="1"/>
    <d v="2018-09-05T00:00:00"/>
    <x v="5"/>
    <n v="100"/>
    <n v="2106"/>
    <n v="984"/>
    <n v="1122"/>
  </r>
  <r>
    <x v="5"/>
    <x v="2"/>
    <x v="1"/>
    <d v="2018-09-09T00:00:00"/>
    <x v="23"/>
    <n v="100"/>
    <n v="2029"/>
    <n v="984"/>
    <n v="1045"/>
  </r>
  <r>
    <x v="1"/>
    <x v="1"/>
    <x v="0"/>
    <d v="2018-09-10T00:00:00"/>
    <x v="1"/>
    <n v="600"/>
    <n v="12936"/>
    <n v="6132"/>
    <n v="6804"/>
  </r>
  <r>
    <x v="3"/>
    <x v="3"/>
    <x v="1"/>
    <d v="2018-09-10T00:00:00"/>
    <x v="20"/>
    <n v="500"/>
    <n v="11550"/>
    <n v="4920"/>
    <n v="6630"/>
  </r>
  <r>
    <x v="5"/>
    <x v="2"/>
    <x v="1"/>
    <d v="2018-09-12T00:00:00"/>
    <x v="16"/>
    <n v="600"/>
    <n v="14580"/>
    <n v="5904"/>
    <n v="8676"/>
  </r>
  <r>
    <x v="0"/>
    <x v="1"/>
    <x v="0"/>
    <d v="2018-09-14T00:00:00"/>
    <x v="9"/>
    <n v="100"/>
    <n v="2058"/>
    <n v="1022"/>
    <n v="1036"/>
  </r>
  <r>
    <x v="0"/>
    <x v="0"/>
    <x v="1"/>
    <d v="2018-09-14T00:00:00"/>
    <x v="0"/>
    <n v="600"/>
    <n v="13566"/>
    <n v="5904"/>
    <n v="7662"/>
  </r>
  <r>
    <x v="0"/>
    <x v="1"/>
    <x v="2"/>
    <d v="2018-09-17T00:00:00"/>
    <x v="11"/>
    <n v="100"/>
    <n v="1741"/>
    <n v="847"/>
    <n v="894"/>
  </r>
  <r>
    <x v="4"/>
    <x v="2"/>
    <x v="0"/>
    <d v="2018-09-18T00:00:00"/>
    <x v="13"/>
    <n v="200"/>
    <n v="5002"/>
    <n v="2044"/>
    <n v="2958"/>
  </r>
  <r>
    <x v="0"/>
    <x v="2"/>
    <x v="2"/>
    <d v="2018-09-19T00:00:00"/>
    <x v="8"/>
    <n v="100"/>
    <n v="1795"/>
    <n v="847"/>
    <n v="948"/>
  </r>
  <r>
    <x v="0"/>
    <x v="1"/>
    <x v="1"/>
    <d v="2018-09-22T00:00:00"/>
    <x v="7"/>
    <n v="400"/>
    <n v="8592"/>
    <n v="3936"/>
    <n v="4656"/>
  </r>
  <r>
    <x v="0"/>
    <x v="2"/>
    <x v="1"/>
    <d v="2018-09-25T00:00:00"/>
    <x v="8"/>
    <n v="600"/>
    <n v="12690"/>
    <n v="5904"/>
    <n v="6786"/>
  </r>
  <r>
    <x v="0"/>
    <x v="1"/>
    <x v="1"/>
    <d v="2018-09-25T00:00:00"/>
    <x v="7"/>
    <n v="300"/>
    <n v="6582"/>
    <n v="2952"/>
    <n v="3630"/>
  </r>
  <r>
    <x v="0"/>
    <x v="1"/>
    <x v="1"/>
    <d v="2018-09-26T00:00:00"/>
    <x v="11"/>
    <n v="400"/>
    <n v="9672"/>
    <n v="3936"/>
    <n v="5736"/>
  </r>
  <r>
    <x v="0"/>
    <x v="1"/>
    <x v="0"/>
    <d v="2018-09-26T00:00:00"/>
    <x v="11"/>
    <n v="900"/>
    <n v="22014"/>
    <n v="9198"/>
    <n v="12816"/>
  </r>
  <r>
    <x v="4"/>
    <x v="2"/>
    <x v="2"/>
    <d v="2018-09-27T00:00:00"/>
    <x v="13"/>
    <n v="1000"/>
    <n v="18530"/>
    <n v="8470"/>
    <n v="10060"/>
  </r>
  <r>
    <x v="3"/>
    <x v="2"/>
    <x v="1"/>
    <d v="2018-09-27T00:00:00"/>
    <x v="6"/>
    <n v="600"/>
    <n v="14004"/>
    <n v="5904"/>
    <n v="8100"/>
  </r>
  <r>
    <x v="3"/>
    <x v="2"/>
    <x v="2"/>
    <d v="2018-09-28T00:00:00"/>
    <x v="6"/>
    <n v="700"/>
    <n v="13139"/>
    <n v="5929"/>
    <n v="7210"/>
  </r>
  <r>
    <x v="5"/>
    <x v="2"/>
    <x v="2"/>
    <d v="2018-09-29T00:00:00"/>
    <x v="16"/>
    <n v="500"/>
    <n v="8715"/>
    <n v="4235"/>
    <n v="4480"/>
  </r>
  <r>
    <x v="0"/>
    <x v="1"/>
    <x v="2"/>
    <d v="2018-10-02T00:00:00"/>
    <x v="9"/>
    <n v="400"/>
    <n v="6944"/>
    <n v="3388"/>
    <n v="3556"/>
  </r>
  <r>
    <x v="3"/>
    <x v="2"/>
    <x v="0"/>
    <d v="2018-10-03T00:00:00"/>
    <x v="6"/>
    <n v="500"/>
    <n v="12760"/>
    <n v="5110"/>
    <n v="7650"/>
  </r>
  <r>
    <x v="3"/>
    <x v="2"/>
    <x v="0"/>
    <d v="2018-10-05T00:00:00"/>
    <x v="6"/>
    <n v="1000"/>
    <n v="24070"/>
    <n v="10220"/>
    <n v="13850"/>
  </r>
  <r>
    <x v="1"/>
    <x v="0"/>
    <x v="1"/>
    <d v="2018-10-06T00:00:00"/>
    <x v="5"/>
    <n v="200"/>
    <n v="4186"/>
    <n v="1968"/>
    <n v="2218"/>
  </r>
  <r>
    <x v="1"/>
    <x v="1"/>
    <x v="2"/>
    <d v="2018-10-07T00:00:00"/>
    <x v="1"/>
    <n v="700"/>
    <n v="13195"/>
    <n v="5929"/>
    <n v="7266"/>
  </r>
  <r>
    <x v="0"/>
    <x v="1"/>
    <x v="2"/>
    <d v="2018-10-08T00:00:00"/>
    <x v="11"/>
    <n v="200"/>
    <n v="3922"/>
    <n v="1694"/>
    <n v="2228"/>
  </r>
  <r>
    <x v="5"/>
    <x v="2"/>
    <x v="1"/>
    <d v="2018-10-09T00:00:00"/>
    <x v="16"/>
    <n v="1000"/>
    <n v="23970"/>
    <n v="9840"/>
    <n v="14130"/>
  </r>
  <r>
    <x v="4"/>
    <x v="0"/>
    <x v="2"/>
    <d v="2018-10-11T00:00:00"/>
    <x v="21"/>
    <n v="500"/>
    <n v="8940"/>
    <n v="4235"/>
    <n v="4705"/>
  </r>
  <r>
    <x v="4"/>
    <x v="2"/>
    <x v="0"/>
    <d v="2018-10-12T00:00:00"/>
    <x v="13"/>
    <n v="200"/>
    <n v="5002"/>
    <n v="2044"/>
    <n v="2958"/>
  </r>
  <r>
    <x v="1"/>
    <x v="0"/>
    <x v="2"/>
    <d v="2018-10-14T00:00:00"/>
    <x v="22"/>
    <n v="1000"/>
    <n v="17190"/>
    <n v="8470"/>
    <n v="8720"/>
  </r>
  <r>
    <x v="0"/>
    <x v="2"/>
    <x v="0"/>
    <d v="2018-10-16T00:00:00"/>
    <x v="8"/>
    <n v="900"/>
    <n v="21042"/>
    <n v="9198"/>
    <n v="11844"/>
  </r>
  <r>
    <x v="0"/>
    <x v="1"/>
    <x v="1"/>
    <d v="2018-10-16T00:00:00"/>
    <x v="7"/>
    <n v="500"/>
    <n v="11530"/>
    <n v="4920"/>
    <n v="6610"/>
  </r>
  <r>
    <x v="4"/>
    <x v="0"/>
    <x v="2"/>
    <d v="2018-10-17T00:00:00"/>
    <x v="26"/>
    <n v="800"/>
    <n v="15312"/>
    <n v="6776"/>
    <n v="8536"/>
  </r>
  <r>
    <x v="1"/>
    <x v="1"/>
    <x v="0"/>
    <d v="2018-10-18T00:00:00"/>
    <x v="1"/>
    <n v="900"/>
    <n v="19161"/>
    <n v="9198"/>
    <n v="9963"/>
  </r>
  <r>
    <x v="0"/>
    <x v="1"/>
    <x v="0"/>
    <d v="2018-10-19T00:00:00"/>
    <x v="9"/>
    <n v="500"/>
    <n v="10940"/>
    <n v="5110"/>
    <n v="5830"/>
  </r>
  <r>
    <x v="0"/>
    <x v="0"/>
    <x v="2"/>
    <d v="2018-10-20T00:00:00"/>
    <x v="0"/>
    <n v="1000"/>
    <n v="21010"/>
    <n v="8470"/>
    <n v="12540"/>
  </r>
  <r>
    <x v="5"/>
    <x v="2"/>
    <x v="2"/>
    <d v="2018-10-22T00:00:00"/>
    <x v="16"/>
    <n v="900"/>
    <n v="18576"/>
    <n v="7623"/>
    <n v="10953"/>
  </r>
  <r>
    <x v="0"/>
    <x v="1"/>
    <x v="1"/>
    <d v="2018-10-22T00:00:00"/>
    <x v="9"/>
    <n v="200"/>
    <n v="4484"/>
    <n v="1968"/>
    <n v="2516"/>
  </r>
  <r>
    <x v="0"/>
    <x v="1"/>
    <x v="1"/>
    <d v="2018-10-22T00:00:00"/>
    <x v="11"/>
    <n v="700"/>
    <n v="13797"/>
    <n v="6888"/>
    <n v="6909"/>
  </r>
  <r>
    <x v="0"/>
    <x v="1"/>
    <x v="2"/>
    <d v="2018-10-23T00:00:00"/>
    <x v="9"/>
    <n v="700"/>
    <n v="12131"/>
    <n v="5929"/>
    <n v="6202"/>
  </r>
  <r>
    <x v="4"/>
    <x v="2"/>
    <x v="1"/>
    <d v="2018-10-25T00:00:00"/>
    <x v="13"/>
    <n v="500"/>
    <n v="11250"/>
    <n v="4920"/>
    <n v="6330"/>
  </r>
  <r>
    <x v="0"/>
    <x v="1"/>
    <x v="1"/>
    <d v="2018-10-26T00:00:00"/>
    <x v="9"/>
    <n v="500"/>
    <n v="11430"/>
    <n v="4920"/>
    <n v="6510"/>
  </r>
  <r>
    <x v="1"/>
    <x v="0"/>
    <x v="0"/>
    <d v="2018-10-29T00:00:00"/>
    <x v="5"/>
    <n v="100"/>
    <n v="2234"/>
    <n v="1022"/>
    <n v="1212"/>
  </r>
  <r>
    <x v="1"/>
    <x v="1"/>
    <x v="0"/>
    <d v="2018-10-31T00:00:00"/>
    <x v="1"/>
    <n v="100"/>
    <n v="2092"/>
    <n v="1022"/>
    <n v="1070"/>
  </r>
  <r>
    <x v="4"/>
    <x v="2"/>
    <x v="0"/>
    <d v="2018-10-31T00:00:00"/>
    <x v="13"/>
    <n v="600"/>
    <n v="13818"/>
    <n v="6132"/>
    <n v="7686"/>
  </r>
  <r>
    <x v="4"/>
    <x v="0"/>
    <x v="0"/>
    <d v="2018-11-04T00:00:00"/>
    <x v="21"/>
    <n v="600"/>
    <n v="12612"/>
    <n v="6132"/>
    <n v="6480"/>
  </r>
  <r>
    <x v="2"/>
    <x v="1"/>
    <x v="2"/>
    <d v="2018-11-05T00:00:00"/>
    <x v="24"/>
    <n v="800"/>
    <n v="15104"/>
    <n v="6776"/>
    <n v="8328"/>
  </r>
  <r>
    <x v="4"/>
    <x v="2"/>
    <x v="0"/>
    <d v="2018-11-08T00:00:00"/>
    <x v="13"/>
    <n v="700"/>
    <n v="16576"/>
    <n v="7154"/>
    <n v="9422"/>
  </r>
  <r>
    <x v="1"/>
    <x v="0"/>
    <x v="0"/>
    <d v="2018-11-09T00:00:00"/>
    <x v="5"/>
    <n v="700"/>
    <n v="17059"/>
    <n v="7154"/>
    <n v="9905"/>
  </r>
  <r>
    <x v="0"/>
    <x v="1"/>
    <x v="1"/>
    <d v="2018-11-13T00:00:00"/>
    <x v="9"/>
    <n v="800"/>
    <n v="19424"/>
    <n v="7872"/>
    <n v="11552"/>
  </r>
  <r>
    <x v="3"/>
    <x v="2"/>
    <x v="1"/>
    <d v="2018-11-13T00:00:00"/>
    <x v="6"/>
    <n v="700"/>
    <n v="14784"/>
    <n v="6888"/>
    <n v="7896"/>
  </r>
  <r>
    <x v="0"/>
    <x v="0"/>
    <x v="1"/>
    <d v="2018-11-14T00:00:00"/>
    <x v="0"/>
    <n v="1000"/>
    <n v="21740"/>
    <n v="9840"/>
    <n v="11900"/>
  </r>
  <r>
    <x v="0"/>
    <x v="0"/>
    <x v="1"/>
    <d v="2018-11-15T00:00:00"/>
    <x v="0"/>
    <n v="900"/>
    <n v="19674"/>
    <n v="8856"/>
    <n v="10818"/>
  </r>
  <r>
    <x v="3"/>
    <x v="2"/>
    <x v="2"/>
    <d v="2018-11-15T00:00:00"/>
    <x v="6"/>
    <n v="500"/>
    <n v="8970"/>
    <n v="4235"/>
    <n v="4735"/>
  </r>
  <r>
    <x v="1"/>
    <x v="0"/>
    <x v="0"/>
    <d v="2018-11-17T00:00:00"/>
    <x v="5"/>
    <n v="600"/>
    <n v="13680"/>
    <n v="6132"/>
    <n v="7548"/>
  </r>
  <r>
    <x v="0"/>
    <x v="1"/>
    <x v="1"/>
    <d v="2018-11-19T00:00:00"/>
    <x v="9"/>
    <n v="800"/>
    <n v="17136"/>
    <n v="7872"/>
    <n v="9264"/>
  </r>
  <r>
    <x v="3"/>
    <x v="2"/>
    <x v="2"/>
    <d v="2018-11-20T00:00:00"/>
    <x v="6"/>
    <n v="400"/>
    <n v="6880"/>
    <n v="3388"/>
    <n v="3492"/>
  </r>
  <r>
    <x v="1"/>
    <x v="0"/>
    <x v="1"/>
    <d v="2018-11-21T00:00:00"/>
    <x v="5"/>
    <n v="500"/>
    <n v="11330"/>
    <n v="4920"/>
    <n v="6410"/>
  </r>
  <r>
    <x v="4"/>
    <x v="2"/>
    <x v="1"/>
    <d v="2018-11-22T00:00:00"/>
    <x v="13"/>
    <n v="200"/>
    <n v="4412"/>
    <n v="1968"/>
    <n v="2444"/>
  </r>
  <r>
    <x v="0"/>
    <x v="1"/>
    <x v="1"/>
    <d v="2018-11-23T00:00:00"/>
    <x v="9"/>
    <n v="400"/>
    <n v="9484"/>
    <n v="3936"/>
    <n v="5548"/>
  </r>
  <r>
    <x v="0"/>
    <x v="1"/>
    <x v="1"/>
    <d v="2018-11-24T00:00:00"/>
    <x v="9"/>
    <n v="400"/>
    <n v="8204"/>
    <n v="3936"/>
    <n v="4268"/>
  </r>
  <r>
    <x v="5"/>
    <x v="3"/>
    <x v="0"/>
    <d v="2018-11-25T00:00:00"/>
    <x v="25"/>
    <n v="400"/>
    <n v="8556"/>
    <n v="4088"/>
    <n v="4468"/>
  </r>
  <r>
    <x v="0"/>
    <x v="1"/>
    <x v="1"/>
    <d v="2018-11-28T00:00:00"/>
    <x v="9"/>
    <n v="400"/>
    <n v="8464"/>
    <n v="3936"/>
    <n v="4528"/>
  </r>
  <r>
    <x v="1"/>
    <x v="0"/>
    <x v="0"/>
    <d v="2018-11-28T00:00:00"/>
    <x v="5"/>
    <n v="500"/>
    <n v="11470"/>
    <n v="5110"/>
    <n v="6360"/>
  </r>
  <r>
    <x v="0"/>
    <x v="2"/>
    <x v="1"/>
    <d v="2018-11-29T00:00:00"/>
    <x v="8"/>
    <n v="600"/>
    <n v="14154"/>
    <n v="5904"/>
    <n v="8250"/>
  </r>
  <r>
    <x v="3"/>
    <x v="2"/>
    <x v="1"/>
    <d v="2018-11-30T00:00:00"/>
    <x v="6"/>
    <n v="800"/>
    <n v="19280"/>
    <n v="7872"/>
    <n v="11408"/>
  </r>
  <r>
    <x v="1"/>
    <x v="0"/>
    <x v="0"/>
    <d v="2018-12-01T00:00:00"/>
    <x v="5"/>
    <n v="900"/>
    <n v="22887"/>
    <n v="9198"/>
    <n v="13689"/>
  </r>
  <r>
    <x v="1"/>
    <x v="1"/>
    <x v="0"/>
    <d v="2018-12-02T00:00:00"/>
    <x v="1"/>
    <n v="600"/>
    <n v="13290"/>
    <n v="6132"/>
    <n v="7158"/>
  </r>
  <r>
    <x v="4"/>
    <x v="2"/>
    <x v="1"/>
    <d v="2018-12-02T00:00:00"/>
    <x v="13"/>
    <n v="1000"/>
    <n v="20840"/>
    <n v="9840"/>
    <n v="11000"/>
  </r>
  <r>
    <x v="3"/>
    <x v="3"/>
    <x v="0"/>
    <d v="2018-12-05T00:00:00"/>
    <x v="4"/>
    <n v="800"/>
    <n v="19544"/>
    <n v="8176"/>
    <n v="11368"/>
  </r>
  <r>
    <x v="0"/>
    <x v="1"/>
    <x v="0"/>
    <d v="2018-12-05T00:00:00"/>
    <x v="9"/>
    <n v="400"/>
    <n v="8284"/>
    <n v="4088"/>
    <n v="4196"/>
  </r>
  <r>
    <x v="0"/>
    <x v="0"/>
    <x v="0"/>
    <d v="2018-12-05T00:00:00"/>
    <x v="0"/>
    <n v="800"/>
    <n v="17496"/>
    <n v="8176"/>
    <n v="9320"/>
  </r>
  <r>
    <x v="1"/>
    <x v="0"/>
    <x v="1"/>
    <d v="2018-12-07T00:00:00"/>
    <x v="5"/>
    <n v="1000"/>
    <n v="23690"/>
    <n v="9840"/>
    <n v="13850"/>
  </r>
  <r>
    <x v="0"/>
    <x v="1"/>
    <x v="0"/>
    <d v="2018-12-08T00:00:00"/>
    <x v="9"/>
    <n v="100"/>
    <n v="2309"/>
    <n v="1022"/>
    <n v="1287"/>
  </r>
  <r>
    <x v="5"/>
    <x v="2"/>
    <x v="0"/>
    <d v="2018-12-09T00:00:00"/>
    <x v="16"/>
    <n v="900"/>
    <n v="18756"/>
    <n v="9198"/>
    <n v="9558"/>
  </r>
  <r>
    <x v="1"/>
    <x v="0"/>
    <x v="2"/>
    <d v="2018-12-10T00:00:00"/>
    <x v="5"/>
    <n v="1000"/>
    <n v="17410"/>
    <n v="8470"/>
    <n v="8940"/>
  </r>
  <r>
    <x v="1"/>
    <x v="0"/>
    <x v="1"/>
    <d v="2018-12-10T00:00:00"/>
    <x v="5"/>
    <n v="200"/>
    <n v="4492"/>
    <n v="1968"/>
    <n v="2524"/>
  </r>
  <r>
    <x v="0"/>
    <x v="1"/>
    <x v="1"/>
    <d v="2018-12-11T00:00:00"/>
    <x v="11"/>
    <n v="200"/>
    <n v="4696"/>
    <n v="1968"/>
    <n v="2728"/>
  </r>
  <r>
    <x v="1"/>
    <x v="1"/>
    <x v="1"/>
    <d v="2018-12-13T00:00:00"/>
    <x v="1"/>
    <n v="500"/>
    <n v="10295"/>
    <n v="4920"/>
    <n v="5375"/>
  </r>
  <r>
    <x v="0"/>
    <x v="1"/>
    <x v="0"/>
    <d v="2018-12-15T00:00:00"/>
    <x v="9"/>
    <n v="1000"/>
    <n v="25010"/>
    <n v="10220"/>
    <n v="14790"/>
  </r>
  <r>
    <x v="0"/>
    <x v="0"/>
    <x v="0"/>
    <d v="2018-12-15T00:00:00"/>
    <x v="0"/>
    <n v="500"/>
    <n v="10380"/>
    <n v="5110"/>
    <n v="5270"/>
  </r>
  <r>
    <x v="0"/>
    <x v="1"/>
    <x v="0"/>
    <d v="2018-12-16T00:00:00"/>
    <x v="7"/>
    <n v="300"/>
    <n v="6744"/>
    <n v="3066"/>
    <n v="3678"/>
  </r>
  <r>
    <x v="0"/>
    <x v="0"/>
    <x v="2"/>
    <d v="2018-12-18T00:00:00"/>
    <x v="0"/>
    <n v="700"/>
    <n v="13552"/>
    <n v="5929"/>
    <n v="7623"/>
  </r>
  <r>
    <x v="3"/>
    <x v="2"/>
    <x v="0"/>
    <d v="2018-12-20T00:00:00"/>
    <x v="6"/>
    <n v="800"/>
    <n v="18560"/>
    <n v="8176"/>
    <n v="10384"/>
  </r>
  <r>
    <x v="4"/>
    <x v="2"/>
    <x v="2"/>
    <d v="2018-12-21T00:00:00"/>
    <x v="13"/>
    <n v="300"/>
    <n v="5847"/>
    <n v="2541"/>
    <n v="3306"/>
  </r>
  <r>
    <x v="0"/>
    <x v="2"/>
    <x v="0"/>
    <d v="2018-12-22T00:00:00"/>
    <x v="8"/>
    <n v="800"/>
    <n v="18304"/>
    <n v="8176"/>
    <n v="10128"/>
  </r>
  <r>
    <x v="4"/>
    <x v="2"/>
    <x v="0"/>
    <d v="2018-12-23T00:00:00"/>
    <x v="13"/>
    <n v="700"/>
    <n v="17199"/>
    <n v="7154"/>
    <n v="10045"/>
  </r>
  <r>
    <x v="0"/>
    <x v="1"/>
    <x v="2"/>
    <d v="2018-12-24T00:00:00"/>
    <x v="7"/>
    <n v="100"/>
    <n v="1968"/>
    <n v="847"/>
    <n v="1121"/>
  </r>
  <r>
    <x v="3"/>
    <x v="2"/>
    <x v="0"/>
    <d v="2018-12-25T00:00:00"/>
    <x v="6"/>
    <n v="200"/>
    <n v="4690"/>
    <n v="2044"/>
    <n v="2646"/>
  </r>
  <r>
    <x v="1"/>
    <x v="1"/>
    <x v="0"/>
    <d v="2018-12-27T00:00:00"/>
    <x v="10"/>
    <n v="500"/>
    <n v="11680"/>
    <n v="5110"/>
    <n v="6570"/>
  </r>
  <r>
    <x v="3"/>
    <x v="2"/>
    <x v="1"/>
    <d v="2018-12-27T00:00:00"/>
    <x v="6"/>
    <n v="700"/>
    <n v="14560"/>
    <n v="6888"/>
    <n v="7672"/>
  </r>
  <r>
    <x v="5"/>
    <x v="2"/>
    <x v="0"/>
    <d v="2018-12-28T00:00:00"/>
    <x v="16"/>
    <n v="700"/>
    <n v="15225"/>
    <n v="7154"/>
    <n v="8071"/>
  </r>
  <r>
    <x v="1"/>
    <x v="0"/>
    <x v="2"/>
    <d v="2018-12-29T00:00:00"/>
    <x v="5"/>
    <n v="900"/>
    <n v="15363"/>
    <n v="7623"/>
    <n v="7740"/>
  </r>
</pivotCacheRecords>
</file>

<file path=xl/pivotCache/pivotCacheRecords4.xml><?xml version="1.0" encoding="utf-8"?>
<pivotCacheRecords xmlns="http://schemas.openxmlformats.org/spreadsheetml/2006/main" xmlns:r="http://schemas.openxmlformats.org/officeDocument/2006/relationships" count="563">
  <r>
    <s v="Training"/>
    <s v="Midwest"/>
    <x v="0"/>
    <d v="2017-01-01T00:00:00"/>
    <s v="599CD.com"/>
    <n v="1000"/>
    <m/>
    <n v="10220"/>
    <n v="12590"/>
  </r>
  <r>
    <s v="Software"/>
    <s v="Northeast"/>
    <x v="1"/>
    <d v="2017-01-02T00:00:00"/>
    <s v="F-Keys Ltd."/>
    <n v="100"/>
    <n v="2257"/>
    <n v="984"/>
    <n v="1273"/>
  </r>
  <r>
    <s v="Associations"/>
    <s v="South"/>
    <x v="0"/>
    <d v="2017-01-04T00:00:00"/>
    <s v="Association for Computers &amp; Taxation"/>
    <n v="400"/>
    <n v="9152"/>
    <n v="4088"/>
    <n v="5064"/>
  </r>
  <r>
    <s v="Consultants"/>
    <s v="Midwest"/>
    <x v="1"/>
    <d v="2017-01-04T00:00:00"/>
    <s v="Construction Intelligence &amp; Analytics, Inc."/>
    <n v="800"/>
    <n v="18552"/>
    <n v="7872"/>
    <n v="10680"/>
  </r>
  <r>
    <s v="Consultants"/>
    <s v="West"/>
    <x v="1"/>
    <d v="2017-01-07T00:00:00"/>
    <s v="Data2Impact"/>
    <n v="1000"/>
    <n v="21730"/>
    <n v="9840"/>
    <n v="11890"/>
  </r>
  <r>
    <s v="Software"/>
    <s v="Midwest"/>
    <x v="2"/>
    <d v="2017-01-07T00:00:00"/>
    <s v="Excel4Apps"/>
    <n v="400"/>
    <n v="8456"/>
    <n v="3388"/>
    <n v="5068"/>
  </r>
  <r>
    <s v="Software"/>
    <s v="Midwest"/>
    <x v="2"/>
    <d v="2017-01-09T00:00:00"/>
    <s v="Excel4Apps"/>
    <n v="800"/>
    <n v="16416"/>
    <n v="6776"/>
    <n v="9640"/>
  </r>
  <r>
    <s v="Consultants"/>
    <s v="South"/>
    <x v="0"/>
    <d v="2017-01-10T00:00:00"/>
    <s v="Andrew Spain Consulting"/>
    <n v="900"/>
    <n v="21438"/>
    <n v="9198"/>
    <n v="12240"/>
  </r>
  <r>
    <s v="Training"/>
    <s v="Northeast"/>
    <x v="2"/>
    <d v="2017-01-12T00:00:00"/>
    <s v="LearnExcelBooks.com"/>
    <n v="300"/>
    <n v="6267"/>
    <n v="2541"/>
    <n v="3726"/>
  </r>
  <r>
    <s v="Training"/>
    <s v="South"/>
    <x v="0"/>
    <d v="2017-01-14T00:00:00"/>
    <s v="MyOnlineTrainingHub.com"/>
    <n v="100"/>
    <n v="2401"/>
    <n v="1022"/>
    <n v="1379"/>
  </r>
  <r>
    <s v="Software"/>
    <s v="Northeast"/>
    <x v="2"/>
    <d v="2017-01-15T00:00:00"/>
    <s v="F-Keys Ltd."/>
    <n v="500"/>
    <n v="9345"/>
    <n v="4235"/>
    <n v="5110"/>
  </r>
  <r>
    <s v="Training"/>
    <s v="Northeast"/>
    <x v="2"/>
    <d v="2017-01-16T00:00:00"/>
    <s v="MySpreadsheetLab"/>
    <n v="600"/>
    <n v="11628"/>
    <n v="5082"/>
    <n v="6546"/>
  </r>
  <r>
    <s v="Software"/>
    <s v="Northeast"/>
    <x v="1"/>
    <d v="2017-01-19T00:00:00"/>
    <s v="F-Keys Ltd."/>
    <n v="100"/>
    <n v="2042"/>
    <n v="984"/>
    <n v="1058"/>
  </r>
  <r>
    <s v="Software"/>
    <s v="Northeast"/>
    <x v="3"/>
    <d v="2017-01-21T00:00:00"/>
    <s v="Vertex42"/>
    <n v="800"/>
    <n v="14440"/>
    <n v="6776"/>
    <n v="7664"/>
  </r>
  <r>
    <s v="Consultants"/>
    <s v="Midwest"/>
    <x v="3"/>
    <d v="2017-01-21T00:00:00"/>
    <s v="Construction Intelligence &amp; Analytics, Inc."/>
    <n v="200"/>
    <n v="3552"/>
    <n v="1694"/>
    <n v="1858"/>
  </r>
  <r>
    <s v="Software"/>
    <s v="Midwest"/>
    <x v="2"/>
    <d v="2017-01-23T00:00:00"/>
    <s v="Excel4Apps"/>
    <n v="800"/>
    <n v="14592"/>
    <n v="6776"/>
    <n v="7816"/>
  </r>
  <r>
    <s v="Training"/>
    <s v="Northeast"/>
    <x v="2"/>
    <d v="2017-01-24T00:00:00"/>
    <s v="LearnExcelBooks.com"/>
    <n v="600"/>
    <n v="12606"/>
    <n v="5082"/>
    <n v="7524"/>
  </r>
  <r>
    <s v="Training"/>
    <s v="Northeast"/>
    <x v="2"/>
    <d v="2017-01-25T00:00:00"/>
    <s v="MySpreadsheetLab"/>
    <n v="1000"/>
    <n v="20770"/>
    <n v="8470"/>
    <n v="12300"/>
  </r>
  <r>
    <s v="Training"/>
    <s v="Northeast"/>
    <x v="2"/>
    <d v="2017-01-26T00:00:00"/>
    <s v="LearnExcelBooks.com"/>
    <n v="400"/>
    <n v="8128"/>
    <n v="3388"/>
    <n v="4740"/>
  </r>
  <r>
    <s v="Associations"/>
    <s v="South"/>
    <x v="2"/>
    <d v="2017-01-29T00:00:00"/>
    <s v="Association for Computers &amp; Taxation"/>
    <n v="400"/>
    <n v="7136"/>
    <n v="3388"/>
    <n v="3748"/>
  </r>
  <r>
    <s v="Software"/>
    <s v="Midwest"/>
    <x v="1"/>
    <d v="2017-01-29T00:00:00"/>
    <s v="Excel4Apps"/>
    <n v="700"/>
    <n v="17150"/>
    <n v="6888"/>
    <n v="10262"/>
  </r>
  <r>
    <s v="Consultants"/>
    <s v="South"/>
    <x v="1"/>
    <d v="2017-01-30T00:00:00"/>
    <s v="Andrew Spain Consulting"/>
    <n v="300"/>
    <n v="6714"/>
    <n v="2952"/>
    <n v="3762"/>
  </r>
  <r>
    <s v="Software"/>
    <s v="Midwest"/>
    <x v="2"/>
    <d v="2017-01-31T00:00:00"/>
    <s v="Excel4Apps"/>
    <n v="800"/>
    <n v="15640"/>
    <n v="6776"/>
    <n v="8864"/>
  </r>
  <r>
    <s v="Consultants"/>
    <s v="South"/>
    <x v="2"/>
    <d v="2017-02-01T00:00:00"/>
    <s v="Andrew Spain Consulting"/>
    <n v="300"/>
    <n v="5532"/>
    <n v="2541"/>
    <n v="2991"/>
  </r>
  <r>
    <s v="Software"/>
    <s v="Northeast"/>
    <x v="1"/>
    <d v="2017-02-03T00:00:00"/>
    <s v="F-Keys Ltd."/>
    <n v="800"/>
    <n v="17160"/>
    <n v="7872"/>
    <n v="9288"/>
  </r>
  <r>
    <s v="Training"/>
    <s v="Northeast"/>
    <x v="1"/>
    <d v="2017-02-06T00:00:00"/>
    <s v="CPASelfStudy.com"/>
    <n v="900"/>
    <n v="21708"/>
    <n v="8856"/>
    <n v="12852"/>
  </r>
  <r>
    <s v="Training"/>
    <s v="Northeast"/>
    <x v="2"/>
    <d v="2017-02-07T00:00:00"/>
    <s v="LearnExcelBooks.com"/>
    <n v="1000"/>
    <n v="19890"/>
    <n v="8470"/>
    <n v="11420"/>
  </r>
  <r>
    <s v="Training"/>
    <s v="Northeast"/>
    <x v="2"/>
    <d v="2017-02-08T00:00:00"/>
    <s v="MySpreadsheetLab"/>
    <n v="100"/>
    <n v="1817"/>
    <n v="847"/>
    <n v="970"/>
  </r>
  <r>
    <s v="Software"/>
    <s v="Midwest"/>
    <x v="2"/>
    <d v="2017-02-09T00:00:00"/>
    <s v="Excel4Apps"/>
    <n v="300"/>
    <n v="5157"/>
    <n v="2541"/>
    <n v="2616"/>
  </r>
  <r>
    <s v="Training"/>
    <s v="Northeast"/>
    <x v="1"/>
    <d v="2017-02-14T00:00:00"/>
    <s v="MySpreadsheetLab"/>
    <n v="700"/>
    <n v="13867"/>
    <n v="6888"/>
    <n v="6979"/>
  </r>
  <r>
    <s v="Training"/>
    <s v="Midwest"/>
    <x v="0"/>
    <d v="2017-02-16T00:00:00"/>
    <s v="ExcelTricks.de"/>
    <n v="800"/>
    <n v="16936"/>
    <n v="8176"/>
    <n v="8760"/>
  </r>
  <r>
    <s v="Retail"/>
    <s v="South"/>
    <x v="2"/>
    <d v="2017-02-17T00:00:00"/>
    <s v="Hartville MarketPlace and Flea Market"/>
    <n v="600"/>
    <n v="11430"/>
    <n v="5082"/>
    <n v="6348"/>
  </r>
  <r>
    <s v="Consultants"/>
    <s v="South"/>
    <x v="2"/>
    <d v="2017-02-18T00:00:00"/>
    <s v="Andrew Spain Consulting"/>
    <n v="1000"/>
    <n v="20250"/>
    <n v="8470"/>
    <n v="11780"/>
  </r>
  <r>
    <s v="Consultants"/>
    <s v="South"/>
    <x v="2"/>
    <d v="2017-02-19T00:00:00"/>
    <s v="Andrew Spain Consulting"/>
    <n v="500"/>
    <n v="10385"/>
    <n v="4235"/>
    <n v="6150"/>
  </r>
  <r>
    <s v="Retail"/>
    <s v="South"/>
    <x v="2"/>
    <d v="2017-02-20T00:00:00"/>
    <s v="Hartville MarketPlace and Flea Market"/>
    <n v="600"/>
    <n v="11124"/>
    <n v="5082"/>
    <n v="6042"/>
  </r>
  <r>
    <s v="Training"/>
    <s v="Midwest"/>
    <x v="2"/>
    <d v="2017-02-20T00:00:00"/>
    <s v="599CD.com"/>
    <n v="300"/>
    <n v="5700"/>
    <n v="2541"/>
    <n v="3159"/>
  </r>
  <r>
    <s v="Consultants"/>
    <s v="South"/>
    <x v="0"/>
    <d v="2017-02-20T00:00:00"/>
    <s v="Andrew Spain Consulting"/>
    <n v="1000"/>
    <n v="23810"/>
    <n v="10220"/>
    <n v="13590"/>
  </r>
  <r>
    <s v="Consultants"/>
    <s v="South"/>
    <x v="0"/>
    <d v="2017-02-23T00:00:00"/>
    <s v="Andrew Spain Consulting"/>
    <n v="500"/>
    <n v="11525"/>
    <n v="5110"/>
    <n v="6415"/>
  </r>
  <r>
    <s v="Training"/>
    <s v="West"/>
    <x v="1"/>
    <d v="2017-02-26T00:00:00"/>
    <s v="Lake Local School District"/>
    <n v="900"/>
    <n v="20610"/>
    <n v="8856"/>
    <n v="11754"/>
  </r>
  <r>
    <s v="Training"/>
    <s v="Midwest"/>
    <x v="1"/>
    <d v="2017-02-26T00:00:00"/>
    <s v="599CD.com"/>
    <n v="600"/>
    <n v="13206"/>
    <n v="5904"/>
    <n v="7302"/>
  </r>
  <r>
    <s v="Consultants"/>
    <s v="South"/>
    <x v="0"/>
    <d v="2017-02-26T00:00:00"/>
    <s v="Andrew Spain Consulting"/>
    <n v="1000"/>
    <n v="25140"/>
    <n v="10220"/>
    <n v="14920"/>
  </r>
  <r>
    <s v="Training"/>
    <s v="Midwest"/>
    <x v="2"/>
    <d v="2017-02-27T00:00:00"/>
    <s v="599CD.com"/>
    <n v="900"/>
    <n v="16209"/>
    <n v="7623"/>
    <n v="8586"/>
  </r>
  <r>
    <s v="Consultants"/>
    <s v="South"/>
    <x v="1"/>
    <d v="2017-02-27T00:00:00"/>
    <s v="Andrew Spain Consulting"/>
    <n v="400"/>
    <n v="8708"/>
    <n v="3936"/>
    <n v="4772"/>
  </r>
  <r>
    <s v="Software"/>
    <s v="Midwest"/>
    <x v="0"/>
    <d v="2017-02-28T00:00:00"/>
    <s v="Excel4Apps"/>
    <n v="900"/>
    <n v="21456"/>
    <n v="9198"/>
    <n v="12258"/>
  </r>
  <r>
    <s v="Consultants"/>
    <s v="South"/>
    <x v="0"/>
    <d v="2017-03-01T00:00:00"/>
    <s v="Andrew Spain Consulting"/>
    <n v="500"/>
    <n v="10445"/>
    <n v="5110"/>
    <n v="5335"/>
  </r>
  <r>
    <s v="Training"/>
    <s v="Northeast"/>
    <x v="1"/>
    <d v="2017-03-04T00:00:00"/>
    <s v="CPASelfStudy.com"/>
    <n v="600"/>
    <n v="14472"/>
    <n v="5904"/>
    <n v="8568"/>
  </r>
  <r>
    <s v="Consultants"/>
    <s v="South"/>
    <x v="0"/>
    <d v="2017-03-05T00:00:00"/>
    <s v="Andrew Spain Consulting"/>
    <n v="200"/>
    <n v="4262"/>
    <n v="2044"/>
    <n v="2218"/>
  </r>
  <r>
    <s v="Training"/>
    <s v="Midwest"/>
    <x v="2"/>
    <d v="2017-03-06T00:00:00"/>
    <s v="Profology.com"/>
    <n v="700"/>
    <n v="12474"/>
    <n v="5929"/>
    <n v="6545"/>
  </r>
  <r>
    <s v="Retail"/>
    <s v="South"/>
    <x v="2"/>
    <d v="2017-03-07T00:00:00"/>
    <s v="Hartville MarketPlace and Flea Market"/>
    <n v="500"/>
    <n v="10155"/>
    <n v="4235"/>
    <n v="5920"/>
  </r>
  <r>
    <s v="Consultants"/>
    <s v="South"/>
    <x v="1"/>
    <d v="2017-03-10T00:00:00"/>
    <s v="Andrew Spain Consulting"/>
    <n v="900"/>
    <n v="19503"/>
    <n v="8856"/>
    <n v="10647"/>
  </r>
  <r>
    <s v="Training"/>
    <s v="Northeast"/>
    <x v="2"/>
    <d v="2017-03-13T00:00:00"/>
    <s v="LearnExcelBooks.com"/>
    <n v="100"/>
    <n v="1819"/>
    <n v="847"/>
    <n v="972"/>
  </r>
  <r>
    <s v="Training"/>
    <s v="Northeast"/>
    <x v="0"/>
    <d v="2017-03-14T00:00:00"/>
    <s v="MySpreadsheetLab"/>
    <n v="1000"/>
    <n v="24430"/>
    <n v="10220"/>
    <n v="14210"/>
  </r>
  <r>
    <s v="Consultants"/>
    <s v="South"/>
    <x v="0"/>
    <d v="2017-03-14T00:00:00"/>
    <s v="Andrew Spain Consulting"/>
    <n v="500"/>
    <n v="10935"/>
    <n v="5110"/>
    <n v="5825"/>
  </r>
  <r>
    <s v="Training"/>
    <s v="West"/>
    <x v="2"/>
    <d v="2017-03-16T00:00:00"/>
    <s v="Lake Local School District"/>
    <n v="400"/>
    <n v="8116"/>
    <n v="3388"/>
    <n v="4728"/>
  </r>
  <r>
    <s v="Training"/>
    <s v="Northeast"/>
    <x v="0"/>
    <d v="2017-03-17T00:00:00"/>
    <s v="MySpreadsheetLab"/>
    <n v="900"/>
    <n v="18783"/>
    <n v="9198"/>
    <n v="9585"/>
  </r>
  <r>
    <s v="Consultants"/>
    <s v="South"/>
    <x v="2"/>
    <d v="2017-03-19T00:00:00"/>
    <s v="Andrew Spain Consulting"/>
    <n v="800"/>
    <n v="16696"/>
    <n v="6776"/>
    <n v="9920"/>
  </r>
  <r>
    <s v="Training"/>
    <s v="Northeast"/>
    <x v="2"/>
    <d v="2017-03-20T00:00:00"/>
    <s v="CPASelfStudy.com"/>
    <n v="400"/>
    <n v="7132"/>
    <n v="3388"/>
    <n v="3744"/>
  </r>
  <r>
    <s v="Training"/>
    <s v="Northeast"/>
    <x v="0"/>
    <d v="2017-03-21T00:00:00"/>
    <s v="CPASelfStudy.com"/>
    <n v="200"/>
    <n v="4784"/>
    <n v="2044"/>
    <n v="2740"/>
  </r>
  <r>
    <s v="Training"/>
    <s v="South"/>
    <x v="0"/>
    <d v="2017-03-22T00:00:00"/>
    <s v="MyOnlineTrainingHub.com"/>
    <n v="300"/>
    <n v="6765"/>
    <n v="3066"/>
    <n v="3699"/>
  </r>
  <r>
    <s v="Consultants"/>
    <s v="South"/>
    <x v="2"/>
    <d v="2017-03-23T00:00:00"/>
    <s v="Andrew Spain Consulting"/>
    <n v="300"/>
    <n v="5355"/>
    <n v="2541"/>
    <n v="2814"/>
  </r>
  <r>
    <s v="Consultants"/>
    <s v="South"/>
    <x v="2"/>
    <d v="2017-03-24T00:00:00"/>
    <s v="Andrew Spain Consulting"/>
    <n v="200"/>
    <n v="3756"/>
    <n v="1694"/>
    <n v="2062"/>
  </r>
  <r>
    <s v="Software"/>
    <s v="Midwest"/>
    <x v="1"/>
    <d v="2017-03-25T00:00:00"/>
    <s v="Excel4Apps"/>
    <n v="1000"/>
    <n v="20090"/>
    <n v="9840"/>
    <n v="10250"/>
  </r>
  <r>
    <s v="Training"/>
    <s v="Midwest"/>
    <x v="0"/>
    <d v="2017-03-26T00:00:00"/>
    <s v="599CD.com"/>
    <n v="1000"/>
    <n v="23090"/>
    <n v="10220"/>
    <n v="12870"/>
  </r>
  <r>
    <s v="Training"/>
    <s v="South"/>
    <x v="1"/>
    <d v="2017-03-28T00:00:00"/>
    <s v="MyOnlineTrainingHub.com"/>
    <n v="900"/>
    <n v="21357"/>
    <n v="8856"/>
    <n v="12501"/>
  </r>
  <r>
    <s v="Software"/>
    <s v="Midwest"/>
    <x v="2"/>
    <d v="2017-03-28T00:00:00"/>
    <s v="Excel4Apps"/>
    <n v="300"/>
    <n v="5358"/>
    <n v="2541"/>
    <n v="2817"/>
  </r>
  <r>
    <s v="Training"/>
    <s v="Northeast"/>
    <x v="1"/>
    <d v="2017-03-30T00:00:00"/>
    <s v="CPASelfStudy.com"/>
    <n v="800"/>
    <n v="16016"/>
    <n v="7872"/>
    <n v="8144"/>
  </r>
  <r>
    <s v="Training"/>
    <s v="South"/>
    <x v="0"/>
    <d v="2017-04-01T00:00:00"/>
    <s v="MyOnlineTrainingHub.com"/>
    <n v="600"/>
    <n v="14448"/>
    <n v="6132"/>
    <n v="8316"/>
  </r>
  <r>
    <s v="Training"/>
    <s v="South"/>
    <x v="2"/>
    <d v="2017-04-02T00:00:00"/>
    <s v="MyOnlineTrainingHub.com"/>
    <n v="300"/>
    <n v="5370"/>
    <n v="2541"/>
    <n v="2829"/>
  </r>
  <r>
    <s v="Training"/>
    <s v="Midwest"/>
    <x v="0"/>
    <d v="2017-04-04T00:00:00"/>
    <s v="Profology.com"/>
    <n v="800"/>
    <n v="20408"/>
    <n v="8176"/>
    <n v="12232"/>
  </r>
  <r>
    <s v="Retail"/>
    <s v="South"/>
    <x v="1"/>
    <d v="2017-04-04T00:00:00"/>
    <s v="Hartville MarketPlace and Flea Market"/>
    <n v="400"/>
    <n v="8632"/>
    <n v="3936"/>
    <n v="4696"/>
  </r>
  <r>
    <s v="Retail"/>
    <s v="South"/>
    <x v="1"/>
    <d v="2017-04-04T00:00:00"/>
    <s v="Hartville MarketPlace and Flea Market"/>
    <n v="300"/>
    <n v="6588"/>
    <n v="2952"/>
    <n v="3636"/>
  </r>
  <r>
    <s v="Software"/>
    <s v="Northeast"/>
    <x v="0"/>
    <d v="2017-04-05T00:00:00"/>
    <s v="F-Keys Ltd."/>
    <n v="100"/>
    <n v="2466"/>
    <n v="1022"/>
    <n v="1444"/>
  </r>
  <r>
    <s v="Professional"/>
    <s v="South"/>
    <x v="2"/>
    <d v="2017-04-07T00:00:00"/>
    <s v="Serving Brevard Realty"/>
    <n v="700"/>
    <n v="14686"/>
    <n v="5929"/>
    <n v="8757"/>
  </r>
  <r>
    <s v="Training"/>
    <s v="Northeast"/>
    <x v="2"/>
    <d v="2017-04-07T00:00:00"/>
    <s v="CPASelfStudy.com"/>
    <n v="300"/>
    <n v="5886"/>
    <n v="2541"/>
    <n v="3345"/>
  </r>
  <r>
    <s v="Retail"/>
    <s v="South"/>
    <x v="1"/>
    <d v="2017-04-10T00:00:00"/>
    <s v="Hartville MarketPlace and Flea Market"/>
    <n v="500"/>
    <n v="12095"/>
    <n v="4920"/>
    <n v="7175"/>
  </r>
  <r>
    <s v="Training"/>
    <s v="Northeast"/>
    <x v="0"/>
    <d v="2017-04-11T00:00:00"/>
    <s v="LearnExcelBooks.com"/>
    <n v="900"/>
    <n v="19539"/>
    <n v="9198"/>
    <n v="10341"/>
  </r>
  <r>
    <s v="Training"/>
    <s v="Northeast"/>
    <x v="2"/>
    <d v="2017-04-12T00:00:00"/>
    <s v="CPASelfStudy.com"/>
    <n v="300"/>
    <n v="6063"/>
    <n v="2541"/>
    <n v="3522"/>
  </r>
  <r>
    <s v="Training"/>
    <s v="Northeast"/>
    <x v="2"/>
    <d v="2017-04-13T00:00:00"/>
    <s v="CPASelfStudy.com"/>
    <n v="600"/>
    <n v="11598"/>
    <n v="5082"/>
    <n v="6516"/>
  </r>
  <r>
    <s v="Training"/>
    <s v="Northeast"/>
    <x v="2"/>
    <d v="2017-04-14T00:00:00"/>
    <s v="MySpreadsheetLab"/>
    <n v="400"/>
    <n v="8016"/>
    <n v="3388"/>
    <n v="4628"/>
  </r>
  <r>
    <s v="Software"/>
    <s v="Northeast"/>
    <x v="0"/>
    <d v="2017-04-20T00:00:00"/>
    <s v="F-Keys Ltd."/>
    <n v="1000"/>
    <n v="21880"/>
    <n v="10220"/>
    <n v="11660"/>
  </r>
  <r>
    <s v="Retail"/>
    <s v="West"/>
    <x v="3"/>
    <d v="2017-04-20T00:00:00"/>
    <s v="Bits of Confetti"/>
    <n v="200"/>
    <n v="4948"/>
    <n v="2044"/>
    <n v="2904"/>
  </r>
  <r>
    <s v="Consultants"/>
    <s v="South"/>
    <x v="0"/>
    <d v="2017-04-22T00:00:00"/>
    <s v="Andrew Spain Consulting"/>
    <n v="700"/>
    <n v="15834"/>
    <n v="7154"/>
    <n v="8680"/>
  </r>
  <r>
    <s v="Training"/>
    <s v="Midwest"/>
    <x v="1"/>
    <d v="2017-04-23T00:00:00"/>
    <s v="599CD.com"/>
    <n v="100"/>
    <n v="2457"/>
    <n v="984"/>
    <n v="1473"/>
  </r>
  <r>
    <s v="Retail"/>
    <s v="South"/>
    <x v="2"/>
    <d v="2017-04-24T00:00:00"/>
    <s v="Hartville MarketPlace and Flea Market"/>
    <n v="300"/>
    <n v="5439"/>
    <n v="2541"/>
    <n v="2898"/>
  </r>
  <r>
    <s v="Consultants"/>
    <s v="South"/>
    <x v="1"/>
    <d v="2017-04-25T00:00:00"/>
    <s v="Andrew Spain Consulting"/>
    <n v="500"/>
    <n v="11435"/>
    <n v="4920"/>
    <n v="6515"/>
  </r>
  <r>
    <s v="Software"/>
    <s v="Midwest"/>
    <x v="0"/>
    <d v="2017-04-27T00:00:00"/>
    <s v="Excel4Apps"/>
    <n v="1000"/>
    <n v="22530"/>
    <n v="10220"/>
    <n v="12310"/>
  </r>
  <r>
    <s v="Training"/>
    <s v="Midwest"/>
    <x v="0"/>
    <d v="2017-04-28T00:00:00"/>
    <s v="599CD.com"/>
    <n v="1000"/>
    <n v="25060"/>
    <n v="10220"/>
    <n v="14840"/>
  </r>
  <r>
    <s v="Consultants"/>
    <s v="South"/>
    <x v="0"/>
    <d v="2017-04-29T00:00:00"/>
    <s v="Cambia Factor"/>
    <n v="800"/>
    <n v="18264"/>
    <n v="8176"/>
    <n v="10088"/>
  </r>
  <r>
    <s v="Training"/>
    <s v="South"/>
    <x v="0"/>
    <d v="2017-04-30T00:00:00"/>
    <s v="MyOnlineTrainingHub.com"/>
    <n v="200"/>
    <n v="4124"/>
    <n v="2044"/>
    <n v="2080"/>
  </r>
  <r>
    <s v="Training"/>
    <s v="Midwest"/>
    <x v="2"/>
    <d v="2017-05-01T00:00:00"/>
    <s v="599CD.com"/>
    <n v="200"/>
    <n v="3802"/>
    <n v="1694"/>
    <n v="2108"/>
  </r>
  <r>
    <s v="Consultants"/>
    <s v="Midwest"/>
    <x v="1"/>
    <d v="2017-05-01T00:00:00"/>
    <s v="Excelerator BI"/>
    <n v="800"/>
    <n v="19520"/>
    <n v="7872"/>
    <n v="11648"/>
  </r>
  <r>
    <s v="Professional"/>
    <s v="South"/>
    <x v="0"/>
    <d v="2017-05-03T00:00:00"/>
    <s v="Serving Brevard Realty"/>
    <n v="800"/>
    <n v="19288"/>
    <n v="8176"/>
    <n v="11112"/>
  </r>
  <r>
    <s v="Training"/>
    <s v="South"/>
    <x v="2"/>
    <d v="2017-05-05T00:00:00"/>
    <s v="MyOnlineTrainingHub.com"/>
    <n v="800"/>
    <n v="15592"/>
    <n v="6776"/>
    <n v="8816"/>
  </r>
  <r>
    <s v="Professional"/>
    <s v="South"/>
    <x v="0"/>
    <d v="2017-05-05T00:00:00"/>
    <s v="Serving Brevard Realty"/>
    <n v="300"/>
    <n v="6867"/>
    <n v="3066"/>
    <n v="3801"/>
  </r>
  <r>
    <s v="Training"/>
    <s v="South"/>
    <x v="2"/>
    <d v="2017-05-07T00:00:00"/>
    <s v="MyOnlineTrainingHub.com"/>
    <n v="600"/>
    <n v="12318"/>
    <n v="5082"/>
    <n v="7236"/>
  </r>
  <r>
    <s v="Professional"/>
    <s v="South"/>
    <x v="1"/>
    <d v="2017-05-07T00:00:00"/>
    <s v="Serving Brevard Realty"/>
    <n v="400"/>
    <n v="8052"/>
    <n v="3936"/>
    <n v="4116"/>
  </r>
  <r>
    <s v="Consultants"/>
    <s v="South"/>
    <x v="1"/>
    <d v="2017-05-08T00:00:00"/>
    <s v="Andrew Spain Consulting"/>
    <n v="800"/>
    <n v="17544"/>
    <n v="7872"/>
    <n v="9672"/>
  </r>
  <r>
    <s v="Training"/>
    <s v="Northeast"/>
    <x v="1"/>
    <d v="2017-05-09T00:00:00"/>
    <s v="LearnExcelBooks.com"/>
    <n v="700"/>
    <n v="16765"/>
    <n v="6888"/>
    <n v="9877"/>
  </r>
  <r>
    <s v="Retail"/>
    <s v="South"/>
    <x v="2"/>
    <d v="2017-05-11T00:00:00"/>
    <s v="Hartville MarketPlace and Flea Market"/>
    <n v="500"/>
    <n v="8785"/>
    <n v="4235"/>
    <n v="4550"/>
  </r>
  <r>
    <s v="Consultants"/>
    <s v="South"/>
    <x v="1"/>
    <d v="2017-05-12T00:00:00"/>
    <s v="Andrew Spain Consulting"/>
    <n v="700"/>
    <n v="16772"/>
    <n v="6888"/>
    <n v="9884"/>
  </r>
  <r>
    <s v="Training"/>
    <s v="Northeast"/>
    <x v="2"/>
    <d v="2017-05-13T00:00:00"/>
    <s v="CPASelfStudy.com"/>
    <n v="500"/>
    <n v="9380"/>
    <n v="4235"/>
    <n v="5145"/>
  </r>
  <r>
    <s v="Consultants"/>
    <s v="South"/>
    <x v="0"/>
    <d v="2017-05-13T00:00:00"/>
    <s v="Andrew Spain Consulting"/>
    <n v="500"/>
    <n v="12625"/>
    <n v="5110"/>
    <n v="7515"/>
  </r>
  <r>
    <s v="Training"/>
    <s v="Midwest"/>
    <x v="2"/>
    <d v="2017-05-14T00:00:00"/>
    <s v="ExcelTricks.de"/>
    <n v="500"/>
    <n v="9635"/>
    <n v="4235"/>
    <n v="5400"/>
  </r>
  <r>
    <s v="Professional"/>
    <s v="South"/>
    <x v="1"/>
    <d v="2017-05-16T00:00:00"/>
    <s v="Serving Brevard Realty"/>
    <n v="300"/>
    <n v="6156"/>
    <n v="2952"/>
    <n v="3204"/>
  </r>
  <r>
    <s v="Training"/>
    <s v="Midwest"/>
    <x v="1"/>
    <d v="2017-05-19T00:00:00"/>
    <s v="Profology.com"/>
    <n v="900"/>
    <n v="17757"/>
    <n v="8856"/>
    <n v="8901"/>
  </r>
  <r>
    <s v="Consultants"/>
    <s v="West"/>
    <x v="0"/>
    <d v="2017-05-20T00:00:00"/>
    <s v="Fintega Financial Modelling"/>
    <n v="200"/>
    <n v="4846"/>
    <n v="2044"/>
    <n v="2802"/>
  </r>
  <r>
    <s v="Training"/>
    <s v="Northeast"/>
    <x v="2"/>
    <d v="2017-05-21T00:00:00"/>
    <s v="CPASelfStudy.com"/>
    <n v="600"/>
    <n v="11208"/>
    <n v="5082"/>
    <n v="6126"/>
  </r>
  <r>
    <s v="Training"/>
    <s v="South"/>
    <x v="1"/>
    <d v="2017-05-22T00:00:00"/>
    <s v="MyOnlineTrainingHub.com"/>
    <n v="500"/>
    <n v="10195"/>
    <n v="4920"/>
    <n v="5275"/>
  </r>
  <r>
    <s v="Software"/>
    <s v="Northeast"/>
    <x v="2"/>
    <d v="2017-05-23T00:00:00"/>
    <s v="F-Keys Ltd."/>
    <n v="200"/>
    <n v="4012"/>
    <n v="1694"/>
    <n v="2318"/>
  </r>
  <r>
    <s v="Software"/>
    <s v="Midwest"/>
    <x v="2"/>
    <d v="2017-05-23T00:00:00"/>
    <s v="Excel4Apps"/>
    <n v="700"/>
    <n v="12803"/>
    <n v="5929"/>
    <n v="6874"/>
  </r>
  <r>
    <s v="Retail"/>
    <s v="South"/>
    <x v="1"/>
    <d v="2017-05-24T00:00:00"/>
    <s v="Hartville MarketPlace and Flea Market"/>
    <n v="100"/>
    <n v="2319"/>
    <n v="984"/>
    <n v="1335"/>
  </r>
  <r>
    <s v="Software"/>
    <s v="Midwest"/>
    <x v="2"/>
    <d v="2017-05-24T00:00:00"/>
    <s v="Excel4Apps"/>
    <n v="600"/>
    <n v="11700"/>
    <n v="5082"/>
    <n v="6618"/>
  </r>
  <r>
    <s v="Retail"/>
    <s v="South"/>
    <x v="1"/>
    <d v="2017-05-26T00:00:00"/>
    <s v="Hartville MarketPlace and Flea Market"/>
    <n v="600"/>
    <n v="12048"/>
    <n v="5904"/>
    <n v="6144"/>
  </r>
  <r>
    <s v="Training"/>
    <s v="Northeast"/>
    <x v="0"/>
    <d v="2017-05-28T00:00:00"/>
    <s v="LearnExcelBooks.com"/>
    <n v="700"/>
    <n v="14469"/>
    <n v="7154"/>
    <n v="7315"/>
  </r>
  <r>
    <s v="Retail"/>
    <s v="South"/>
    <x v="2"/>
    <d v="2017-05-29T00:00:00"/>
    <s v="Hartville MarketPlace and Flea Market"/>
    <n v="900"/>
    <n v="17964"/>
    <n v="7623"/>
    <n v="10341"/>
  </r>
  <r>
    <s v="Training"/>
    <s v="South"/>
    <x v="2"/>
    <d v="2017-05-30T00:00:00"/>
    <s v="MyOnlineTrainingHub.com"/>
    <n v="700"/>
    <n v="13412"/>
    <n v="5929"/>
    <n v="7483"/>
  </r>
  <r>
    <s v="Software"/>
    <s v="Midwest"/>
    <x v="0"/>
    <d v="2017-05-30T00:00:00"/>
    <s v="Excel4Apps"/>
    <n v="300"/>
    <n v="6660"/>
    <n v="3066"/>
    <n v="3594"/>
  </r>
  <r>
    <s v="Training"/>
    <s v="Northeast"/>
    <x v="0"/>
    <d v="2017-05-31T00:00:00"/>
    <s v="CPASelfStudy.com"/>
    <n v="900"/>
    <n v="18918"/>
    <n v="9198"/>
    <n v="9720"/>
  </r>
  <r>
    <s v="Software"/>
    <s v="Midwest"/>
    <x v="2"/>
    <d v="2017-06-01T00:00:00"/>
    <s v="Excel4Apps"/>
    <n v="700"/>
    <n v="13986"/>
    <n v="5929"/>
    <n v="8057"/>
  </r>
  <r>
    <s v="Training"/>
    <s v="Northeast"/>
    <x v="1"/>
    <d v="2017-06-03T00:00:00"/>
    <s v="LearnExcelBooks.com"/>
    <n v="1000"/>
    <n v="20480"/>
    <n v="9840"/>
    <n v="10640"/>
  </r>
  <r>
    <s v="Consultants"/>
    <s v="South"/>
    <x v="0"/>
    <d v="2017-06-06T00:00:00"/>
    <s v="Andrew Spain Consulting"/>
    <n v="200"/>
    <n v="4264"/>
    <n v="2044"/>
    <n v="2220"/>
  </r>
  <r>
    <s v="Retail"/>
    <s v="Midwest"/>
    <x v="1"/>
    <d v="2017-06-07T00:00:00"/>
    <s v="New Hope Laundry"/>
    <n v="200"/>
    <n v="4282"/>
    <n v="1968"/>
    <n v="2314"/>
  </r>
  <r>
    <s v="Training"/>
    <s v="Northeast"/>
    <x v="0"/>
    <d v="2017-06-08T00:00:00"/>
    <s v="LearnExcelBooks.com"/>
    <n v="500"/>
    <n v="12135"/>
    <n v="5110"/>
    <n v="7025"/>
  </r>
  <r>
    <s v="Training"/>
    <s v="Northeast"/>
    <x v="1"/>
    <d v="2017-06-10T00:00:00"/>
    <s v="LearnExcelBooks.com"/>
    <n v="200"/>
    <n v="4286"/>
    <n v="1968"/>
    <n v="2318"/>
  </r>
  <r>
    <s v="Software"/>
    <s v="Northeast"/>
    <x v="0"/>
    <d v="2017-06-12T00:00:00"/>
    <s v="F-Keys Ltd."/>
    <n v="500"/>
    <n v="10650"/>
    <n v="5110"/>
    <n v="5540"/>
  </r>
  <r>
    <s v="Software"/>
    <s v="Northeast"/>
    <x v="2"/>
    <d v="2017-06-13T00:00:00"/>
    <s v="F-Keys Ltd."/>
    <n v="1000"/>
    <n v="19630"/>
    <n v="8470"/>
    <n v="11160"/>
  </r>
  <r>
    <s v="Training"/>
    <s v="Northeast"/>
    <x v="2"/>
    <d v="2017-06-14T00:00:00"/>
    <s v="CPASelfStudy.com"/>
    <n v="700"/>
    <n v="12838"/>
    <n v="5929"/>
    <n v="6909"/>
  </r>
  <r>
    <s v="Training"/>
    <s v="Midwest"/>
    <x v="2"/>
    <d v="2017-06-15T00:00:00"/>
    <s v="599CD.com"/>
    <n v="200"/>
    <n v="3856"/>
    <n v="1694"/>
    <n v="2162"/>
  </r>
  <r>
    <s v="Software"/>
    <s v="Northeast"/>
    <x v="1"/>
    <d v="2017-06-19T00:00:00"/>
    <s v="Vertex42"/>
    <n v="1000"/>
    <n v="22140"/>
    <n v="9840"/>
    <n v="12300"/>
  </r>
  <r>
    <s v="Training"/>
    <s v="Northeast"/>
    <x v="2"/>
    <d v="2017-06-23T00:00:00"/>
    <s v="LearnExcelBooks.com"/>
    <n v="500"/>
    <n v="10330"/>
    <n v="4235"/>
    <n v="6095"/>
  </r>
  <r>
    <s v="Retail"/>
    <s v="South"/>
    <x v="2"/>
    <d v="2017-06-24T00:00:00"/>
    <s v="Hartville MarketPlace and Flea Market"/>
    <n v="100"/>
    <n v="1882"/>
    <n v="847"/>
    <n v="1035"/>
  </r>
  <r>
    <s v="Training"/>
    <s v="Midwest"/>
    <x v="1"/>
    <d v="2017-06-25T00:00:00"/>
    <s v="599CD.com"/>
    <n v="100"/>
    <n v="2221"/>
    <n v="984"/>
    <n v="1237"/>
  </r>
  <r>
    <s v="Retail"/>
    <s v="South"/>
    <x v="2"/>
    <d v="2017-06-26T00:00:00"/>
    <s v="Hartville MarketPlace and Flea Market"/>
    <n v="700"/>
    <n v="13734"/>
    <n v="5929"/>
    <n v="7805"/>
  </r>
  <r>
    <s v="Professional"/>
    <s v="South"/>
    <x v="1"/>
    <d v="2017-06-26T00:00:00"/>
    <s v="Serving Brevard Realty"/>
    <n v="800"/>
    <n v="15856"/>
    <n v="7872"/>
    <n v="7984"/>
  </r>
  <r>
    <s v="Consultants"/>
    <s v="West"/>
    <x v="1"/>
    <d v="2017-06-27T00:00:00"/>
    <s v="Data2Impact"/>
    <n v="200"/>
    <n v="4754"/>
    <n v="1968"/>
    <n v="2786"/>
  </r>
  <r>
    <s v="Retail"/>
    <s v="South"/>
    <x v="1"/>
    <d v="2017-06-30T00:00:00"/>
    <s v="Hartville MarketPlace and Flea Market"/>
    <n v="100"/>
    <n v="2231"/>
    <n v="984"/>
    <n v="1247"/>
  </r>
  <r>
    <s v="Training"/>
    <s v="Northeast"/>
    <x v="0"/>
    <d v="2017-07-02T00:00:00"/>
    <s v="CPASelfStudy.com"/>
    <n v="900"/>
    <n v="21960"/>
    <n v="9198"/>
    <n v="12762"/>
  </r>
  <r>
    <s v="Software"/>
    <s v="Midwest"/>
    <x v="0"/>
    <d v="2017-07-03T00:00:00"/>
    <s v="Frontline Systems"/>
    <n v="300"/>
    <n v="7167"/>
    <n v="3066"/>
    <n v="4101"/>
  </r>
  <r>
    <s v="Consultants"/>
    <s v="South"/>
    <x v="0"/>
    <d v="2017-07-03T00:00:00"/>
    <s v="Andrew Spain Consulting"/>
    <n v="900"/>
    <n v="22716"/>
    <n v="9198"/>
    <n v="13518"/>
  </r>
  <r>
    <s v="Training"/>
    <s v="South"/>
    <x v="0"/>
    <d v="2017-07-04T00:00:00"/>
    <s v="MyOnlineTrainingHub.com"/>
    <n v="900"/>
    <n v="19062"/>
    <n v="9198"/>
    <n v="9864"/>
  </r>
  <r>
    <s v="Software"/>
    <s v="Midwest"/>
    <x v="0"/>
    <d v="2017-07-05T00:00:00"/>
    <s v="Excel4Apps"/>
    <n v="300"/>
    <n v="7593"/>
    <n v="3066"/>
    <n v="4527"/>
  </r>
  <r>
    <s v="Retail"/>
    <s v="South"/>
    <x v="1"/>
    <d v="2017-07-08T00:00:00"/>
    <s v="Hartville MarketPlace and Flea Market"/>
    <n v="900"/>
    <n v="21168"/>
    <n v="8856"/>
    <n v="12312"/>
  </r>
  <r>
    <s v="Training"/>
    <s v="Midwest"/>
    <x v="0"/>
    <d v="2017-07-10T00:00:00"/>
    <s v="ExcelTricks.de"/>
    <n v="1000"/>
    <n v="24130"/>
    <n v="10220"/>
    <n v="13910"/>
  </r>
  <r>
    <s v="Retail"/>
    <s v="Midwest"/>
    <x v="0"/>
    <d v="2017-07-11T00:00:00"/>
    <s v="New Hope Laundry"/>
    <n v="400"/>
    <n v="8876"/>
    <n v="4088"/>
    <n v="4788"/>
  </r>
  <r>
    <s v="Training"/>
    <s v="Northeast"/>
    <x v="1"/>
    <d v="2017-07-14T00:00:00"/>
    <s v="CPASelfStudy.com"/>
    <n v="900"/>
    <n v="21555"/>
    <n v="8856"/>
    <n v="12699"/>
  </r>
  <r>
    <s v="Training"/>
    <s v="Northeast"/>
    <x v="2"/>
    <d v="2017-07-15T00:00:00"/>
    <s v="LearnExcelBooks.com"/>
    <n v="300"/>
    <n v="5967"/>
    <n v="2541"/>
    <n v="3426"/>
  </r>
  <r>
    <s v="Training"/>
    <s v="Midwest"/>
    <x v="0"/>
    <d v="2017-07-15T00:00:00"/>
    <s v="599CD.com"/>
    <n v="700"/>
    <n v="15876"/>
    <n v="7154"/>
    <n v="8722"/>
  </r>
  <r>
    <s v="Professional"/>
    <s v="South"/>
    <x v="0"/>
    <d v="2017-07-17T00:00:00"/>
    <s v="Serving Brevard Realty"/>
    <n v="1000"/>
    <n v="25350"/>
    <n v="10220"/>
    <n v="15130"/>
  </r>
  <r>
    <s v="Training"/>
    <s v="Northeast"/>
    <x v="1"/>
    <d v="2017-07-18T00:00:00"/>
    <s v="LearnExcelBooks.com"/>
    <n v="500"/>
    <n v="11545"/>
    <n v="4920"/>
    <n v="6625"/>
  </r>
  <r>
    <s v="Professional"/>
    <s v="South"/>
    <x v="2"/>
    <d v="2017-07-18T00:00:00"/>
    <s v="Juliet Babcock-Hyde CPA, PLLC"/>
    <n v="200"/>
    <n v="4158"/>
    <n v="1694"/>
    <n v="2464"/>
  </r>
  <r>
    <s v="Software"/>
    <s v="Midwest"/>
    <x v="2"/>
    <d v="2017-07-20T00:00:00"/>
    <s v="Excel4Apps"/>
    <n v="600"/>
    <n v="12684"/>
    <n v="5082"/>
    <n v="7602"/>
  </r>
  <r>
    <s v="Consultants"/>
    <s v="South"/>
    <x v="2"/>
    <d v="2017-07-22T00:00:00"/>
    <s v="Andrew Spain Consulting"/>
    <n v="1000"/>
    <n v="18660"/>
    <n v="8470"/>
    <n v="10190"/>
  </r>
  <r>
    <s v="Training"/>
    <s v="South"/>
    <x v="1"/>
    <d v="2017-07-23T00:00:00"/>
    <s v="MyOnlineTrainingHub.com"/>
    <n v="500"/>
    <n v="11660"/>
    <n v="4920"/>
    <n v="6740"/>
  </r>
  <r>
    <s v="Software"/>
    <s v="Midwest"/>
    <x v="1"/>
    <d v="2017-07-26T00:00:00"/>
    <s v="Excel4Apps"/>
    <n v="800"/>
    <n v="15816"/>
    <n v="7872"/>
    <n v="7944"/>
  </r>
  <r>
    <s v="Software"/>
    <s v="Midwest"/>
    <x v="0"/>
    <d v="2017-07-27T00:00:00"/>
    <s v="Frontline Systems"/>
    <n v="1000"/>
    <n v="23890"/>
    <n v="10220"/>
    <n v="13670"/>
  </r>
  <r>
    <s v="Software"/>
    <s v="Northeast"/>
    <x v="1"/>
    <d v="2017-07-28T00:00:00"/>
    <s v="F-Keys Ltd."/>
    <n v="600"/>
    <n v="13866"/>
    <n v="5904"/>
    <n v="7962"/>
  </r>
  <r>
    <s v="Consultants"/>
    <s v="West"/>
    <x v="2"/>
    <d v="2017-07-29T00:00:00"/>
    <s v="Fintega Financial Modelling"/>
    <n v="1000"/>
    <n v="17840"/>
    <n v="8470"/>
    <n v="9370"/>
  </r>
  <r>
    <s v="Consultants"/>
    <s v="South"/>
    <x v="2"/>
    <d v="2017-07-29T00:00:00"/>
    <s v="Andrew Spain Consulting"/>
    <n v="800"/>
    <n v="13936"/>
    <n v="6776"/>
    <n v="7160"/>
  </r>
  <r>
    <s v="Training"/>
    <s v="Northeast"/>
    <x v="0"/>
    <d v="2017-07-30T00:00:00"/>
    <s v="CPASelfStudy.com"/>
    <n v="600"/>
    <n v="12984"/>
    <n v="6132"/>
    <n v="6852"/>
  </r>
  <r>
    <s v="Training"/>
    <s v="Northeast"/>
    <x v="1"/>
    <d v="2017-07-31T00:00:00"/>
    <s v="MySpreadsheetLab"/>
    <n v="1000"/>
    <n v="21800"/>
    <n v="9840"/>
    <n v="11960"/>
  </r>
  <r>
    <s v="Consultants"/>
    <s v="South"/>
    <x v="2"/>
    <d v="2017-07-31T00:00:00"/>
    <s v="Andrew Spain Consulting"/>
    <n v="300"/>
    <n v="5508"/>
    <n v="2541"/>
    <n v="2967"/>
  </r>
  <r>
    <s v="Retail"/>
    <s v="South"/>
    <x v="0"/>
    <d v="2017-08-03T00:00:00"/>
    <s v="Hartville MarketPlace and Flea Market"/>
    <n v="400"/>
    <n v="9704"/>
    <n v="4088"/>
    <n v="5616"/>
  </r>
  <r>
    <s v="Professional"/>
    <s v="South"/>
    <x v="0"/>
    <d v="2017-08-04T00:00:00"/>
    <s v="Juliet Babcock-Hyde CPA, PLLC"/>
    <n v="600"/>
    <n v="13962"/>
    <n v="6132"/>
    <n v="7830"/>
  </r>
  <r>
    <s v="Retail"/>
    <s v="South"/>
    <x v="2"/>
    <d v="2017-08-05T00:00:00"/>
    <s v="Hartville MarketPlace and Flea Market"/>
    <n v="700"/>
    <n v="13433"/>
    <n v="5929"/>
    <n v="7504"/>
  </r>
  <r>
    <s v="Professional"/>
    <s v="South"/>
    <x v="2"/>
    <d v="2017-08-06T00:00:00"/>
    <s v="Serving Brevard Realty"/>
    <n v="800"/>
    <n v="15288"/>
    <n v="6776"/>
    <n v="8512"/>
  </r>
  <r>
    <s v="Software"/>
    <s v="Midwest"/>
    <x v="0"/>
    <d v="2017-08-06T00:00:00"/>
    <s v="Excel4Apps"/>
    <n v="900"/>
    <n v="19584"/>
    <n v="9198"/>
    <n v="10386"/>
  </r>
  <r>
    <s v="Training"/>
    <s v="Northeast"/>
    <x v="0"/>
    <d v="2017-08-07T00:00:00"/>
    <s v="CPASelfStudy.com"/>
    <n v="100"/>
    <n v="2320"/>
    <n v="1022"/>
    <n v="1298"/>
  </r>
  <r>
    <s v="Training"/>
    <s v="South"/>
    <x v="1"/>
    <d v="2017-08-12T00:00:00"/>
    <s v="MyOnlineTrainingHub.com"/>
    <n v="800"/>
    <n v="16936"/>
    <n v="7872"/>
    <n v="9064"/>
  </r>
  <r>
    <s v="Training"/>
    <s v="Midwest"/>
    <x v="2"/>
    <d v="2017-08-14T00:00:00"/>
    <s v="599CD.com"/>
    <n v="300"/>
    <n v="6138"/>
    <n v="2541"/>
    <n v="3597"/>
  </r>
  <r>
    <s v="Training"/>
    <s v="Northeast"/>
    <x v="1"/>
    <d v="2017-08-14T00:00:00"/>
    <s v="LearnExcelBooks.com"/>
    <n v="600"/>
    <n v="12030"/>
    <n v="5904"/>
    <n v="6126"/>
  </r>
  <r>
    <s v="Professional"/>
    <s v="South"/>
    <x v="0"/>
    <d v="2017-08-16T00:00:00"/>
    <s v="Serving Brevard Realty"/>
    <n v="400"/>
    <n v="9384"/>
    <n v="4088"/>
    <n v="5296"/>
  </r>
  <r>
    <s v="Retail"/>
    <s v="South"/>
    <x v="2"/>
    <d v="2017-08-17T00:00:00"/>
    <s v="Hartville MarketPlace and Flea Market"/>
    <n v="300"/>
    <n v="5904"/>
    <n v="2541"/>
    <n v="3363"/>
  </r>
  <r>
    <s v="Retail"/>
    <s v="South"/>
    <x v="2"/>
    <d v="2017-08-19T00:00:00"/>
    <s v="Hartville MarketPlace and Flea Market"/>
    <n v="1000"/>
    <n v="21120"/>
    <n v="8470"/>
    <n v="12650"/>
  </r>
  <r>
    <s v="Professional"/>
    <s v="South"/>
    <x v="0"/>
    <d v="2017-08-20T00:00:00"/>
    <s v="Serving Brevard Realty"/>
    <n v="900"/>
    <n v="18684"/>
    <n v="9198"/>
    <n v="9486"/>
  </r>
  <r>
    <s v="Training"/>
    <s v="Midwest"/>
    <x v="2"/>
    <d v="2017-08-20T00:00:00"/>
    <s v="599CD.com"/>
    <n v="100"/>
    <n v="1836"/>
    <n v="847"/>
    <n v="989"/>
  </r>
  <r>
    <s v="Training"/>
    <s v="South"/>
    <x v="0"/>
    <d v="2017-08-22T00:00:00"/>
    <s v="MyOnlineTrainingHub.com"/>
    <n v="600"/>
    <n v="15006"/>
    <n v="6132"/>
    <n v="8874"/>
  </r>
  <r>
    <s v="Training"/>
    <s v="Northeast"/>
    <x v="1"/>
    <d v="2017-08-22T00:00:00"/>
    <s v="MySpreadsheetLab"/>
    <n v="900"/>
    <n v="19989"/>
    <n v="8856"/>
    <n v="11133"/>
  </r>
  <r>
    <s v="Retail"/>
    <s v="West"/>
    <x v="3"/>
    <d v="2017-08-25T00:00:00"/>
    <s v="Bits of Confetti"/>
    <n v="800"/>
    <n v="17856"/>
    <n v="8176"/>
    <n v="9680"/>
  </r>
  <r>
    <s v="Training"/>
    <s v="Midwest"/>
    <x v="2"/>
    <d v="2017-08-25T00:00:00"/>
    <s v="599CD.com"/>
    <n v="100"/>
    <n v="1913"/>
    <n v="847"/>
    <n v="1066"/>
  </r>
  <r>
    <s v="Training"/>
    <s v="Northeast"/>
    <x v="0"/>
    <d v="2017-08-25T00:00:00"/>
    <s v="CPASelfStudy.com"/>
    <n v="400"/>
    <n v="8744"/>
    <n v="4088"/>
    <n v="4656"/>
  </r>
  <r>
    <s v="Training"/>
    <s v="Northeast"/>
    <x v="0"/>
    <d v="2017-08-26T00:00:00"/>
    <s v="MySpreadsheetLab"/>
    <n v="900"/>
    <n v="19368"/>
    <n v="9198"/>
    <n v="10170"/>
  </r>
  <r>
    <s v="Consultants"/>
    <s v="Midwest"/>
    <x v="2"/>
    <d v="2017-08-27T00:00:00"/>
    <s v="Excelerator BI"/>
    <n v="100"/>
    <n v="1819"/>
    <n v="847"/>
    <n v="972"/>
  </r>
  <r>
    <s v="Training"/>
    <s v="South"/>
    <x v="0"/>
    <d v="2017-08-28T00:00:00"/>
    <s v="MyOnlineTrainingHub.com"/>
    <n v="500"/>
    <n v="10990"/>
    <n v="5110"/>
    <n v="5880"/>
  </r>
  <r>
    <s v="Training"/>
    <s v="South"/>
    <x v="0"/>
    <d v="2017-08-28T00:00:00"/>
    <s v="MyOnlineTrainingHub.com"/>
    <n v="200"/>
    <n v="4440"/>
    <n v="2044"/>
    <n v="2396"/>
  </r>
  <r>
    <s v="Software"/>
    <s v="Northeast"/>
    <x v="2"/>
    <d v="2017-08-29T00:00:00"/>
    <s v="F-Keys Ltd."/>
    <n v="300"/>
    <n v="6309"/>
    <n v="2541"/>
    <n v="3768"/>
  </r>
  <r>
    <s v="Professional"/>
    <s v="South"/>
    <x v="1"/>
    <d v="2017-08-30T00:00:00"/>
    <s v="Serving Brevard Realty"/>
    <n v="800"/>
    <n v="18904"/>
    <n v="7872"/>
    <n v="11032"/>
  </r>
  <r>
    <s v="Associations"/>
    <s v="Northeast"/>
    <x v="0"/>
    <d v="2017-09-01T00:00:00"/>
    <s v="IMA Houston Chapter"/>
    <n v="800"/>
    <n v="18072"/>
    <n v="8176"/>
    <n v="9896"/>
  </r>
  <r>
    <s v="Consultants"/>
    <s v="South"/>
    <x v="2"/>
    <d v="2017-09-01T00:00:00"/>
    <s v="Andrew Spain Consulting"/>
    <n v="100"/>
    <n v="2012"/>
    <n v="847"/>
    <n v="1165"/>
  </r>
  <r>
    <s v="Training"/>
    <s v="Midwest"/>
    <x v="2"/>
    <d v="2017-09-04T00:00:00"/>
    <s v="599CD.com"/>
    <n v="500"/>
    <n v="10295"/>
    <n v="4235"/>
    <n v="6060"/>
  </r>
  <r>
    <s v="Training"/>
    <s v="Midwest"/>
    <x v="2"/>
    <d v="2017-09-05T00:00:00"/>
    <s v="599CD.com"/>
    <n v="400"/>
    <n v="7944"/>
    <n v="3388"/>
    <n v="4556"/>
  </r>
  <r>
    <s v="Training"/>
    <s v="Northeast"/>
    <x v="2"/>
    <d v="2017-09-06T00:00:00"/>
    <s v="LearnExcelBooks.com"/>
    <n v="100"/>
    <n v="1957"/>
    <n v="847"/>
    <n v="1110"/>
  </r>
  <r>
    <s v="Software"/>
    <s v="Northeast"/>
    <x v="1"/>
    <d v="2017-09-10T00:00:00"/>
    <s v="F-Keys Ltd."/>
    <n v="700"/>
    <n v="15680"/>
    <n v="6888"/>
    <n v="8792"/>
  </r>
  <r>
    <s v="Training"/>
    <s v="South"/>
    <x v="1"/>
    <d v="2017-09-10T00:00:00"/>
    <s v="MyOnlineTrainingHub.com"/>
    <n v="600"/>
    <n v="12756"/>
    <n v="5904"/>
    <n v="6852"/>
  </r>
  <r>
    <s v="Retail"/>
    <s v="South"/>
    <x v="2"/>
    <d v="2017-09-11T00:00:00"/>
    <s v="Hartville MarketPlace and Flea Market"/>
    <n v="300"/>
    <n v="5826"/>
    <n v="2541"/>
    <n v="3285"/>
  </r>
  <r>
    <s v="Training"/>
    <s v="Northeast"/>
    <x v="0"/>
    <d v="2017-09-13T00:00:00"/>
    <s v="MySpreadsheetLab"/>
    <n v="800"/>
    <n v="20008"/>
    <n v="8176"/>
    <n v="11832"/>
  </r>
  <r>
    <s v="Training"/>
    <s v="Northeast"/>
    <x v="2"/>
    <d v="2017-09-14T00:00:00"/>
    <s v="MySpreadsheetLab"/>
    <n v="300"/>
    <n v="5457"/>
    <n v="2541"/>
    <n v="2916"/>
  </r>
  <r>
    <s v="Retail"/>
    <s v="South"/>
    <x v="2"/>
    <d v="2017-09-15T00:00:00"/>
    <s v="Hartville MarketPlace and Flea Market"/>
    <n v="600"/>
    <n v="12330"/>
    <n v="5082"/>
    <n v="7248"/>
  </r>
  <r>
    <s v="Training"/>
    <s v="South"/>
    <x v="1"/>
    <d v="2017-09-18T00:00:00"/>
    <s v="MyOnlineTrainingHub.com"/>
    <n v="500"/>
    <n v="11845"/>
    <n v="4920"/>
    <n v="6925"/>
  </r>
  <r>
    <s v="Consultants"/>
    <s v="South"/>
    <x v="1"/>
    <d v="2017-09-19T00:00:00"/>
    <s v="Cambia Factor"/>
    <n v="800"/>
    <n v="16784"/>
    <n v="7872"/>
    <n v="8912"/>
  </r>
  <r>
    <s v="Software"/>
    <s v="Midwest"/>
    <x v="2"/>
    <d v="2017-09-22T00:00:00"/>
    <s v="Excel4Apps"/>
    <n v="1000"/>
    <n v="17200"/>
    <n v="8470"/>
    <n v="8730"/>
  </r>
  <r>
    <s v="Training"/>
    <s v="Northeast"/>
    <x v="2"/>
    <d v="2017-09-23T00:00:00"/>
    <s v="MySpreadsheetLab"/>
    <n v="600"/>
    <n v="10602"/>
    <n v="5082"/>
    <n v="5520"/>
  </r>
  <r>
    <s v="Training"/>
    <s v="South"/>
    <x v="2"/>
    <d v="2017-09-25T00:00:00"/>
    <s v="MyOnlineTrainingHub.com"/>
    <n v="500"/>
    <n v="9350"/>
    <n v="4235"/>
    <n v="5115"/>
  </r>
  <r>
    <s v="Software"/>
    <s v="Midwest"/>
    <x v="0"/>
    <d v="2017-09-25T00:00:00"/>
    <s v="Excel4Apps"/>
    <n v="100"/>
    <n v="2095"/>
    <n v="1022"/>
    <n v="1073"/>
  </r>
  <r>
    <s v="Software"/>
    <s v="Midwest"/>
    <x v="1"/>
    <d v="2017-09-26T00:00:00"/>
    <s v="Excel4Apps"/>
    <n v="600"/>
    <n v="13728"/>
    <n v="5904"/>
    <n v="7824"/>
  </r>
  <r>
    <s v="Training"/>
    <s v="Northeast"/>
    <x v="2"/>
    <d v="2017-09-27T00:00:00"/>
    <s v="CPASelfStudy.com"/>
    <n v="900"/>
    <n v="17712"/>
    <n v="7623"/>
    <n v="10089"/>
  </r>
  <r>
    <s v="Consultants"/>
    <s v="South"/>
    <x v="1"/>
    <d v="2017-09-27T00:00:00"/>
    <s v="Andrew Spain Consulting"/>
    <n v="1000"/>
    <n v="23080"/>
    <n v="9840"/>
    <n v="13240"/>
  </r>
  <r>
    <s v="Consultants"/>
    <s v="South"/>
    <x v="2"/>
    <d v="2017-09-28T00:00:00"/>
    <s v="Andrew Spain Consulting"/>
    <n v="800"/>
    <n v="13552"/>
    <n v="6776"/>
    <n v="6776"/>
  </r>
  <r>
    <s v="Software"/>
    <s v="Midwest"/>
    <x v="0"/>
    <d v="2017-09-29T00:00:00"/>
    <s v="Excel4Apps"/>
    <n v="600"/>
    <n v="12480"/>
    <n v="6132"/>
    <n v="6348"/>
  </r>
  <r>
    <s v="Training"/>
    <s v="Northeast"/>
    <x v="2"/>
    <d v="2017-09-30T00:00:00"/>
    <s v="MySpreadsheetLab"/>
    <n v="900"/>
    <n v="15759"/>
    <n v="7623"/>
    <n v="8136"/>
  </r>
  <r>
    <s v="Training"/>
    <s v="Northeast"/>
    <x v="1"/>
    <d v="2017-10-02T00:00:00"/>
    <s v="CPASelfStudy.com"/>
    <n v="200"/>
    <n v="4866"/>
    <n v="1968"/>
    <n v="2898"/>
  </r>
  <r>
    <s v="Training"/>
    <s v="Midwest"/>
    <x v="2"/>
    <d v="2017-10-03T00:00:00"/>
    <s v="599CD.com"/>
    <n v="100"/>
    <n v="1877"/>
    <n v="847"/>
    <n v="1030"/>
  </r>
  <r>
    <s v="Consultants"/>
    <s v="South"/>
    <x v="0"/>
    <d v="2017-10-06T00:00:00"/>
    <s v="Cambia Factor"/>
    <n v="800"/>
    <n v="16936"/>
    <n v="8176"/>
    <n v="8760"/>
  </r>
  <r>
    <s v="Consultants"/>
    <s v="South"/>
    <x v="0"/>
    <d v="2017-10-07T00:00:00"/>
    <s v="Andrew Spain Consulting"/>
    <n v="700"/>
    <n v="15715"/>
    <n v="7154"/>
    <n v="8561"/>
  </r>
  <r>
    <s v="Training"/>
    <s v="Northeast"/>
    <x v="0"/>
    <d v="2017-10-08T00:00:00"/>
    <s v="MySpreadsheetLab"/>
    <n v="800"/>
    <n v="18208"/>
    <n v="8176"/>
    <n v="10032"/>
  </r>
  <r>
    <s v="Retail"/>
    <s v="West"/>
    <x v="1"/>
    <d v="2017-10-08T00:00:00"/>
    <s v="Bits of Confetti"/>
    <n v="100"/>
    <n v="2358"/>
    <n v="984"/>
    <n v="1374"/>
  </r>
  <r>
    <s v="Training"/>
    <s v="Northeast"/>
    <x v="0"/>
    <d v="2017-10-10T00:00:00"/>
    <s v="LearnExcelBooks.com"/>
    <n v="400"/>
    <n v="8560"/>
    <n v="4088"/>
    <n v="4472"/>
  </r>
  <r>
    <s v="Training"/>
    <s v="Northeast"/>
    <x v="1"/>
    <d v="2017-10-12T00:00:00"/>
    <s v="LearnExcelBooks.com"/>
    <n v="1000"/>
    <n v="20190"/>
    <n v="9840"/>
    <n v="10350"/>
  </r>
  <r>
    <s v="Training"/>
    <s v="West"/>
    <x v="0"/>
    <d v="2017-10-13T00:00:00"/>
    <s v="Lake Local School District"/>
    <n v="300"/>
    <n v="7032"/>
    <n v="3066"/>
    <n v="3966"/>
  </r>
  <r>
    <s v="Training"/>
    <s v="Northeast"/>
    <x v="0"/>
    <d v="2017-10-15T00:00:00"/>
    <s v="MySpreadsheetLab"/>
    <n v="100"/>
    <n v="2517"/>
    <n v="1022"/>
    <n v="1495"/>
  </r>
  <r>
    <s v="Retail"/>
    <s v="South"/>
    <x v="0"/>
    <d v="2017-10-16T00:00:00"/>
    <s v="Hartville MarketPlace and Flea Market"/>
    <n v="500"/>
    <n v="10550"/>
    <n v="5110"/>
    <n v="5440"/>
  </r>
  <r>
    <s v="Professional"/>
    <s v="South"/>
    <x v="2"/>
    <d v="2017-10-16T00:00:00"/>
    <s v="Serving Brevard Realty"/>
    <n v="700"/>
    <n v="14133"/>
    <n v="5929"/>
    <n v="8204"/>
  </r>
  <r>
    <s v="Retail"/>
    <s v="South"/>
    <x v="0"/>
    <d v="2017-10-17T00:00:00"/>
    <s v="Hartville MarketPlace and Flea Market"/>
    <n v="300"/>
    <n v="6495"/>
    <n v="3066"/>
    <n v="3429"/>
  </r>
  <r>
    <s v="Training"/>
    <s v="Northeast"/>
    <x v="2"/>
    <d v="2017-10-18T00:00:00"/>
    <s v="MySpreadsheetLab"/>
    <n v="400"/>
    <n v="7520"/>
    <n v="3388"/>
    <n v="4132"/>
  </r>
  <r>
    <s v="Training"/>
    <s v="South"/>
    <x v="0"/>
    <d v="2017-10-20T00:00:00"/>
    <s v="MyOnlineTrainingHub.com"/>
    <n v="900"/>
    <n v="21834"/>
    <n v="9198"/>
    <n v="12636"/>
  </r>
  <r>
    <s v="Training"/>
    <s v="Northeast"/>
    <x v="2"/>
    <d v="2017-10-20T00:00:00"/>
    <s v="MySpreadsheetLab"/>
    <n v="800"/>
    <n v="14136"/>
    <n v="6776"/>
    <n v="7360"/>
  </r>
  <r>
    <s v="Software"/>
    <s v="Midwest"/>
    <x v="2"/>
    <d v="2017-10-22T00:00:00"/>
    <s v="Excel4Apps"/>
    <n v="800"/>
    <n v="16008"/>
    <n v="6776"/>
    <n v="9232"/>
  </r>
  <r>
    <s v="Professional"/>
    <s v="South"/>
    <x v="1"/>
    <d v="2017-10-22T00:00:00"/>
    <s v="Juliet Babcock-Hyde CPA, PLLC"/>
    <n v="500"/>
    <n v="11220"/>
    <n v="4920"/>
    <n v="6300"/>
  </r>
  <r>
    <s v="Consultants"/>
    <s v="South"/>
    <x v="1"/>
    <d v="2017-10-23T00:00:00"/>
    <s v="Andrew Spain Consulting"/>
    <n v="1000"/>
    <n v="23040"/>
    <n v="9840"/>
    <n v="13200"/>
  </r>
  <r>
    <s v="Retail"/>
    <s v="South"/>
    <x v="1"/>
    <d v="2017-10-25T00:00:00"/>
    <s v="Hartville MarketPlace and Flea Market"/>
    <n v="500"/>
    <n v="10955"/>
    <n v="4920"/>
    <n v="6035"/>
  </r>
  <r>
    <s v="Retail"/>
    <s v="South"/>
    <x v="0"/>
    <d v="2017-10-25T00:00:00"/>
    <s v="Hartville MarketPlace and Flea Market"/>
    <n v="900"/>
    <n v="21762"/>
    <n v="9198"/>
    <n v="12564"/>
  </r>
  <r>
    <s v="Retail"/>
    <s v="South"/>
    <x v="2"/>
    <d v="2017-10-27T00:00:00"/>
    <s v="Hartville MarketPlace and Flea Market"/>
    <n v="800"/>
    <n v="15976"/>
    <n v="6776"/>
    <n v="9200"/>
  </r>
  <r>
    <s v="Training"/>
    <s v="Northeast"/>
    <x v="1"/>
    <d v="2017-10-30T00:00:00"/>
    <s v="MySpreadsheetLab"/>
    <n v="1000"/>
    <n v="20540"/>
    <n v="9840"/>
    <n v="10700"/>
  </r>
  <r>
    <s v="Training"/>
    <s v="Northeast"/>
    <x v="2"/>
    <d v="2017-10-31T00:00:00"/>
    <s v="CPASelfStudy.com"/>
    <n v="500"/>
    <n v="9475"/>
    <n v="4235"/>
    <n v="5240"/>
  </r>
  <r>
    <s v="Software"/>
    <s v="Midwest"/>
    <x v="0"/>
    <d v="2017-11-01T00:00:00"/>
    <s v="Excel4Apps"/>
    <n v="100"/>
    <n v="2343"/>
    <n v="1022"/>
    <n v="1321"/>
  </r>
  <r>
    <s v="Training"/>
    <s v="Northeast"/>
    <x v="0"/>
    <d v="2017-11-04T00:00:00"/>
    <s v="CPASelfStudy.com"/>
    <n v="500"/>
    <n v="10645"/>
    <n v="5110"/>
    <n v="5535"/>
  </r>
  <r>
    <s v="Training"/>
    <s v="Northeast"/>
    <x v="2"/>
    <d v="2017-11-05T00:00:00"/>
    <s v="CPASelfStudy.com"/>
    <n v="400"/>
    <n v="8468"/>
    <n v="3388"/>
    <n v="5080"/>
  </r>
  <r>
    <s v="Training"/>
    <s v="Northeast"/>
    <x v="2"/>
    <d v="2017-11-08T00:00:00"/>
    <s v="MySpreadsheetLab"/>
    <n v="400"/>
    <n v="8196"/>
    <n v="3388"/>
    <n v="4808"/>
  </r>
  <r>
    <s v="Training"/>
    <s v="Northeast"/>
    <x v="1"/>
    <d v="2017-11-11T00:00:00"/>
    <s v="MySpreadsheetLab"/>
    <n v="500"/>
    <n v="11295"/>
    <n v="4920"/>
    <n v="6375"/>
  </r>
  <r>
    <s v="Software"/>
    <s v="Northeast"/>
    <x v="0"/>
    <d v="2017-11-13T00:00:00"/>
    <s v="F-Keys Ltd."/>
    <n v="800"/>
    <n v="19376"/>
    <n v="8176"/>
    <n v="11200"/>
  </r>
  <r>
    <s v="Training"/>
    <s v="Northeast"/>
    <x v="1"/>
    <d v="2017-11-13T00:00:00"/>
    <s v="CPASelfStudy.com"/>
    <n v="600"/>
    <n v="14466"/>
    <n v="5904"/>
    <n v="8562"/>
  </r>
  <r>
    <s v="Training"/>
    <s v="South"/>
    <x v="2"/>
    <d v="2017-11-15T00:00:00"/>
    <s v="MyOnlineTrainingHub.com"/>
    <n v="900"/>
    <n v="15255"/>
    <n v="7623"/>
    <n v="7632"/>
  </r>
  <r>
    <s v="Professional"/>
    <s v="South"/>
    <x v="1"/>
    <d v="2017-11-15T00:00:00"/>
    <s v="Serving Brevard Realty"/>
    <n v="900"/>
    <n v="21033"/>
    <n v="8856"/>
    <n v="12177"/>
  </r>
  <r>
    <s v="Professional"/>
    <s v="West"/>
    <x v="2"/>
    <d v="2017-11-16T00:00:00"/>
    <s v="WM Squared Inc."/>
    <n v="1000"/>
    <n v="17250"/>
    <n v="8470"/>
    <n v="8780"/>
  </r>
  <r>
    <s v="Software"/>
    <s v="Midwest"/>
    <x v="1"/>
    <d v="2017-11-17T00:00:00"/>
    <s v="Excel4Apps"/>
    <n v="600"/>
    <n v="13200"/>
    <n v="5904"/>
    <n v="7296"/>
  </r>
  <r>
    <s v="Software"/>
    <s v="Northeast"/>
    <x v="3"/>
    <d v="2017-11-20T00:00:00"/>
    <s v="Vertex42"/>
    <n v="1000"/>
    <n v="24420"/>
    <n v="10220"/>
    <n v="14200"/>
  </r>
  <r>
    <s v="Training"/>
    <s v="Northeast"/>
    <x v="2"/>
    <d v="2017-11-20T00:00:00"/>
    <s v="CPASelfStudy.com"/>
    <n v="200"/>
    <n v="3672"/>
    <n v="1694"/>
    <n v="1978"/>
  </r>
  <r>
    <s v="Training"/>
    <s v="Northeast"/>
    <x v="1"/>
    <d v="2017-11-21T00:00:00"/>
    <s v="MySpreadsheetLab"/>
    <n v="300"/>
    <n v="7053"/>
    <n v="2952"/>
    <n v="4101"/>
  </r>
  <r>
    <s v="Software"/>
    <s v="Northeast"/>
    <x v="2"/>
    <d v="2017-11-23T00:00:00"/>
    <s v="F-Keys Ltd."/>
    <n v="900"/>
    <n v="17136"/>
    <n v="7623"/>
    <n v="9513"/>
  </r>
  <r>
    <s v="Training"/>
    <s v="Northeast"/>
    <x v="1"/>
    <d v="2017-11-23T00:00:00"/>
    <s v="MySpreadsheetLab"/>
    <n v="100"/>
    <n v="2410"/>
    <n v="984"/>
    <n v="1426"/>
  </r>
  <r>
    <s v="Software"/>
    <s v="Northeast"/>
    <x v="1"/>
    <d v="2017-11-24T00:00:00"/>
    <s v="F-Keys Ltd."/>
    <n v="300"/>
    <n v="6462"/>
    <n v="2952"/>
    <n v="3510"/>
  </r>
  <r>
    <s v="Consultants"/>
    <s v="Midwest"/>
    <x v="0"/>
    <d v="2017-11-25T00:00:00"/>
    <s v="Excelerator BI"/>
    <n v="100"/>
    <n v="2538"/>
    <n v="1022"/>
    <n v="1516"/>
  </r>
  <r>
    <s v="Training"/>
    <s v="Northeast"/>
    <x v="1"/>
    <d v="2017-11-28T00:00:00"/>
    <s v="CPASelfStudy.com"/>
    <n v="500"/>
    <n v="9890"/>
    <n v="4920"/>
    <n v="4970"/>
  </r>
  <r>
    <s v="Software"/>
    <s v="Midwest"/>
    <x v="1"/>
    <d v="2017-11-28T00:00:00"/>
    <s v="Excel4Apps"/>
    <n v="100"/>
    <n v="2004"/>
    <n v="984"/>
    <n v="1020"/>
  </r>
  <r>
    <s v="Training"/>
    <s v="Northeast"/>
    <x v="0"/>
    <d v="2017-11-29T00:00:00"/>
    <s v="CPASelfStudy.com"/>
    <n v="300"/>
    <n v="7569"/>
    <n v="3066"/>
    <n v="4503"/>
  </r>
  <r>
    <s v="Software"/>
    <s v="Northeast"/>
    <x v="2"/>
    <d v="2017-11-30T00:00:00"/>
    <s v="F-Keys Ltd."/>
    <n v="300"/>
    <n v="5592"/>
    <n v="2541"/>
    <n v="3051"/>
  </r>
  <r>
    <s v="Training"/>
    <s v="Northeast"/>
    <x v="1"/>
    <d v="2017-12-01T00:00:00"/>
    <s v="LearnExcelBooks.com"/>
    <n v="200"/>
    <n v="3942"/>
    <n v="1968"/>
    <n v="1974"/>
  </r>
  <r>
    <s v="Retail"/>
    <s v="Midwest"/>
    <x v="1"/>
    <d v="2017-12-02T00:00:00"/>
    <s v="LaFrenier Sons Septic"/>
    <n v="800"/>
    <n v="19344"/>
    <n v="7872"/>
    <n v="11472"/>
  </r>
  <r>
    <s v="Training"/>
    <s v="South"/>
    <x v="1"/>
    <d v="2017-12-04T00:00:00"/>
    <s v="MyOnlineTrainingHub.com"/>
    <n v="900"/>
    <n v="21546"/>
    <n v="8856"/>
    <n v="12690"/>
  </r>
  <r>
    <s v="Retail"/>
    <s v="Midwest"/>
    <x v="1"/>
    <d v="2017-12-05T00:00:00"/>
    <s v="LaFrenier Sons Septic"/>
    <n v="500"/>
    <n v="10760"/>
    <n v="4920"/>
    <n v="5840"/>
  </r>
  <r>
    <s v="Consultants"/>
    <s v="South"/>
    <x v="2"/>
    <d v="2017-12-05T00:00:00"/>
    <s v="Andrew Spain Consulting"/>
    <n v="900"/>
    <n v="18243"/>
    <n v="7623"/>
    <n v="10620"/>
  </r>
  <r>
    <s v="Training"/>
    <s v="Midwest"/>
    <x v="2"/>
    <d v="2017-12-06T00:00:00"/>
    <s v="599CD.com"/>
    <n v="800"/>
    <n v="16856"/>
    <n v="6776"/>
    <n v="10080"/>
  </r>
  <r>
    <s v="Retail"/>
    <s v="South"/>
    <x v="2"/>
    <d v="2017-12-08T00:00:00"/>
    <s v="Hartville MarketPlace and Flea Market"/>
    <n v="700"/>
    <n v="14105"/>
    <n v="5929"/>
    <n v="8176"/>
  </r>
  <r>
    <s v="Training"/>
    <s v="Northeast"/>
    <x v="2"/>
    <d v="2017-12-08T00:00:00"/>
    <s v="LearnExcelBooks.com"/>
    <n v="100"/>
    <n v="2111"/>
    <n v="847"/>
    <n v="1264"/>
  </r>
  <r>
    <s v="Training"/>
    <s v="Midwest"/>
    <x v="0"/>
    <d v="2017-12-09T00:00:00"/>
    <s v="Profology.com"/>
    <n v="400"/>
    <n v="9660"/>
    <n v="4088"/>
    <n v="5572"/>
  </r>
  <r>
    <s v="Retail"/>
    <s v="South"/>
    <x v="2"/>
    <d v="2017-12-10T00:00:00"/>
    <s v="Hartville MarketPlace and Flea Market"/>
    <n v="100"/>
    <n v="1878"/>
    <n v="847"/>
    <n v="1031"/>
  </r>
  <r>
    <s v="Training"/>
    <s v="Northeast"/>
    <x v="1"/>
    <d v="2017-12-10T00:00:00"/>
    <s v="CPASelfStudy.com"/>
    <n v="600"/>
    <n v="12888"/>
    <n v="5904"/>
    <n v="6984"/>
  </r>
  <r>
    <s v="Training"/>
    <s v="Northeast"/>
    <x v="2"/>
    <d v="2017-12-12T00:00:00"/>
    <s v="LearnExcelBooks.com"/>
    <n v="100"/>
    <n v="2108"/>
    <n v="847"/>
    <n v="1261"/>
  </r>
  <r>
    <s v="Retail"/>
    <s v="South"/>
    <x v="2"/>
    <d v="2017-12-14T00:00:00"/>
    <s v="Hartville MarketPlace and Flea Market"/>
    <n v="600"/>
    <n v="11964"/>
    <n v="5082"/>
    <n v="6882"/>
  </r>
  <r>
    <s v="Retail"/>
    <s v="South"/>
    <x v="0"/>
    <d v="2017-12-15T00:00:00"/>
    <s v="Hartville MarketPlace and Flea Market"/>
    <n v="900"/>
    <n v="20664"/>
    <n v="9198"/>
    <n v="11466"/>
  </r>
  <r>
    <s v="Training"/>
    <s v="Northeast"/>
    <x v="0"/>
    <d v="2017-12-15T00:00:00"/>
    <s v="LearnExcelBooks.com"/>
    <n v="300"/>
    <n v="6732"/>
    <n v="3066"/>
    <n v="3666"/>
  </r>
  <r>
    <s v="Retail"/>
    <s v="South"/>
    <x v="2"/>
    <d v="2017-12-18T00:00:00"/>
    <s v="Hartville MarketPlace and Flea Market"/>
    <n v="900"/>
    <n v="15651"/>
    <n v="7623"/>
    <n v="8028"/>
  </r>
  <r>
    <s v="Professional"/>
    <s v="South"/>
    <x v="2"/>
    <d v="2017-12-19T00:00:00"/>
    <s v="Serving Brevard Realty"/>
    <n v="600"/>
    <n v="11274"/>
    <n v="5082"/>
    <n v="6192"/>
  </r>
  <r>
    <s v="Training"/>
    <s v="Midwest"/>
    <x v="2"/>
    <d v="2017-12-20T00:00:00"/>
    <s v="599CD.com"/>
    <n v="800"/>
    <n v="14408"/>
    <n v="6776"/>
    <n v="7632"/>
  </r>
  <r>
    <s v="Training"/>
    <s v="Northeast"/>
    <x v="0"/>
    <d v="2017-12-21T00:00:00"/>
    <s v="LearnExcelBooks.com"/>
    <n v="100"/>
    <n v="2213"/>
    <n v="1022"/>
    <n v="1191"/>
  </r>
  <r>
    <s v="Training"/>
    <s v="Northeast"/>
    <x v="2"/>
    <d v="2017-12-22T00:00:00"/>
    <s v="LearnExcelBooks.com"/>
    <n v="500"/>
    <n v="8725"/>
    <n v="4235"/>
    <n v="4490"/>
  </r>
  <r>
    <s v="Software"/>
    <s v="Northeast"/>
    <x v="0"/>
    <d v="2017-12-24T00:00:00"/>
    <s v="F-Keys Ltd."/>
    <n v="900"/>
    <n v="18666"/>
    <n v="9198"/>
    <n v="9468"/>
  </r>
  <r>
    <s v="Software"/>
    <s v="Northeast"/>
    <x v="2"/>
    <d v="2017-12-25T00:00:00"/>
    <s v="F-Keys Ltd."/>
    <n v="100"/>
    <n v="2055"/>
    <n v="847"/>
    <n v="1208"/>
  </r>
  <r>
    <s v="Training"/>
    <s v="Northeast"/>
    <x v="1"/>
    <d v="2017-12-25T00:00:00"/>
    <s v="CPASelfStudy.com"/>
    <n v="500"/>
    <n v="10475"/>
    <n v="4920"/>
    <n v="5555"/>
  </r>
  <r>
    <s v="Retail"/>
    <s v="South"/>
    <x v="0"/>
    <d v="2017-12-27T00:00:00"/>
    <s v="Hartville MarketPlace and Flea Market"/>
    <n v="600"/>
    <n v="14178"/>
    <n v="6132"/>
    <n v="8046"/>
  </r>
  <r>
    <s v="Training"/>
    <s v="Northeast"/>
    <x v="2"/>
    <d v="2017-12-27T00:00:00"/>
    <s v="CPASelfStudy.com"/>
    <n v="100"/>
    <n v="1861"/>
    <n v="847"/>
    <n v="1014"/>
  </r>
  <r>
    <s v="Training"/>
    <s v="South"/>
    <x v="2"/>
    <d v="2017-12-28T00:00:00"/>
    <s v="MyOnlineTrainingHub.com"/>
    <n v="500"/>
    <n v="9460"/>
    <n v="4235"/>
    <n v="5225"/>
  </r>
  <r>
    <s v="Software"/>
    <s v="Midwest"/>
    <x v="2"/>
    <d v="2017-12-29T00:00:00"/>
    <s v="Excel4Apps"/>
    <n v="600"/>
    <n v="10290"/>
    <n v="5082"/>
    <n v="5208"/>
  </r>
  <r>
    <s v="Software"/>
    <s v="Northeast"/>
    <x v="2"/>
    <d v="2018-01-02T00:00:00"/>
    <s v="F-Keys Ltd."/>
    <n v="500"/>
    <n v="10245"/>
    <n v="4235"/>
    <n v="6010"/>
  </r>
  <r>
    <s v="Training"/>
    <s v="Northeast"/>
    <x v="0"/>
    <d v="2018-01-03T00:00:00"/>
    <s v="CPASelfStudy.com"/>
    <n v="500"/>
    <n v="11240"/>
    <n v="5110"/>
    <n v="6130"/>
  </r>
  <r>
    <s v="Training"/>
    <s v="Northeast"/>
    <x v="0"/>
    <d v="2018-01-04T00:00:00"/>
    <s v="CPASelfStudy.com"/>
    <n v="400"/>
    <n v="9204"/>
    <n v="4088"/>
    <n v="5116"/>
  </r>
  <r>
    <s v="Training"/>
    <s v="Northeast"/>
    <x v="2"/>
    <d v="2018-01-05T00:00:00"/>
    <s v="LearnExcelBooks.com"/>
    <n v="400"/>
    <n v="6860"/>
    <n v="3388"/>
    <n v="3472"/>
  </r>
  <r>
    <s v="Associations"/>
    <s v="South"/>
    <x v="0"/>
    <d v="2018-01-07T00:00:00"/>
    <s v="Association for Computers &amp; Taxation"/>
    <n v="600"/>
    <n v="13806"/>
    <n v="6132"/>
    <n v="7674"/>
  </r>
  <r>
    <s v="Consultants"/>
    <s v="West"/>
    <x v="0"/>
    <d v="2018-01-09T00:00:00"/>
    <s v="Fintega Financial Modelling"/>
    <n v="900"/>
    <n v="21015"/>
    <n v="9198"/>
    <n v="11817"/>
  </r>
  <r>
    <s v="Training"/>
    <s v="Northeast"/>
    <x v="0"/>
    <d v="2018-01-10T00:00:00"/>
    <s v="CPASelfStudy.com"/>
    <n v="900"/>
    <n v="21465"/>
    <n v="9198"/>
    <n v="12267"/>
  </r>
  <r>
    <s v="Training"/>
    <s v="Northeast"/>
    <x v="0"/>
    <d v="2018-01-12T00:00:00"/>
    <s v="CPASelfStudy.com"/>
    <n v="400"/>
    <n v="9144"/>
    <n v="4088"/>
    <n v="5056"/>
  </r>
  <r>
    <s v="Training"/>
    <s v="South"/>
    <x v="2"/>
    <d v="2018-01-14T00:00:00"/>
    <s v="MyOnlineTrainingHub.com"/>
    <n v="100"/>
    <n v="1740"/>
    <n v="847"/>
    <n v="893"/>
  </r>
  <r>
    <s v="Consultants"/>
    <s v="South"/>
    <x v="2"/>
    <d v="2018-01-14T00:00:00"/>
    <s v="Andrew Spain Consulting"/>
    <n v="1000"/>
    <n v="19110"/>
    <n v="8470"/>
    <n v="10640"/>
  </r>
  <r>
    <s v="Consultants"/>
    <s v="South"/>
    <x v="0"/>
    <d v="2018-01-16T00:00:00"/>
    <s v="Andrew Spain Consulting"/>
    <n v="900"/>
    <n v="21888"/>
    <n v="9198"/>
    <n v="12690"/>
  </r>
  <r>
    <s v="Retail"/>
    <s v="South"/>
    <x v="1"/>
    <d v="2018-01-17T00:00:00"/>
    <s v="Hartville MarketPlace and Flea Market"/>
    <n v="300"/>
    <n v="5961"/>
    <n v="2952"/>
    <n v="3009"/>
  </r>
  <r>
    <s v="Training"/>
    <s v="Northeast"/>
    <x v="2"/>
    <d v="2018-01-20T00:00:00"/>
    <s v="MySpreadsheetLab"/>
    <n v="900"/>
    <n v="17505"/>
    <n v="7623"/>
    <n v="9882"/>
  </r>
  <r>
    <s v="Retail"/>
    <s v="South"/>
    <x v="1"/>
    <d v="2018-01-21T00:00:00"/>
    <s v="Hartville MarketPlace and Flea Market"/>
    <n v="300"/>
    <n v="7032"/>
    <n v="2952"/>
    <n v="4080"/>
  </r>
  <r>
    <s v="Retail"/>
    <s v="South"/>
    <x v="1"/>
    <d v="2018-01-22T00:00:00"/>
    <s v="Hartville MarketPlace and Flea Market"/>
    <n v="300"/>
    <n v="6735"/>
    <n v="2952"/>
    <n v="3783"/>
  </r>
  <r>
    <s v="Retail"/>
    <s v="South"/>
    <x v="2"/>
    <d v="2018-01-23T00:00:00"/>
    <s v="Hartville MarketPlace and Flea Market"/>
    <n v="400"/>
    <n v="8164"/>
    <n v="3388"/>
    <n v="4776"/>
  </r>
  <r>
    <s v="Consultants"/>
    <s v="South"/>
    <x v="2"/>
    <d v="2018-01-24T00:00:00"/>
    <s v="Andrew Spain Consulting"/>
    <n v="300"/>
    <n v="6207"/>
    <n v="2541"/>
    <n v="3666"/>
  </r>
  <r>
    <s v="Retail"/>
    <s v="South"/>
    <x v="1"/>
    <d v="2018-01-25T00:00:00"/>
    <s v="Hartville MarketPlace and Flea Market"/>
    <n v="300"/>
    <n v="6240"/>
    <n v="2952"/>
    <n v="3288"/>
  </r>
  <r>
    <s v="Training"/>
    <s v="Northeast"/>
    <x v="2"/>
    <d v="2018-01-27T00:00:00"/>
    <s v="CPASelfStudy.com"/>
    <n v="500"/>
    <n v="10445"/>
    <n v="4235"/>
    <n v="6210"/>
  </r>
  <r>
    <s v="Consultants"/>
    <s v="South"/>
    <x v="2"/>
    <d v="2018-01-29T00:00:00"/>
    <s v="Andrew Spain Consulting"/>
    <n v="800"/>
    <n v="14224"/>
    <n v="6776"/>
    <n v="7448"/>
  </r>
  <r>
    <s v="Training"/>
    <s v="South"/>
    <x v="0"/>
    <d v="2018-01-30T00:00:00"/>
    <s v="MyOnlineTrainingHub.com"/>
    <n v="400"/>
    <n v="10044"/>
    <n v="4088"/>
    <n v="5956"/>
  </r>
  <r>
    <s v="Training"/>
    <s v="Northeast"/>
    <x v="2"/>
    <d v="2018-01-31T00:00:00"/>
    <s v="MySpreadsheetLab"/>
    <n v="1000"/>
    <n v="19250"/>
    <n v="8470"/>
    <n v="10780"/>
  </r>
  <r>
    <s v="Retail"/>
    <s v="South"/>
    <x v="1"/>
    <d v="2018-02-01T00:00:00"/>
    <s v="Hartville MarketPlace and Flea Market"/>
    <n v="200"/>
    <n v="4740"/>
    <n v="1968"/>
    <n v="2772"/>
  </r>
  <r>
    <s v="Software"/>
    <s v="Midwest"/>
    <x v="1"/>
    <d v="2018-02-01T00:00:00"/>
    <s v="Excel4Apps"/>
    <n v="600"/>
    <n v="12672"/>
    <n v="5904"/>
    <n v="6768"/>
  </r>
  <r>
    <s v="Retail"/>
    <s v="South"/>
    <x v="2"/>
    <d v="2018-02-05T00:00:00"/>
    <s v="Hartville MarketPlace and Flea Market"/>
    <n v="700"/>
    <n v="13314"/>
    <n v="5929"/>
    <n v="7385"/>
  </r>
  <r>
    <s v="Training"/>
    <s v="Northeast"/>
    <x v="1"/>
    <d v="2018-02-06T00:00:00"/>
    <s v="CPASelfStudy.com"/>
    <n v="200"/>
    <n v="4280"/>
    <n v="1968"/>
    <n v="2312"/>
  </r>
  <r>
    <s v="Software"/>
    <s v="Northeast"/>
    <x v="2"/>
    <d v="2018-02-08T00:00:00"/>
    <s v="F-Keys Ltd."/>
    <n v="300"/>
    <n v="6045"/>
    <n v="2541"/>
    <n v="3504"/>
  </r>
  <r>
    <s v="Consultants"/>
    <s v="South"/>
    <x v="2"/>
    <d v="2018-02-09T00:00:00"/>
    <s v="Andrew Spain Consulting"/>
    <n v="400"/>
    <n v="7180"/>
    <n v="3388"/>
    <n v="3792"/>
  </r>
  <r>
    <s v="Training"/>
    <s v="Northeast"/>
    <x v="1"/>
    <d v="2018-02-13T00:00:00"/>
    <s v="MySpreadsheetLab"/>
    <n v="600"/>
    <n v="12798"/>
    <n v="5904"/>
    <n v="6894"/>
  </r>
  <r>
    <s v="Consultants"/>
    <s v="South"/>
    <x v="2"/>
    <d v="2018-02-15T00:00:00"/>
    <s v="Andrew Spain Consulting"/>
    <n v="100"/>
    <n v="2066"/>
    <n v="847"/>
    <n v="1219"/>
  </r>
  <r>
    <s v="Training"/>
    <s v="Midwest"/>
    <x v="1"/>
    <d v="2018-02-16T00:00:00"/>
    <s v="599CD.com"/>
    <n v="200"/>
    <n v="4742"/>
    <n v="1968"/>
    <n v="2774"/>
  </r>
  <r>
    <s v="Software"/>
    <s v="Midwest"/>
    <x v="2"/>
    <d v="2018-02-17T00:00:00"/>
    <s v="Excel4Apps"/>
    <n v="200"/>
    <n v="3876"/>
    <n v="1694"/>
    <n v="2182"/>
  </r>
  <r>
    <s v="Training"/>
    <s v="Northeast"/>
    <x v="1"/>
    <d v="2018-02-19T00:00:00"/>
    <s v="LearnExcelBooks.com"/>
    <n v="400"/>
    <n v="9088"/>
    <n v="3936"/>
    <n v="5152"/>
  </r>
  <r>
    <s v="Software"/>
    <s v="Midwest"/>
    <x v="0"/>
    <d v="2018-02-19T00:00:00"/>
    <s v="Excel4Apps"/>
    <n v="1000"/>
    <n v="25080"/>
    <n v="10220"/>
    <n v="14860"/>
  </r>
  <r>
    <s v="Professional"/>
    <s v="South"/>
    <x v="2"/>
    <d v="2018-02-20T00:00:00"/>
    <s v="Serving Brevard Realty"/>
    <n v="400"/>
    <n v="7152"/>
    <n v="3388"/>
    <n v="3764"/>
  </r>
  <r>
    <s v="Training"/>
    <s v="Northeast"/>
    <x v="1"/>
    <d v="2018-02-20T00:00:00"/>
    <s v="CPASelfStudy.com"/>
    <n v="800"/>
    <n v="18504"/>
    <n v="7872"/>
    <n v="10632"/>
  </r>
  <r>
    <s v="Training"/>
    <s v="Midwest"/>
    <x v="1"/>
    <d v="2018-02-22T00:00:00"/>
    <s v="599CD.com"/>
    <n v="600"/>
    <n v="12282"/>
    <n v="5904"/>
    <n v="6378"/>
  </r>
  <r>
    <s v="Training"/>
    <s v="Northeast"/>
    <x v="0"/>
    <d v="2018-02-24T00:00:00"/>
    <s v="CPASelfStudy.com"/>
    <n v="1000"/>
    <n v="20940"/>
    <n v="10220"/>
    <n v="10720"/>
  </r>
  <r>
    <s v="Software"/>
    <s v="Midwest"/>
    <x v="2"/>
    <d v="2018-02-26T00:00:00"/>
    <s v="Excel4Apps"/>
    <n v="700"/>
    <n v="12145"/>
    <n v="5929"/>
    <n v="6216"/>
  </r>
  <r>
    <s v="Training"/>
    <s v="Midwest"/>
    <x v="0"/>
    <d v="2018-02-26T00:00:00"/>
    <s v="599CD.com"/>
    <n v="1000"/>
    <n v="22680"/>
    <n v="10220"/>
    <n v="12460"/>
  </r>
  <r>
    <s v="Training"/>
    <s v="Northeast"/>
    <x v="0"/>
    <d v="2018-02-26T00:00:00"/>
    <s v="LearnExcelBooks.com"/>
    <n v="700"/>
    <n v="17367"/>
    <n v="7154"/>
    <n v="10213"/>
  </r>
  <r>
    <s v="Software"/>
    <s v="Northeast"/>
    <x v="2"/>
    <d v="2018-02-27T00:00:00"/>
    <s v="F-Keys Ltd."/>
    <n v="600"/>
    <n v="11922"/>
    <n v="5082"/>
    <n v="6840"/>
  </r>
  <r>
    <s v="Retail"/>
    <s v="Midwest"/>
    <x v="0"/>
    <d v="2018-02-27T00:00:00"/>
    <s v="LaFrenier Sons Septic"/>
    <n v="200"/>
    <n v="4614"/>
    <n v="2044"/>
    <n v="2570"/>
  </r>
  <r>
    <s v="Software"/>
    <s v="Northeast"/>
    <x v="0"/>
    <d v="2018-02-28T00:00:00"/>
    <s v="F-Keys Ltd."/>
    <n v="1000"/>
    <n v="20490"/>
    <n v="10220"/>
    <n v="10270"/>
  </r>
  <r>
    <s v="Training"/>
    <s v="Northeast"/>
    <x v="0"/>
    <d v="2018-03-03T00:00:00"/>
    <s v="CPASelfStudy.com"/>
    <n v="400"/>
    <n v="8620"/>
    <n v="4088"/>
    <n v="4532"/>
  </r>
  <r>
    <s v="Training"/>
    <s v="Northeast"/>
    <x v="1"/>
    <d v="2018-03-04T00:00:00"/>
    <s v="LearnExcelBooks.com"/>
    <n v="500"/>
    <n v="11860"/>
    <n v="4920"/>
    <n v="6940"/>
  </r>
  <r>
    <s v="Professional"/>
    <s v="South"/>
    <x v="2"/>
    <d v="2018-03-06T00:00:00"/>
    <s v="Serving Brevard Realty"/>
    <n v="800"/>
    <n v="14984"/>
    <n v="6776"/>
    <n v="8208"/>
  </r>
  <r>
    <s v="Training"/>
    <s v="Midwest"/>
    <x v="2"/>
    <d v="2018-03-06T00:00:00"/>
    <s v="599CD.com"/>
    <n v="200"/>
    <n v="4010"/>
    <n v="1694"/>
    <n v="2316"/>
  </r>
  <r>
    <s v="Software"/>
    <s v="Midwest"/>
    <x v="0"/>
    <d v="2018-03-09T00:00:00"/>
    <s v="Excel4Apps"/>
    <n v="500"/>
    <n v="12505"/>
    <n v="5110"/>
    <n v="7395"/>
  </r>
  <r>
    <s v="Software"/>
    <s v="Midwest"/>
    <x v="2"/>
    <d v="2018-03-13T00:00:00"/>
    <s v="Excel4Apps"/>
    <n v="100"/>
    <n v="1704"/>
    <n v="847"/>
    <n v="857"/>
  </r>
  <r>
    <s v="Training"/>
    <s v="Northeast"/>
    <x v="0"/>
    <d v="2018-03-13T00:00:00"/>
    <s v="LearnExcelBooks.com"/>
    <n v="300"/>
    <n v="7305"/>
    <n v="3066"/>
    <n v="4239"/>
  </r>
  <r>
    <s v="Training"/>
    <s v="Northeast"/>
    <x v="0"/>
    <d v="2018-03-14T00:00:00"/>
    <s v="LearnExcelBooks.com"/>
    <n v="500"/>
    <n v="11965"/>
    <n v="5110"/>
    <n v="6855"/>
  </r>
  <r>
    <s v="Professional"/>
    <s v="South"/>
    <x v="0"/>
    <d v="2018-03-16T00:00:00"/>
    <s v="Serving Brevard Realty"/>
    <n v="400"/>
    <n v="9240"/>
    <n v="4088"/>
    <n v="5152"/>
  </r>
  <r>
    <s v="Training"/>
    <s v="Midwest"/>
    <x v="1"/>
    <d v="2018-03-16T00:00:00"/>
    <s v="599CD.com"/>
    <n v="200"/>
    <n v="4526"/>
    <n v="1968"/>
    <n v="2558"/>
  </r>
  <r>
    <s v="Training"/>
    <s v="Northeast"/>
    <x v="1"/>
    <d v="2018-03-18T00:00:00"/>
    <s v="LearnExcelBooks.com"/>
    <n v="500"/>
    <n v="11695"/>
    <n v="4920"/>
    <n v="6775"/>
  </r>
  <r>
    <s v="Retail"/>
    <s v="South"/>
    <x v="1"/>
    <d v="2018-03-19T00:00:00"/>
    <s v="Hartville MarketPlace and Flea Market"/>
    <n v="100"/>
    <n v="2272"/>
    <n v="984"/>
    <n v="1288"/>
  </r>
  <r>
    <s v="Training"/>
    <s v="Midwest"/>
    <x v="1"/>
    <d v="2018-03-20T00:00:00"/>
    <s v="599CD.com"/>
    <n v="100"/>
    <n v="2157"/>
    <n v="984"/>
    <n v="1173"/>
  </r>
  <r>
    <s v="Software"/>
    <s v="Northeast"/>
    <x v="0"/>
    <d v="2018-03-22T00:00:00"/>
    <s v="F-Keys Ltd."/>
    <n v="400"/>
    <n v="8732"/>
    <n v="4088"/>
    <n v="4644"/>
  </r>
  <r>
    <s v="Training"/>
    <s v="Northeast"/>
    <x v="1"/>
    <d v="2018-03-23T00:00:00"/>
    <s v="MySpreadsheetLab"/>
    <n v="800"/>
    <n v="15856"/>
    <n v="7872"/>
    <n v="7984"/>
  </r>
  <r>
    <s v="Consultants"/>
    <s v="Midwest"/>
    <x v="3"/>
    <d v="2018-03-24T00:00:00"/>
    <s v="Construction Intelligence &amp; Analytics, Inc."/>
    <n v="100"/>
    <n v="2484"/>
    <n v="1022"/>
    <n v="1462"/>
  </r>
  <r>
    <s v="Consultants"/>
    <s v="South"/>
    <x v="1"/>
    <d v="2018-03-24T00:00:00"/>
    <s v="Andrew Spain Consulting"/>
    <n v="1000"/>
    <n v="23820"/>
    <n v="9840"/>
    <n v="13980"/>
  </r>
  <r>
    <s v="Training"/>
    <s v="Northeast"/>
    <x v="1"/>
    <d v="2018-03-25T00:00:00"/>
    <s v="CPASelfStudy.com"/>
    <n v="200"/>
    <n v="4472"/>
    <n v="1968"/>
    <n v="2504"/>
  </r>
  <r>
    <s v="Software"/>
    <s v="Midwest"/>
    <x v="2"/>
    <d v="2018-03-26T00:00:00"/>
    <s v="Excel4Apps"/>
    <n v="700"/>
    <n v="11858"/>
    <n v="5929"/>
    <n v="5929"/>
  </r>
  <r>
    <s v="Software"/>
    <s v="Midwest"/>
    <x v="2"/>
    <d v="2018-03-28T00:00:00"/>
    <s v="Excel4Apps"/>
    <n v="500"/>
    <n v="9855"/>
    <n v="4235"/>
    <n v="5620"/>
  </r>
  <r>
    <s v="Consultants"/>
    <s v="South"/>
    <x v="1"/>
    <d v="2018-03-30T00:00:00"/>
    <s v="Andrew Spain Consulting"/>
    <n v="800"/>
    <n v="17240"/>
    <n v="7872"/>
    <n v="9368"/>
  </r>
  <r>
    <s v="Training"/>
    <s v="Midwest"/>
    <x v="0"/>
    <d v="2018-03-31T00:00:00"/>
    <s v="599CD.com"/>
    <n v="600"/>
    <n v="13542"/>
    <n v="6132"/>
    <n v="7410"/>
  </r>
  <r>
    <s v="Retail"/>
    <s v="West"/>
    <x v="3"/>
    <d v="2018-04-01T00:00:00"/>
    <s v="Bits of Confetti"/>
    <n v="300"/>
    <n v="5859"/>
    <n v="2541"/>
    <n v="3318"/>
  </r>
  <r>
    <s v="Retail"/>
    <s v="South"/>
    <x v="1"/>
    <d v="2018-04-03T00:00:00"/>
    <s v="Hartville MarketPlace and Flea Market"/>
    <n v="300"/>
    <n v="7233"/>
    <n v="2952"/>
    <n v="4281"/>
  </r>
  <r>
    <s v="Training"/>
    <s v="Midwest"/>
    <x v="2"/>
    <d v="2018-04-04T00:00:00"/>
    <s v="599CD.com"/>
    <n v="400"/>
    <n v="7752"/>
    <n v="3388"/>
    <n v="4364"/>
  </r>
  <r>
    <s v="Software"/>
    <s v="Midwest"/>
    <x v="0"/>
    <d v="2018-04-04T00:00:00"/>
    <s v="Excel4Apps"/>
    <n v="700"/>
    <n v="15435"/>
    <n v="7154"/>
    <n v="8281"/>
  </r>
  <r>
    <s v="Retail"/>
    <s v="South"/>
    <x v="0"/>
    <d v="2018-04-05T00:00:00"/>
    <s v="Hartville MarketPlace and Flea Market"/>
    <n v="100"/>
    <n v="2178"/>
    <n v="1022"/>
    <n v="1156"/>
  </r>
  <r>
    <s v="Training"/>
    <s v="Northeast"/>
    <x v="2"/>
    <d v="2018-04-05T00:00:00"/>
    <s v="MySpreadsheetLab"/>
    <n v="500"/>
    <n v="9575"/>
    <n v="4235"/>
    <n v="5340"/>
  </r>
  <r>
    <s v="Training"/>
    <s v="Midwest"/>
    <x v="2"/>
    <d v="2018-04-07T00:00:00"/>
    <s v="599CD.com"/>
    <n v="500"/>
    <n v="10460"/>
    <n v="4235"/>
    <n v="6225"/>
  </r>
  <r>
    <s v="Software"/>
    <s v="Midwest"/>
    <x v="2"/>
    <d v="2018-04-10T00:00:00"/>
    <s v="Excel4Apps"/>
    <n v="400"/>
    <n v="8132"/>
    <n v="3388"/>
    <n v="4744"/>
  </r>
  <r>
    <s v="Training"/>
    <s v="Midwest"/>
    <x v="0"/>
    <d v="2018-04-10T00:00:00"/>
    <s v="599CD.com"/>
    <n v="800"/>
    <n v="18344"/>
    <n v="8176"/>
    <n v="10168"/>
  </r>
  <r>
    <s v="Training"/>
    <s v="Northeast"/>
    <x v="1"/>
    <d v="2018-04-12T00:00:00"/>
    <s v="CPASelfStudy.com"/>
    <n v="400"/>
    <n v="8776"/>
    <n v="3936"/>
    <n v="4840"/>
  </r>
  <r>
    <s v="Consultants"/>
    <s v="South"/>
    <x v="1"/>
    <d v="2018-04-13T00:00:00"/>
    <s v="Andrew Spain Consulting"/>
    <n v="900"/>
    <n v="20403"/>
    <n v="8856"/>
    <n v="11547"/>
  </r>
  <r>
    <s v="Associations"/>
    <s v="Northeast"/>
    <x v="1"/>
    <d v="2018-04-14T00:00:00"/>
    <s v="IMA Houston Chapter"/>
    <n v="600"/>
    <n v="14004"/>
    <n v="5904"/>
    <n v="8100"/>
  </r>
  <r>
    <s v="Training"/>
    <s v="Midwest"/>
    <x v="2"/>
    <d v="2018-04-15T00:00:00"/>
    <s v="599CD.com"/>
    <n v="800"/>
    <n v="14216"/>
    <n v="6776"/>
    <n v="7440"/>
  </r>
  <r>
    <s v="Software"/>
    <s v="Midwest"/>
    <x v="2"/>
    <d v="2018-04-20T00:00:00"/>
    <s v="Excel4Apps"/>
    <n v="900"/>
    <n v="17172"/>
    <n v="7623"/>
    <n v="9549"/>
  </r>
  <r>
    <s v="Software"/>
    <s v="Midwest"/>
    <x v="0"/>
    <d v="2018-04-21T00:00:00"/>
    <s v="Excel4Apps"/>
    <n v="1000"/>
    <n v="20670"/>
    <n v="10220"/>
    <n v="10450"/>
  </r>
  <r>
    <s v="Consultants"/>
    <s v="South"/>
    <x v="2"/>
    <d v="2018-04-22T00:00:00"/>
    <s v="Andrew Spain Consulting"/>
    <n v="400"/>
    <n v="7376"/>
    <n v="3388"/>
    <n v="3988"/>
  </r>
  <r>
    <s v="Consultants"/>
    <s v="Midwest"/>
    <x v="0"/>
    <d v="2018-04-24T00:00:00"/>
    <s v="Construction Intelligence &amp; Analytics, Inc."/>
    <n v="800"/>
    <n v="17728"/>
    <n v="8176"/>
    <n v="9552"/>
  </r>
  <r>
    <s v="Training"/>
    <s v="Midwest"/>
    <x v="1"/>
    <d v="2018-04-25T00:00:00"/>
    <s v="ExcelTricks.de"/>
    <n v="1000"/>
    <n v="20950"/>
    <n v="9840"/>
    <n v="11110"/>
  </r>
  <r>
    <s v="Training"/>
    <s v="Midwest"/>
    <x v="2"/>
    <d v="2018-04-26T00:00:00"/>
    <s v="599CD.com"/>
    <n v="400"/>
    <n v="7852"/>
    <n v="3388"/>
    <n v="4464"/>
  </r>
  <r>
    <s v="Consultants"/>
    <s v="South"/>
    <x v="2"/>
    <d v="2018-04-27T00:00:00"/>
    <s v="Andrew Spain Consulting"/>
    <n v="600"/>
    <n v="12360"/>
    <n v="5082"/>
    <n v="7278"/>
  </r>
  <r>
    <s v="Training"/>
    <s v="Northeast"/>
    <x v="2"/>
    <d v="2018-04-29T00:00:00"/>
    <s v="CPASelfStudy.com"/>
    <n v="300"/>
    <n v="6069"/>
    <n v="2541"/>
    <n v="3528"/>
  </r>
  <r>
    <s v="Training"/>
    <s v="Midwest"/>
    <x v="1"/>
    <d v="2018-04-29T00:00:00"/>
    <s v="599CD.com"/>
    <n v="900"/>
    <n v="18990"/>
    <n v="8856"/>
    <n v="10134"/>
  </r>
  <r>
    <s v="Training"/>
    <s v="South"/>
    <x v="2"/>
    <d v="2018-05-01T00:00:00"/>
    <s v="MyOnlineTrainingHub.com"/>
    <n v="1000"/>
    <n v="20310"/>
    <n v="8470"/>
    <n v="11840"/>
  </r>
  <r>
    <s v="Training"/>
    <s v="South"/>
    <x v="1"/>
    <d v="2018-05-01T00:00:00"/>
    <s v="MyOnlineTrainingHub.com"/>
    <n v="300"/>
    <n v="6018"/>
    <n v="2952"/>
    <n v="3066"/>
  </r>
  <r>
    <s v="Training"/>
    <s v="South"/>
    <x v="0"/>
    <d v="2018-05-02T00:00:00"/>
    <s v="MyOnlineTrainingHub.com"/>
    <n v="1000"/>
    <n v="25310"/>
    <n v="10220"/>
    <n v="15090"/>
  </r>
  <r>
    <s v="Software"/>
    <s v="Northeast"/>
    <x v="1"/>
    <d v="2018-05-03T00:00:00"/>
    <s v="F-Keys Ltd."/>
    <n v="200"/>
    <n v="4378"/>
    <n v="1968"/>
    <n v="2410"/>
  </r>
  <r>
    <s v="Software"/>
    <s v="Midwest"/>
    <x v="1"/>
    <d v="2018-05-05T00:00:00"/>
    <s v="Excel4Apps"/>
    <n v="700"/>
    <n v="15407"/>
    <n v="6888"/>
    <n v="8519"/>
  </r>
  <r>
    <s v="Consultants"/>
    <s v="South"/>
    <x v="2"/>
    <d v="2018-05-06T00:00:00"/>
    <s v="Andrew Spain Consulting"/>
    <n v="1000"/>
    <n v="18290"/>
    <n v="8470"/>
    <n v="9820"/>
  </r>
  <r>
    <s v="Training"/>
    <s v="South"/>
    <x v="2"/>
    <d v="2018-05-07T00:00:00"/>
    <s v="MyOnlineTrainingHub.com"/>
    <n v="100"/>
    <n v="1842"/>
    <n v="847"/>
    <n v="995"/>
  </r>
  <r>
    <s v="Training"/>
    <s v="Northeast"/>
    <x v="0"/>
    <d v="2018-05-07T00:00:00"/>
    <s v="MySpreadsheetLab"/>
    <n v="500"/>
    <n v="10400"/>
    <n v="5110"/>
    <n v="5290"/>
  </r>
  <r>
    <s v="Training"/>
    <s v="Midwest"/>
    <x v="2"/>
    <d v="2018-05-08T00:00:00"/>
    <s v="599CD.com"/>
    <n v="100"/>
    <n v="1982"/>
    <n v="847"/>
    <n v="1135"/>
  </r>
  <r>
    <s v="Training"/>
    <s v="Northeast"/>
    <x v="0"/>
    <d v="2018-05-10T00:00:00"/>
    <s v="MySpreadsheetLab"/>
    <n v="300"/>
    <n v="6789"/>
    <n v="3066"/>
    <n v="3723"/>
  </r>
  <r>
    <s v="Professional"/>
    <s v="South"/>
    <x v="1"/>
    <d v="2018-05-11T00:00:00"/>
    <s v="Serving Brevard Realty"/>
    <n v="300"/>
    <n v="7245"/>
    <n v="2952"/>
    <n v="4293"/>
  </r>
  <r>
    <s v="Retail"/>
    <s v="South"/>
    <x v="0"/>
    <d v="2018-05-12T00:00:00"/>
    <s v="Hartville MarketPlace and Flea Market"/>
    <n v="500"/>
    <n v="11000"/>
    <n v="5110"/>
    <n v="5890"/>
  </r>
  <r>
    <s v="Professional"/>
    <s v="South"/>
    <x v="2"/>
    <d v="2018-05-13T00:00:00"/>
    <s v="Serving Brevard Realty"/>
    <n v="500"/>
    <n v="9155"/>
    <n v="4235"/>
    <n v="4920"/>
  </r>
  <r>
    <s v="Software"/>
    <s v="Midwest"/>
    <x v="1"/>
    <d v="2018-05-13T00:00:00"/>
    <s v="Excel4Apps"/>
    <n v="400"/>
    <n v="9760"/>
    <n v="3936"/>
    <n v="5824"/>
  </r>
  <r>
    <s v="Training"/>
    <s v="Midwest"/>
    <x v="0"/>
    <d v="2018-05-15T00:00:00"/>
    <s v="599CD.com"/>
    <n v="400"/>
    <n v="9156"/>
    <n v="4088"/>
    <n v="5068"/>
  </r>
  <r>
    <s v="Training"/>
    <s v="Northeast"/>
    <x v="0"/>
    <d v="2018-05-18T00:00:00"/>
    <s v="CPASelfStudy.com"/>
    <n v="500"/>
    <n v="10385"/>
    <n v="5110"/>
    <n v="5275"/>
  </r>
  <r>
    <s v="Software"/>
    <s v="Northeast"/>
    <x v="1"/>
    <d v="2018-05-20T00:00:00"/>
    <s v="F-Keys Ltd."/>
    <n v="700"/>
    <n v="14203"/>
    <n v="6888"/>
    <n v="7315"/>
  </r>
  <r>
    <s v="Training"/>
    <s v="Northeast"/>
    <x v="0"/>
    <d v="2018-05-21T00:00:00"/>
    <s v="MySpreadsheetLab"/>
    <n v="600"/>
    <n v="14634"/>
    <n v="6132"/>
    <n v="8502"/>
  </r>
  <r>
    <s v="Retail"/>
    <s v="South"/>
    <x v="0"/>
    <d v="2018-05-22T00:00:00"/>
    <s v="Hartville MarketPlace and Flea Market"/>
    <n v="100"/>
    <n v="2149"/>
    <n v="1022"/>
    <n v="1127"/>
  </r>
  <r>
    <s v="Consultants"/>
    <s v="West"/>
    <x v="2"/>
    <d v="2018-05-22T00:00:00"/>
    <s v="Data2Impact"/>
    <n v="700"/>
    <n v="13853"/>
    <n v="5929"/>
    <n v="7924"/>
  </r>
  <r>
    <s v="Training"/>
    <s v="Midwest"/>
    <x v="1"/>
    <d v="2018-05-23T00:00:00"/>
    <s v="599CD.com"/>
    <n v="200"/>
    <n v="4474"/>
    <n v="1968"/>
    <n v="2506"/>
  </r>
  <r>
    <s v="Training"/>
    <s v="Midwest"/>
    <x v="0"/>
    <d v="2018-05-23T00:00:00"/>
    <s v="599CD.com"/>
    <n v="100"/>
    <n v="2487"/>
    <n v="1022"/>
    <n v="1465"/>
  </r>
  <r>
    <s v="Retail"/>
    <s v="South"/>
    <x v="0"/>
    <d v="2018-05-24T00:00:00"/>
    <s v="Hartville MarketPlace and Flea Market"/>
    <n v="200"/>
    <n v="4388"/>
    <n v="2044"/>
    <n v="2344"/>
  </r>
  <r>
    <s v="Training"/>
    <s v="Northeast"/>
    <x v="2"/>
    <d v="2018-05-25T00:00:00"/>
    <s v="CPASelfStudy.com"/>
    <n v="300"/>
    <n v="5094"/>
    <n v="2541"/>
    <n v="2553"/>
  </r>
  <r>
    <s v="Software"/>
    <s v="Midwest"/>
    <x v="2"/>
    <d v="2018-05-28T00:00:00"/>
    <s v="Excel4Apps"/>
    <n v="200"/>
    <n v="3632"/>
    <n v="1694"/>
    <n v="1938"/>
  </r>
  <r>
    <s v="Training"/>
    <s v="Midwest"/>
    <x v="1"/>
    <d v="2018-05-28T00:00:00"/>
    <s v="599CD.com"/>
    <n v="800"/>
    <n v="16264"/>
    <n v="7872"/>
    <n v="8392"/>
  </r>
  <r>
    <s v="Software"/>
    <s v="Midwest"/>
    <x v="1"/>
    <d v="2018-05-30T00:00:00"/>
    <s v="Excel4Apps"/>
    <n v="700"/>
    <n v="16408"/>
    <n v="6888"/>
    <n v="9520"/>
  </r>
  <r>
    <s v="Training"/>
    <s v="Midwest"/>
    <x v="0"/>
    <d v="2018-05-30T00:00:00"/>
    <s v="599CD.com"/>
    <n v="500"/>
    <n v="12550"/>
    <n v="5110"/>
    <n v="7440"/>
  </r>
  <r>
    <s v="Training"/>
    <s v="South"/>
    <x v="1"/>
    <d v="2018-05-31T00:00:00"/>
    <s v="MyOnlineTrainingHub.com"/>
    <n v="800"/>
    <n v="17056"/>
    <n v="7872"/>
    <n v="9184"/>
  </r>
  <r>
    <s v="Consultants"/>
    <s v="South"/>
    <x v="0"/>
    <d v="2018-05-31T00:00:00"/>
    <s v="Andrew Spain Consulting"/>
    <n v="800"/>
    <n v="19152"/>
    <n v="8176"/>
    <n v="10976"/>
  </r>
  <r>
    <s v="Professional"/>
    <s v="South"/>
    <x v="0"/>
    <d v="2018-06-03T00:00:00"/>
    <s v="Serving Brevard Realty"/>
    <n v="1000"/>
    <n v="23990"/>
    <n v="10220"/>
    <n v="13770"/>
  </r>
  <r>
    <s v="Training"/>
    <s v="Northeast"/>
    <x v="0"/>
    <d v="2018-06-04T00:00:00"/>
    <s v="MySpreadsheetLab"/>
    <n v="1000"/>
    <n v="22020"/>
    <n v="10220"/>
    <n v="11800"/>
  </r>
  <r>
    <s v="Professional"/>
    <s v="West"/>
    <x v="0"/>
    <d v="2018-06-07T00:00:00"/>
    <s v="WM Squared Inc."/>
    <n v="400"/>
    <n v="9064"/>
    <n v="4088"/>
    <n v="4976"/>
  </r>
  <r>
    <s v="Training"/>
    <s v="Northeast"/>
    <x v="2"/>
    <d v="2018-06-08T00:00:00"/>
    <s v="MySpreadsheetLab"/>
    <n v="900"/>
    <n v="18072"/>
    <n v="7623"/>
    <n v="10449"/>
  </r>
  <r>
    <s v="Training"/>
    <s v="South"/>
    <x v="2"/>
    <d v="2018-06-09T00:00:00"/>
    <s v="MyOnlineTrainingHub.com"/>
    <n v="800"/>
    <n v="16288"/>
    <n v="6776"/>
    <n v="9512"/>
  </r>
  <r>
    <s v="Training"/>
    <s v="Northeast"/>
    <x v="1"/>
    <d v="2018-06-11T00:00:00"/>
    <s v="LearnExcelBooks.com"/>
    <n v="800"/>
    <n v="17944"/>
    <n v="7872"/>
    <n v="10072"/>
  </r>
  <r>
    <s v="Consultants"/>
    <s v="South"/>
    <x v="1"/>
    <d v="2018-06-12T00:00:00"/>
    <s v="Andrew Spain Consulting"/>
    <n v="300"/>
    <n v="6477"/>
    <n v="2952"/>
    <n v="3525"/>
  </r>
  <r>
    <s v="Retail"/>
    <s v="South"/>
    <x v="2"/>
    <d v="2018-06-13T00:00:00"/>
    <s v="Hartville MarketPlace and Flea Market"/>
    <n v="600"/>
    <n v="10404"/>
    <n v="5082"/>
    <n v="5322"/>
  </r>
  <r>
    <s v="Training"/>
    <s v="Northeast"/>
    <x v="2"/>
    <d v="2018-06-14T00:00:00"/>
    <s v="LearnExcelBooks.com"/>
    <n v="500"/>
    <n v="8780"/>
    <n v="4235"/>
    <n v="4545"/>
  </r>
  <r>
    <s v="Training"/>
    <s v="Northeast"/>
    <x v="2"/>
    <d v="2018-06-18T00:00:00"/>
    <s v="CPASelfStudy.com"/>
    <n v="700"/>
    <n v="13874"/>
    <n v="5929"/>
    <n v="7945"/>
  </r>
  <r>
    <s v="Software"/>
    <s v="Northeast"/>
    <x v="0"/>
    <d v="2018-06-21T00:00:00"/>
    <s v="F-Keys Ltd."/>
    <n v="700"/>
    <n v="15988"/>
    <n v="7154"/>
    <n v="8834"/>
  </r>
  <r>
    <s v="Training"/>
    <s v="South"/>
    <x v="1"/>
    <d v="2018-06-24T00:00:00"/>
    <s v="MyOnlineTrainingHub.com"/>
    <n v="1000"/>
    <n v="20020"/>
    <n v="9840"/>
    <n v="10180"/>
  </r>
  <r>
    <s v="Associations"/>
    <s v="Northeast"/>
    <x v="1"/>
    <d v="2018-06-25T00:00:00"/>
    <s v="IMA Houston Chapter"/>
    <n v="200"/>
    <n v="4060"/>
    <n v="1968"/>
    <n v="2092"/>
  </r>
  <r>
    <s v="Training"/>
    <s v="Northeast"/>
    <x v="2"/>
    <d v="2018-06-26T00:00:00"/>
    <s v="CPASelfStudy.com"/>
    <n v="800"/>
    <n v="15400"/>
    <n v="6776"/>
    <n v="8624"/>
  </r>
  <r>
    <s v="Training"/>
    <s v="Midwest"/>
    <x v="1"/>
    <d v="2018-06-26T00:00:00"/>
    <s v="599CD.com"/>
    <n v="700"/>
    <n v="16219"/>
    <n v="6888"/>
    <n v="9331"/>
  </r>
  <r>
    <s v="Retail"/>
    <s v="South"/>
    <x v="0"/>
    <d v="2018-06-27T00:00:00"/>
    <s v="Hartville MarketPlace and Flea Market"/>
    <n v="400"/>
    <n v="8804"/>
    <n v="4088"/>
    <n v="4716"/>
  </r>
  <r>
    <s v="Retail"/>
    <s v="South"/>
    <x v="0"/>
    <d v="2018-06-30T00:00:00"/>
    <s v="Hartville MarketPlace and Flea Market"/>
    <n v="500"/>
    <n v="12425"/>
    <n v="5110"/>
    <n v="7315"/>
  </r>
  <r>
    <s v="Software"/>
    <s v="Northeast"/>
    <x v="1"/>
    <d v="2018-07-01T00:00:00"/>
    <s v="F-Keys Ltd."/>
    <n v="100"/>
    <n v="2054"/>
    <n v="984"/>
    <n v="1070"/>
  </r>
  <r>
    <s v="Training"/>
    <s v="Northeast"/>
    <x v="0"/>
    <d v="2018-07-02T00:00:00"/>
    <s v="LearnExcelBooks.com"/>
    <n v="400"/>
    <n v="9816"/>
    <n v="4088"/>
    <n v="5728"/>
  </r>
  <r>
    <s v="Training"/>
    <s v="South"/>
    <x v="2"/>
    <d v="2018-07-03T00:00:00"/>
    <s v="MyOnlineTrainingHub.com"/>
    <n v="200"/>
    <n v="4192"/>
    <n v="1694"/>
    <n v="2498"/>
  </r>
  <r>
    <s v="Consultants"/>
    <s v="South"/>
    <x v="1"/>
    <d v="2018-07-03T00:00:00"/>
    <s v="Andrew Spain Consulting"/>
    <n v="900"/>
    <n v="18099"/>
    <n v="8856"/>
    <n v="9243"/>
  </r>
  <r>
    <s v="Retail"/>
    <s v="South"/>
    <x v="1"/>
    <d v="2018-07-05T00:00:00"/>
    <s v="Hartville MarketPlace and Flea Market"/>
    <n v="700"/>
    <n v="16303"/>
    <n v="6888"/>
    <n v="9415"/>
  </r>
  <r>
    <s v="Consultants"/>
    <s v="South"/>
    <x v="0"/>
    <d v="2018-07-07T00:00:00"/>
    <s v="Andrew Spain Consulting"/>
    <n v="400"/>
    <n v="8580"/>
    <n v="4088"/>
    <n v="4492"/>
  </r>
  <r>
    <s v="Software"/>
    <s v="Midwest"/>
    <x v="1"/>
    <d v="2018-07-08T00:00:00"/>
    <s v="Excel4Apps"/>
    <n v="500"/>
    <n v="12270"/>
    <n v="4920"/>
    <n v="7350"/>
  </r>
  <r>
    <s v="Consultants"/>
    <s v="South"/>
    <x v="2"/>
    <d v="2018-07-11T00:00:00"/>
    <s v="Andrew Spain Consulting"/>
    <n v="900"/>
    <n v="17883"/>
    <n v="7623"/>
    <n v="10260"/>
  </r>
  <r>
    <s v="Training"/>
    <s v="Northeast"/>
    <x v="1"/>
    <d v="2018-07-13T00:00:00"/>
    <s v="LearnExcelBooks.com"/>
    <n v="500"/>
    <n v="11725"/>
    <n v="4920"/>
    <n v="6805"/>
  </r>
  <r>
    <s v="Training"/>
    <s v="Northeast"/>
    <x v="0"/>
    <d v="2018-07-14T00:00:00"/>
    <s v="LearnExcelBooks.com"/>
    <n v="900"/>
    <n v="21366"/>
    <n v="9198"/>
    <n v="12168"/>
  </r>
  <r>
    <s v="Software"/>
    <s v="Midwest"/>
    <x v="1"/>
    <d v="2018-07-15T00:00:00"/>
    <s v="Frontline Systems"/>
    <n v="700"/>
    <n v="14497"/>
    <n v="6888"/>
    <n v="7609"/>
  </r>
  <r>
    <s v="Training"/>
    <s v="Midwest"/>
    <x v="1"/>
    <d v="2018-07-16T00:00:00"/>
    <s v="599CD.com"/>
    <n v="800"/>
    <n v="17416"/>
    <n v="7872"/>
    <n v="9544"/>
  </r>
  <r>
    <s v="Training"/>
    <s v="Midwest"/>
    <x v="2"/>
    <d v="2018-07-18T00:00:00"/>
    <s v="599CD.com"/>
    <n v="700"/>
    <n v="13804"/>
    <n v="5929"/>
    <n v="7875"/>
  </r>
  <r>
    <s v="Training"/>
    <s v="Northeast"/>
    <x v="0"/>
    <d v="2018-07-18T00:00:00"/>
    <s v="LearnExcelBooks.com"/>
    <n v="200"/>
    <n v="4902"/>
    <n v="2044"/>
    <n v="2858"/>
  </r>
  <r>
    <s v="Consultants"/>
    <s v="South"/>
    <x v="1"/>
    <d v="2018-07-19T00:00:00"/>
    <s v="Andrew Spain Consulting"/>
    <n v="500"/>
    <n v="11235"/>
    <n v="4920"/>
    <n v="6315"/>
  </r>
  <r>
    <s v="Consultants"/>
    <s v="Midwest"/>
    <x v="0"/>
    <d v="2018-07-21T00:00:00"/>
    <s v="Excelerator BI"/>
    <n v="1000"/>
    <n v="22840"/>
    <n v="10220"/>
    <n v="12620"/>
  </r>
  <r>
    <s v="Retail"/>
    <s v="South"/>
    <x v="2"/>
    <d v="2018-07-22T00:00:00"/>
    <s v="Hartville MarketPlace and Flea Market"/>
    <n v="200"/>
    <n v="3390"/>
    <n v="1694"/>
    <n v="1696"/>
  </r>
  <r>
    <s v="Software"/>
    <s v="Northeast"/>
    <x v="1"/>
    <d v="2018-07-23T00:00:00"/>
    <s v="F-Keys Ltd."/>
    <n v="300"/>
    <n v="6228"/>
    <n v="2952"/>
    <n v="3276"/>
  </r>
  <r>
    <s v="Training"/>
    <s v="Midwest"/>
    <x v="1"/>
    <d v="2018-07-26T00:00:00"/>
    <s v="599CD.com"/>
    <n v="600"/>
    <n v="13332"/>
    <n v="5904"/>
    <n v="7428"/>
  </r>
  <r>
    <s v="Consultants"/>
    <s v="South"/>
    <x v="1"/>
    <d v="2018-07-27T00:00:00"/>
    <s v="Andrew Spain Consulting"/>
    <n v="200"/>
    <n v="4132"/>
    <n v="1968"/>
    <n v="2164"/>
  </r>
  <r>
    <s v="Retail"/>
    <s v="South"/>
    <x v="0"/>
    <d v="2018-07-28T00:00:00"/>
    <s v="Hartville MarketPlace and Flea Market"/>
    <n v="200"/>
    <n v="4722"/>
    <n v="2044"/>
    <n v="2678"/>
  </r>
  <r>
    <s v="Software"/>
    <s v="Midwest"/>
    <x v="1"/>
    <d v="2018-07-29T00:00:00"/>
    <s v="Excel4Apps"/>
    <n v="700"/>
    <n v="16170"/>
    <n v="6888"/>
    <n v="9282"/>
  </r>
  <r>
    <s v="Software"/>
    <s v="Northeast"/>
    <x v="1"/>
    <d v="2018-07-30T00:00:00"/>
    <s v="F-Keys Ltd."/>
    <n v="300"/>
    <n v="6159"/>
    <n v="2952"/>
    <n v="3207"/>
  </r>
  <r>
    <s v="Training"/>
    <s v="West"/>
    <x v="2"/>
    <d v="2018-07-30T00:00:00"/>
    <s v="Lake Local School District"/>
    <n v="1000"/>
    <n v="18290"/>
    <n v="8470"/>
    <n v="9820"/>
  </r>
  <r>
    <s v="Retail"/>
    <s v="South"/>
    <x v="2"/>
    <d v="2018-07-31T00:00:00"/>
    <s v="Hartville MarketPlace and Flea Market"/>
    <n v="1000"/>
    <n v="18500"/>
    <n v="8470"/>
    <n v="10030"/>
  </r>
  <r>
    <s v="Retail"/>
    <s v="South"/>
    <x v="0"/>
    <d v="2018-08-03T00:00:00"/>
    <s v="Hartville MarketPlace and Flea Market"/>
    <n v="900"/>
    <n v="21159"/>
    <n v="9198"/>
    <n v="11961"/>
  </r>
  <r>
    <s v="Training"/>
    <s v="South"/>
    <x v="2"/>
    <d v="2018-08-04T00:00:00"/>
    <s v="MyOnlineTrainingHub.com"/>
    <n v="800"/>
    <n v="15488"/>
    <n v="6776"/>
    <n v="8712"/>
  </r>
  <r>
    <s v="Training"/>
    <s v="Midwest"/>
    <x v="0"/>
    <d v="2018-08-04T00:00:00"/>
    <s v="599CD.com"/>
    <n v="100"/>
    <n v="2547"/>
    <n v="1022"/>
    <n v="1525"/>
  </r>
  <r>
    <s v="Consultants"/>
    <s v="South"/>
    <x v="2"/>
    <d v="2018-08-05T00:00:00"/>
    <s v="Andrew Spain Consulting"/>
    <n v="200"/>
    <n v="3418"/>
    <n v="1694"/>
    <n v="1724"/>
  </r>
  <r>
    <s v="Software"/>
    <s v="Midwest"/>
    <x v="2"/>
    <d v="2018-08-06T00:00:00"/>
    <s v="Excel4Apps"/>
    <n v="1000"/>
    <n v="19530"/>
    <n v="8470"/>
    <n v="11060"/>
  </r>
  <r>
    <s v="Professional"/>
    <s v="West"/>
    <x v="1"/>
    <d v="2018-08-07T00:00:00"/>
    <s v="WM Squared Inc."/>
    <n v="200"/>
    <n v="4380"/>
    <n v="1968"/>
    <n v="2412"/>
  </r>
  <r>
    <s v="Consultants"/>
    <s v="South"/>
    <x v="1"/>
    <d v="2018-08-11T00:00:00"/>
    <s v="Andrew Spain Consulting"/>
    <n v="600"/>
    <n v="13368"/>
    <n v="5904"/>
    <n v="7464"/>
  </r>
  <r>
    <s v="Training"/>
    <s v="Midwest"/>
    <x v="0"/>
    <d v="2018-08-12T00:00:00"/>
    <s v="599CD.com"/>
    <n v="200"/>
    <n v="4550"/>
    <n v="2044"/>
    <n v="2506"/>
  </r>
  <r>
    <s v="Training"/>
    <s v="South"/>
    <x v="1"/>
    <d v="2018-08-14T00:00:00"/>
    <s v="MyOnlineTrainingHub.com"/>
    <n v="300"/>
    <n v="6522"/>
    <n v="2952"/>
    <n v="3570"/>
  </r>
  <r>
    <s v="Associations"/>
    <s v="South"/>
    <x v="1"/>
    <d v="2018-08-16T00:00:00"/>
    <s v="Association for Computers &amp; Taxation"/>
    <n v="200"/>
    <n v="4270"/>
    <n v="1968"/>
    <n v="2302"/>
  </r>
  <r>
    <s v="Professional"/>
    <s v="South"/>
    <x v="1"/>
    <d v="2018-08-16T00:00:00"/>
    <s v="Serving Brevard Realty"/>
    <n v="700"/>
    <n v="17213"/>
    <n v="6888"/>
    <n v="10325"/>
  </r>
  <r>
    <s v="Retail"/>
    <s v="South"/>
    <x v="1"/>
    <d v="2018-08-18T00:00:00"/>
    <s v="Hartville MarketPlace and Flea Market"/>
    <n v="800"/>
    <n v="16232"/>
    <n v="7872"/>
    <n v="8360"/>
  </r>
  <r>
    <s v="Training"/>
    <s v="Midwest"/>
    <x v="0"/>
    <d v="2018-08-19T00:00:00"/>
    <s v="599CD.com"/>
    <n v="500"/>
    <n v="12755"/>
    <n v="5110"/>
    <n v="7645"/>
  </r>
  <r>
    <s v="Software"/>
    <s v="Midwest"/>
    <x v="1"/>
    <d v="2018-08-20T00:00:00"/>
    <s v="Excel4Apps"/>
    <n v="200"/>
    <n v="4470"/>
    <n v="1968"/>
    <n v="2502"/>
  </r>
  <r>
    <s v="Training"/>
    <s v="Midwest"/>
    <x v="2"/>
    <d v="2018-08-21T00:00:00"/>
    <s v="599CD.com"/>
    <n v="300"/>
    <n v="6156"/>
    <n v="2541"/>
    <n v="3615"/>
  </r>
  <r>
    <s v="Training"/>
    <s v="Northeast"/>
    <x v="2"/>
    <d v="2018-08-22T00:00:00"/>
    <s v="CPASelfStudy.com"/>
    <n v="800"/>
    <n v="15544"/>
    <n v="6776"/>
    <n v="8768"/>
  </r>
  <r>
    <s v="Training"/>
    <s v="Midwest"/>
    <x v="1"/>
    <d v="2018-08-24T00:00:00"/>
    <s v="599CD.com"/>
    <n v="100"/>
    <n v="2409"/>
    <n v="984"/>
    <n v="1425"/>
  </r>
  <r>
    <s v="Professional"/>
    <s v="South"/>
    <x v="0"/>
    <d v="2018-08-25T00:00:00"/>
    <s v="Serving Brevard Realty"/>
    <n v="600"/>
    <n v="12570"/>
    <n v="6132"/>
    <n v="6438"/>
  </r>
  <r>
    <s v="Training"/>
    <s v="Northeast"/>
    <x v="0"/>
    <d v="2018-08-25T00:00:00"/>
    <s v="LearnExcelBooks.com"/>
    <n v="300"/>
    <n v="6438"/>
    <n v="3066"/>
    <n v="3372"/>
  </r>
  <r>
    <s v="Training"/>
    <s v="Midwest"/>
    <x v="0"/>
    <d v="2018-08-26T00:00:00"/>
    <s v="599CD.com"/>
    <n v="900"/>
    <n v="19593"/>
    <n v="9198"/>
    <n v="10395"/>
  </r>
  <r>
    <s v="Software"/>
    <s v="Northeast"/>
    <x v="2"/>
    <d v="2018-08-27T00:00:00"/>
    <s v="F-Keys Ltd."/>
    <n v="900"/>
    <n v="18981"/>
    <n v="7623"/>
    <n v="11358"/>
  </r>
  <r>
    <s v="Retail"/>
    <s v="South"/>
    <x v="0"/>
    <d v="2018-08-28T00:00:00"/>
    <s v="Hartville MarketPlace and Flea Market"/>
    <n v="800"/>
    <n v="17160"/>
    <n v="8176"/>
    <n v="8984"/>
  </r>
  <r>
    <s v="Training"/>
    <s v="Northeast"/>
    <x v="2"/>
    <d v="2018-08-28T00:00:00"/>
    <s v="LearnExcelBooks.com"/>
    <n v="100"/>
    <n v="2028"/>
    <n v="847"/>
    <n v="1181"/>
  </r>
  <r>
    <s v="Consultants"/>
    <s v="South"/>
    <x v="2"/>
    <d v="2018-08-28T00:00:00"/>
    <s v="Andrew Spain Consulting"/>
    <n v="300"/>
    <n v="5859"/>
    <n v="2541"/>
    <n v="3318"/>
  </r>
  <r>
    <s v="Consultants"/>
    <s v="South"/>
    <x v="2"/>
    <d v="2018-08-29T00:00:00"/>
    <s v="Cambia Factor"/>
    <n v="300"/>
    <n v="5532"/>
    <n v="2541"/>
    <n v="2991"/>
  </r>
  <r>
    <s v="Training"/>
    <s v="Midwest"/>
    <x v="0"/>
    <d v="2018-08-30T00:00:00"/>
    <s v="599CD.com"/>
    <n v="500"/>
    <n v="12575"/>
    <n v="5110"/>
    <n v="7465"/>
  </r>
  <r>
    <s v="Training"/>
    <s v="Northeast"/>
    <x v="2"/>
    <d v="2018-09-01T00:00:00"/>
    <s v="MySpreadsheetLab"/>
    <n v="800"/>
    <n v="16144"/>
    <n v="6776"/>
    <n v="9368"/>
  </r>
  <r>
    <s v="Software"/>
    <s v="Midwest"/>
    <x v="1"/>
    <d v="2018-09-03T00:00:00"/>
    <s v="Excel4Apps"/>
    <n v="900"/>
    <n v="18486"/>
    <n v="8856"/>
    <n v="9630"/>
  </r>
  <r>
    <s v="Retail"/>
    <s v="South"/>
    <x v="2"/>
    <d v="2018-09-05T00:00:00"/>
    <s v="Hartville MarketPlace and Flea Market"/>
    <n v="900"/>
    <n v="17289"/>
    <n v="7623"/>
    <n v="9666"/>
  </r>
  <r>
    <s v="Software"/>
    <s v="Midwest"/>
    <x v="1"/>
    <d v="2018-09-05T00:00:00"/>
    <s v="Excel4Apps"/>
    <n v="100"/>
    <n v="2106"/>
    <n v="984"/>
    <n v="1122"/>
  </r>
  <r>
    <s v="Professional"/>
    <s v="South"/>
    <x v="1"/>
    <d v="2018-09-09T00:00:00"/>
    <s v="Juliet Babcock-Hyde CPA, PLLC"/>
    <n v="100"/>
    <n v="2029"/>
    <n v="984"/>
    <n v="1045"/>
  </r>
  <r>
    <s v="Software"/>
    <s v="Northeast"/>
    <x v="0"/>
    <d v="2018-09-10T00:00:00"/>
    <s v="F-Keys Ltd."/>
    <n v="600"/>
    <n v="12936"/>
    <n v="6132"/>
    <n v="6804"/>
  </r>
  <r>
    <s v="Consultants"/>
    <s v="West"/>
    <x v="1"/>
    <d v="2018-09-10T00:00:00"/>
    <s v="Fintega Financial Modelling"/>
    <n v="500"/>
    <n v="11550"/>
    <n v="4920"/>
    <n v="6630"/>
  </r>
  <r>
    <s v="Professional"/>
    <s v="South"/>
    <x v="1"/>
    <d v="2018-09-12T00:00:00"/>
    <s v="Serving Brevard Realty"/>
    <n v="600"/>
    <n v="14580"/>
    <n v="5904"/>
    <n v="8676"/>
  </r>
  <r>
    <s v="Training"/>
    <s v="Northeast"/>
    <x v="0"/>
    <d v="2018-09-14T00:00:00"/>
    <s v="MySpreadsheetLab"/>
    <n v="100"/>
    <n v="2058"/>
    <n v="1022"/>
    <n v="1036"/>
  </r>
  <r>
    <s v="Training"/>
    <s v="Midwest"/>
    <x v="1"/>
    <d v="2018-09-14T00:00:00"/>
    <s v="599CD.com"/>
    <n v="600"/>
    <n v="13566"/>
    <n v="5904"/>
    <n v="7662"/>
  </r>
  <r>
    <s v="Training"/>
    <s v="Northeast"/>
    <x v="2"/>
    <d v="2018-09-17T00:00:00"/>
    <s v="CPASelfStudy.com"/>
    <n v="100"/>
    <n v="1741"/>
    <n v="847"/>
    <n v="894"/>
  </r>
  <r>
    <s v="Retail"/>
    <s v="South"/>
    <x v="0"/>
    <d v="2018-09-18T00:00:00"/>
    <s v="Hartville MarketPlace and Flea Market"/>
    <n v="200"/>
    <n v="5002"/>
    <n v="2044"/>
    <n v="2958"/>
  </r>
  <r>
    <s v="Training"/>
    <s v="South"/>
    <x v="2"/>
    <d v="2018-09-19T00:00:00"/>
    <s v="MyOnlineTrainingHub.com"/>
    <n v="100"/>
    <n v="1795"/>
    <n v="847"/>
    <n v="948"/>
  </r>
  <r>
    <s v="Training"/>
    <s v="Northeast"/>
    <x v="1"/>
    <d v="2018-09-22T00:00:00"/>
    <s v="LearnExcelBooks.com"/>
    <n v="400"/>
    <n v="8592"/>
    <n v="3936"/>
    <n v="4656"/>
  </r>
  <r>
    <s v="Training"/>
    <s v="South"/>
    <x v="1"/>
    <d v="2018-09-25T00:00:00"/>
    <s v="MyOnlineTrainingHub.com"/>
    <n v="600"/>
    <n v="12690"/>
    <n v="5904"/>
    <n v="6786"/>
  </r>
  <r>
    <s v="Training"/>
    <s v="Northeast"/>
    <x v="1"/>
    <d v="2018-09-25T00:00:00"/>
    <s v="LearnExcelBooks.com"/>
    <n v="300"/>
    <n v="6582"/>
    <n v="2952"/>
    <n v="3630"/>
  </r>
  <r>
    <s v="Training"/>
    <s v="Northeast"/>
    <x v="1"/>
    <d v="2018-09-26T00:00:00"/>
    <s v="CPASelfStudy.com"/>
    <n v="400"/>
    <n v="9672"/>
    <n v="3936"/>
    <n v="5736"/>
  </r>
  <r>
    <s v="Training"/>
    <s v="Northeast"/>
    <x v="0"/>
    <d v="2018-09-26T00:00:00"/>
    <s v="CPASelfStudy.com"/>
    <n v="900"/>
    <n v="22014"/>
    <n v="9198"/>
    <n v="12816"/>
  </r>
  <r>
    <s v="Retail"/>
    <s v="South"/>
    <x v="2"/>
    <d v="2018-09-27T00:00:00"/>
    <s v="Hartville MarketPlace and Flea Market"/>
    <n v="1000"/>
    <n v="18530"/>
    <n v="8470"/>
    <n v="10060"/>
  </r>
  <r>
    <s v="Consultants"/>
    <s v="South"/>
    <x v="1"/>
    <d v="2018-09-27T00:00:00"/>
    <s v="Andrew Spain Consulting"/>
    <n v="600"/>
    <n v="14004"/>
    <n v="5904"/>
    <n v="8100"/>
  </r>
  <r>
    <s v="Consultants"/>
    <s v="South"/>
    <x v="2"/>
    <d v="2018-09-28T00:00:00"/>
    <s v="Andrew Spain Consulting"/>
    <n v="700"/>
    <n v="13139"/>
    <n v="5929"/>
    <n v="7210"/>
  </r>
  <r>
    <s v="Professional"/>
    <s v="South"/>
    <x v="2"/>
    <d v="2018-09-29T00:00:00"/>
    <s v="Serving Brevard Realty"/>
    <n v="500"/>
    <n v="8715"/>
    <n v="4235"/>
    <n v="4480"/>
  </r>
  <r>
    <s v="Training"/>
    <s v="Northeast"/>
    <x v="2"/>
    <d v="2018-10-02T00:00:00"/>
    <s v="MySpreadsheetLab"/>
    <n v="400"/>
    <n v="6944"/>
    <n v="3388"/>
    <n v="3556"/>
  </r>
  <r>
    <s v="Consultants"/>
    <s v="South"/>
    <x v="0"/>
    <d v="2018-10-03T00:00:00"/>
    <s v="Andrew Spain Consulting"/>
    <n v="500"/>
    <n v="12760"/>
    <n v="5110"/>
    <n v="7650"/>
  </r>
  <r>
    <s v="Consultants"/>
    <s v="South"/>
    <x v="0"/>
    <d v="2018-10-05T00:00:00"/>
    <s v="Andrew Spain Consulting"/>
    <n v="1000"/>
    <n v="24070"/>
    <n v="10220"/>
    <n v="13850"/>
  </r>
  <r>
    <s v="Software"/>
    <s v="Midwest"/>
    <x v="1"/>
    <d v="2018-10-06T00:00:00"/>
    <s v="Excel4Apps"/>
    <n v="200"/>
    <n v="4186"/>
    <n v="1968"/>
    <n v="2218"/>
  </r>
  <r>
    <s v="Software"/>
    <s v="Northeast"/>
    <x v="2"/>
    <d v="2018-10-07T00:00:00"/>
    <s v="F-Keys Ltd."/>
    <n v="700"/>
    <n v="13195"/>
    <n v="5929"/>
    <n v="7266"/>
  </r>
  <r>
    <s v="Training"/>
    <s v="Northeast"/>
    <x v="2"/>
    <d v="2018-10-08T00:00:00"/>
    <s v="CPASelfStudy.com"/>
    <n v="200"/>
    <n v="3922"/>
    <n v="1694"/>
    <n v="2228"/>
  </r>
  <r>
    <s v="Professional"/>
    <s v="South"/>
    <x v="1"/>
    <d v="2018-10-09T00:00:00"/>
    <s v="Serving Brevard Realty"/>
    <n v="1000"/>
    <n v="23970"/>
    <n v="9840"/>
    <n v="14130"/>
  </r>
  <r>
    <s v="Retail"/>
    <s v="Midwest"/>
    <x v="2"/>
    <d v="2018-10-11T00:00:00"/>
    <s v="New Hope Laundry"/>
    <n v="500"/>
    <n v="8940"/>
    <n v="4235"/>
    <n v="4705"/>
  </r>
  <r>
    <s v="Retail"/>
    <s v="South"/>
    <x v="0"/>
    <d v="2018-10-12T00:00:00"/>
    <s v="Hartville MarketPlace and Flea Market"/>
    <n v="200"/>
    <n v="5002"/>
    <n v="2044"/>
    <n v="2958"/>
  </r>
  <r>
    <s v="Software"/>
    <s v="Midwest"/>
    <x v="2"/>
    <d v="2018-10-14T00:00:00"/>
    <s v="Frontline Systems"/>
    <n v="1000"/>
    <n v="17190"/>
    <n v="8470"/>
    <n v="8720"/>
  </r>
  <r>
    <s v="Training"/>
    <s v="South"/>
    <x v="0"/>
    <d v="2018-10-16T00:00:00"/>
    <s v="MyOnlineTrainingHub.com"/>
    <n v="900"/>
    <n v="21042"/>
    <n v="9198"/>
    <n v="11844"/>
  </r>
  <r>
    <s v="Training"/>
    <s v="Northeast"/>
    <x v="1"/>
    <d v="2018-10-16T00:00:00"/>
    <s v="LearnExcelBooks.com"/>
    <n v="500"/>
    <n v="11530"/>
    <n v="4920"/>
    <n v="6610"/>
  </r>
  <r>
    <s v="Retail"/>
    <s v="Midwest"/>
    <x v="2"/>
    <d v="2018-10-17T00:00:00"/>
    <s v="LaFrenier Sons Septic"/>
    <n v="800"/>
    <n v="15312"/>
    <n v="6776"/>
    <n v="8536"/>
  </r>
  <r>
    <s v="Software"/>
    <s v="Northeast"/>
    <x v="0"/>
    <d v="2018-10-18T00:00:00"/>
    <s v="F-Keys Ltd."/>
    <n v="900"/>
    <n v="19161"/>
    <n v="9198"/>
    <n v="9963"/>
  </r>
  <r>
    <s v="Training"/>
    <s v="Northeast"/>
    <x v="0"/>
    <d v="2018-10-19T00:00:00"/>
    <s v="MySpreadsheetLab"/>
    <n v="500"/>
    <n v="10940"/>
    <n v="5110"/>
    <n v="5830"/>
  </r>
  <r>
    <s v="Training"/>
    <s v="Midwest"/>
    <x v="2"/>
    <d v="2018-10-20T00:00:00"/>
    <s v="599CD.com"/>
    <n v="1000"/>
    <n v="21010"/>
    <n v="8470"/>
    <n v="12540"/>
  </r>
  <r>
    <s v="Professional"/>
    <s v="South"/>
    <x v="2"/>
    <d v="2018-10-22T00:00:00"/>
    <s v="Serving Brevard Realty"/>
    <n v="900"/>
    <n v="18576"/>
    <n v="7623"/>
    <n v="10953"/>
  </r>
  <r>
    <s v="Training"/>
    <s v="Northeast"/>
    <x v="1"/>
    <d v="2018-10-22T00:00:00"/>
    <s v="MySpreadsheetLab"/>
    <n v="200"/>
    <n v="4484"/>
    <n v="1968"/>
    <n v="2516"/>
  </r>
  <r>
    <s v="Training"/>
    <s v="Northeast"/>
    <x v="1"/>
    <d v="2018-10-22T00:00:00"/>
    <s v="CPASelfStudy.com"/>
    <n v="700"/>
    <n v="13797"/>
    <n v="6888"/>
    <n v="6909"/>
  </r>
  <r>
    <s v="Training"/>
    <s v="Northeast"/>
    <x v="2"/>
    <d v="2018-10-23T00:00:00"/>
    <s v="MySpreadsheetLab"/>
    <n v="700"/>
    <n v="12131"/>
    <n v="5929"/>
    <n v="6202"/>
  </r>
  <r>
    <s v="Retail"/>
    <s v="South"/>
    <x v="1"/>
    <d v="2018-10-25T00:00:00"/>
    <s v="Hartville MarketPlace and Flea Market"/>
    <n v="500"/>
    <n v="11250"/>
    <n v="4920"/>
    <n v="6330"/>
  </r>
  <r>
    <s v="Training"/>
    <s v="Northeast"/>
    <x v="1"/>
    <d v="2018-10-26T00:00:00"/>
    <s v="MySpreadsheetLab"/>
    <n v="500"/>
    <n v="11430"/>
    <n v="4920"/>
    <n v="6510"/>
  </r>
  <r>
    <s v="Software"/>
    <s v="Midwest"/>
    <x v="0"/>
    <d v="2018-10-29T00:00:00"/>
    <s v="Excel4Apps"/>
    <n v="100"/>
    <n v="2234"/>
    <n v="1022"/>
    <n v="1212"/>
  </r>
  <r>
    <s v="Software"/>
    <s v="Northeast"/>
    <x v="0"/>
    <d v="2018-10-31T00:00:00"/>
    <s v="F-Keys Ltd."/>
    <n v="100"/>
    <n v="2092"/>
    <n v="1022"/>
    <n v="1070"/>
  </r>
  <r>
    <s v="Retail"/>
    <s v="South"/>
    <x v="0"/>
    <d v="2018-10-31T00:00:00"/>
    <s v="Hartville MarketPlace and Flea Market"/>
    <n v="600"/>
    <n v="13818"/>
    <n v="6132"/>
    <n v="7686"/>
  </r>
  <r>
    <s v="Retail"/>
    <s v="Midwest"/>
    <x v="0"/>
    <d v="2018-11-04T00:00:00"/>
    <s v="New Hope Laundry"/>
    <n v="600"/>
    <n v="12612"/>
    <n v="6132"/>
    <n v="6480"/>
  </r>
  <r>
    <s v="Associations"/>
    <s v="Northeast"/>
    <x v="2"/>
    <d v="2018-11-05T00:00:00"/>
    <s v="IMA Houston Chapter"/>
    <n v="800"/>
    <n v="15104"/>
    <n v="6776"/>
    <n v="8328"/>
  </r>
  <r>
    <s v="Retail"/>
    <s v="South"/>
    <x v="0"/>
    <d v="2018-11-08T00:00:00"/>
    <s v="Hartville MarketPlace and Flea Market"/>
    <n v="700"/>
    <n v="16576"/>
    <n v="7154"/>
    <n v="9422"/>
  </r>
  <r>
    <s v="Software"/>
    <s v="Midwest"/>
    <x v="0"/>
    <d v="2018-11-09T00:00:00"/>
    <s v="Excel4Apps"/>
    <n v="700"/>
    <n v="17059"/>
    <n v="7154"/>
    <n v="9905"/>
  </r>
  <r>
    <s v="Training"/>
    <s v="Northeast"/>
    <x v="1"/>
    <d v="2018-11-13T00:00:00"/>
    <s v="MySpreadsheetLab"/>
    <n v="800"/>
    <n v="19424"/>
    <n v="7872"/>
    <n v="11552"/>
  </r>
  <r>
    <s v="Consultants"/>
    <s v="South"/>
    <x v="1"/>
    <d v="2018-11-13T00:00:00"/>
    <s v="Andrew Spain Consulting"/>
    <n v="700"/>
    <n v="14784"/>
    <n v="6888"/>
    <n v="7896"/>
  </r>
  <r>
    <s v="Training"/>
    <s v="Midwest"/>
    <x v="1"/>
    <d v="2018-11-14T00:00:00"/>
    <s v="599CD.com"/>
    <n v="1000"/>
    <n v="21740"/>
    <n v="9840"/>
    <n v="11900"/>
  </r>
  <r>
    <s v="Training"/>
    <s v="Midwest"/>
    <x v="1"/>
    <d v="2018-11-15T00:00:00"/>
    <s v="599CD.com"/>
    <n v="900"/>
    <n v="19674"/>
    <n v="8856"/>
    <n v="10818"/>
  </r>
  <r>
    <s v="Consultants"/>
    <s v="South"/>
    <x v="2"/>
    <d v="2018-11-15T00:00:00"/>
    <s v="Andrew Spain Consulting"/>
    <n v="500"/>
    <n v="8970"/>
    <n v="4235"/>
    <n v="4735"/>
  </r>
  <r>
    <s v="Software"/>
    <s v="Midwest"/>
    <x v="0"/>
    <d v="2018-11-17T00:00:00"/>
    <s v="Excel4Apps"/>
    <n v="600"/>
    <n v="13680"/>
    <n v="6132"/>
    <n v="7548"/>
  </r>
  <r>
    <s v="Training"/>
    <s v="Northeast"/>
    <x v="1"/>
    <d v="2018-11-19T00:00:00"/>
    <s v="MySpreadsheetLab"/>
    <n v="800"/>
    <n v="17136"/>
    <n v="7872"/>
    <n v="9264"/>
  </r>
  <r>
    <s v="Consultants"/>
    <s v="South"/>
    <x v="2"/>
    <d v="2018-11-20T00:00:00"/>
    <s v="Andrew Spain Consulting"/>
    <n v="400"/>
    <n v="6880"/>
    <n v="3388"/>
    <n v="3492"/>
  </r>
  <r>
    <s v="Software"/>
    <s v="Midwest"/>
    <x v="1"/>
    <d v="2018-11-21T00:00:00"/>
    <s v="Excel4Apps"/>
    <n v="500"/>
    <n v="11330"/>
    <n v="4920"/>
    <n v="6410"/>
  </r>
  <r>
    <s v="Retail"/>
    <s v="South"/>
    <x v="1"/>
    <d v="2018-11-22T00:00:00"/>
    <s v="Hartville MarketPlace and Flea Market"/>
    <n v="200"/>
    <n v="4412"/>
    <n v="1968"/>
    <n v="2444"/>
  </r>
  <r>
    <s v="Training"/>
    <s v="Northeast"/>
    <x v="1"/>
    <d v="2018-11-23T00:00:00"/>
    <s v="MySpreadsheetLab"/>
    <n v="400"/>
    <n v="9484"/>
    <n v="3936"/>
    <n v="5548"/>
  </r>
  <r>
    <s v="Training"/>
    <s v="Northeast"/>
    <x v="1"/>
    <d v="2018-11-24T00:00:00"/>
    <s v="MySpreadsheetLab"/>
    <n v="400"/>
    <n v="8204"/>
    <n v="3936"/>
    <n v="4268"/>
  </r>
  <r>
    <s v="Professional"/>
    <s v="West"/>
    <x v="0"/>
    <d v="2018-11-25T00:00:00"/>
    <s v="WM Squared Inc."/>
    <n v="400"/>
    <n v="8556"/>
    <n v="4088"/>
    <n v="4468"/>
  </r>
  <r>
    <s v="Training"/>
    <s v="Northeast"/>
    <x v="1"/>
    <d v="2018-11-28T00:00:00"/>
    <s v="MySpreadsheetLab"/>
    <n v="400"/>
    <n v="8464"/>
    <n v="3936"/>
    <n v="4528"/>
  </r>
  <r>
    <s v="Software"/>
    <s v="Midwest"/>
    <x v="0"/>
    <d v="2018-11-28T00:00:00"/>
    <s v="Excel4Apps"/>
    <n v="500"/>
    <n v="11470"/>
    <n v="5110"/>
    <n v="6360"/>
  </r>
  <r>
    <s v="Training"/>
    <s v="South"/>
    <x v="1"/>
    <d v="2018-11-29T00:00:00"/>
    <s v="MyOnlineTrainingHub.com"/>
    <n v="600"/>
    <n v="14154"/>
    <n v="5904"/>
    <n v="8250"/>
  </r>
  <r>
    <s v="Consultants"/>
    <s v="South"/>
    <x v="1"/>
    <d v="2018-11-30T00:00:00"/>
    <s v="Andrew Spain Consulting"/>
    <n v="800"/>
    <n v="19280"/>
    <n v="7872"/>
    <n v="11408"/>
  </r>
  <r>
    <s v="Software"/>
    <s v="Midwest"/>
    <x v="0"/>
    <d v="2018-12-01T00:00:00"/>
    <s v="Excel4Apps"/>
    <n v="900"/>
    <n v="22887"/>
    <n v="9198"/>
    <n v="13689"/>
  </r>
  <r>
    <s v="Software"/>
    <s v="Northeast"/>
    <x v="0"/>
    <d v="2018-12-02T00:00:00"/>
    <s v="F-Keys Ltd."/>
    <n v="600"/>
    <n v="13290"/>
    <n v="6132"/>
    <n v="7158"/>
  </r>
  <r>
    <s v="Retail"/>
    <s v="South"/>
    <x v="1"/>
    <d v="2018-12-02T00:00:00"/>
    <s v="Hartville MarketPlace and Flea Market"/>
    <n v="1000"/>
    <n v="20840"/>
    <n v="9840"/>
    <n v="11000"/>
  </r>
  <r>
    <s v="Consultants"/>
    <s v="West"/>
    <x v="0"/>
    <d v="2018-12-05T00:00:00"/>
    <s v="Data2Impact"/>
    <n v="800"/>
    <n v="19544"/>
    <n v="8176"/>
    <n v="11368"/>
  </r>
  <r>
    <s v="Training"/>
    <s v="Northeast"/>
    <x v="0"/>
    <d v="2018-12-05T00:00:00"/>
    <s v="MySpreadsheetLab"/>
    <n v="400"/>
    <n v="8284"/>
    <n v="4088"/>
    <n v="4196"/>
  </r>
  <r>
    <s v="Training"/>
    <s v="Midwest"/>
    <x v="0"/>
    <d v="2018-12-05T00:00:00"/>
    <s v="599CD.com"/>
    <n v="800"/>
    <n v="17496"/>
    <n v="8176"/>
    <n v="9320"/>
  </r>
  <r>
    <s v="Software"/>
    <s v="Midwest"/>
    <x v="1"/>
    <d v="2018-12-07T00:00:00"/>
    <s v="Excel4Apps"/>
    <n v="1000"/>
    <n v="23690"/>
    <n v="9840"/>
    <n v="13850"/>
  </r>
  <r>
    <s v="Training"/>
    <s v="Northeast"/>
    <x v="0"/>
    <d v="2018-12-08T00:00:00"/>
    <s v="MySpreadsheetLab"/>
    <n v="100"/>
    <n v="2309"/>
    <n v="1022"/>
    <n v="1287"/>
  </r>
  <r>
    <s v="Professional"/>
    <s v="South"/>
    <x v="0"/>
    <d v="2018-12-09T00:00:00"/>
    <s v="Serving Brevard Realty"/>
    <n v="900"/>
    <n v="18756"/>
    <n v="9198"/>
    <n v="9558"/>
  </r>
  <r>
    <s v="Software"/>
    <s v="Midwest"/>
    <x v="2"/>
    <d v="2018-12-10T00:00:00"/>
    <s v="Excel4Apps"/>
    <n v="1000"/>
    <n v="17410"/>
    <n v="8470"/>
    <n v="8940"/>
  </r>
  <r>
    <s v="Software"/>
    <s v="Midwest"/>
    <x v="1"/>
    <d v="2018-12-10T00:00:00"/>
    <s v="Excel4Apps"/>
    <n v="200"/>
    <n v="4492"/>
    <n v="1968"/>
    <n v="2524"/>
  </r>
  <r>
    <s v="Training"/>
    <s v="Northeast"/>
    <x v="1"/>
    <d v="2018-12-11T00:00:00"/>
    <s v="CPASelfStudy.com"/>
    <n v="200"/>
    <n v="4696"/>
    <n v="1968"/>
    <n v="2728"/>
  </r>
  <r>
    <s v="Software"/>
    <s v="Northeast"/>
    <x v="1"/>
    <d v="2018-12-13T00:00:00"/>
    <s v="F-Keys Ltd."/>
    <n v="500"/>
    <n v="10295"/>
    <n v="4920"/>
    <n v="5375"/>
  </r>
  <r>
    <s v="Training"/>
    <s v="Northeast"/>
    <x v="0"/>
    <d v="2018-12-15T00:00:00"/>
    <s v="MySpreadsheetLab"/>
    <n v="1000"/>
    <n v="25010"/>
    <n v="10220"/>
    <n v="14790"/>
  </r>
  <r>
    <s v="Training"/>
    <s v="Midwest"/>
    <x v="0"/>
    <d v="2018-12-15T00:00:00"/>
    <s v="599CD.com"/>
    <n v="500"/>
    <n v="10380"/>
    <n v="5110"/>
    <n v="5270"/>
  </r>
  <r>
    <s v="Training"/>
    <s v="Northeast"/>
    <x v="0"/>
    <d v="2018-12-16T00:00:00"/>
    <s v="LearnExcelBooks.com"/>
    <n v="300"/>
    <n v="6744"/>
    <n v="3066"/>
    <n v="3678"/>
  </r>
  <r>
    <s v="Training"/>
    <s v="Midwest"/>
    <x v="2"/>
    <d v="2018-12-18T00:00:00"/>
    <s v="599CD.com"/>
    <n v="700"/>
    <n v="13552"/>
    <n v="5929"/>
    <n v="7623"/>
  </r>
  <r>
    <s v="Consultants"/>
    <s v="South"/>
    <x v="0"/>
    <d v="2018-12-20T00:00:00"/>
    <s v="Andrew Spain Consulting"/>
    <n v="800"/>
    <n v="18560"/>
    <n v="8176"/>
    <n v="10384"/>
  </r>
  <r>
    <s v="Retail"/>
    <s v="South"/>
    <x v="2"/>
    <d v="2018-12-21T00:00:00"/>
    <s v="Hartville MarketPlace and Flea Market"/>
    <n v="300"/>
    <n v="5847"/>
    <n v="2541"/>
    <n v="3306"/>
  </r>
  <r>
    <s v="Training"/>
    <s v="South"/>
    <x v="0"/>
    <d v="2018-12-22T00:00:00"/>
    <s v="MyOnlineTrainingHub.com"/>
    <n v="800"/>
    <n v="18304"/>
    <n v="8176"/>
    <n v="10128"/>
  </r>
  <r>
    <s v="Retail"/>
    <s v="South"/>
    <x v="0"/>
    <d v="2018-12-23T00:00:00"/>
    <s v="Hartville MarketPlace and Flea Market"/>
    <n v="700"/>
    <n v="17199"/>
    <n v="7154"/>
    <n v="10045"/>
  </r>
  <r>
    <s v="Training"/>
    <s v="Northeast"/>
    <x v="2"/>
    <d v="2018-12-24T00:00:00"/>
    <s v="LearnExcelBooks.com"/>
    <n v="100"/>
    <n v="1968"/>
    <n v="847"/>
    <n v="1121"/>
  </r>
  <r>
    <s v="Consultants"/>
    <s v="South"/>
    <x v="0"/>
    <d v="2018-12-25T00:00:00"/>
    <s v="Andrew Spain Consulting"/>
    <n v="200"/>
    <n v="4690"/>
    <n v="2044"/>
    <n v="2646"/>
  </r>
  <r>
    <s v="Software"/>
    <s v="Northeast"/>
    <x v="0"/>
    <d v="2018-12-27T00:00:00"/>
    <s v="Vertex42"/>
    <n v="500"/>
    <n v="11680"/>
    <n v="5110"/>
    <n v="6570"/>
  </r>
  <r>
    <s v="Consultants"/>
    <s v="South"/>
    <x v="1"/>
    <d v="2018-12-27T00:00:00"/>
    <s v="Andrew Spain Consulting"/>
    <n v="700"/>
    <n v="14560"/>
    <n v="6888"/>
    <n v="7672"/>
  </r>
  <r>
    <s v="Professional"/>
    <s v="South"/>
    <x v="0"/>
    <d v="2018-12-28T00:00:00"/>
    <s v="Serving Brevard Realty"/>
    <n v="700"/>
    <n v="15225"/>
    <n v="7154"/>
    <n v="8071"/>
  </r>
  <r>
    <s v="Software"/>
    <s v="Midwest"/>
    <x v="2"/>
    <d v="2018-12-29T00:00:00"/>
    <s v="Excel4Apps"/>
    <n v="900"/>
    <n v="15363"/>
    <n v="7623"/>
    <n v="774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3">
  <r>
    <s v="Training"/>
    <x v="0"/>
    <x v="0"/>
    <x v="0"/>
    <s v="Gizmo"/>
    <d v="2017-01-01T00:00:00"/>
    <s v="599CD.com"/>
    <n v="1000"/>
    <n v="22810"/>
    <n v="10220"/>
    <n v="12590"/>
  </r>
  <r>
    <s v="Software"/>
    <x v="1"/>
    <x v="1"/>
    <x v="1"/>
    <s v="Gadget"/>
    <d v="2017-01-02T00:00:00"/>
    <s v="F-Keys Ltd."/>
    <n v="100"/>
    <n v="2257"/>
    <n v="984"/>
    <n v="1273"/>
  </r>
  <r>
    <s v="Associations"/>
    <x v="2"/>
    <x v="2"/>
    <x v="2"/>
    <s v="Gizmo"/>
    <d v="2017-01-04T00:00:00"/>
    <s v="Association for Computers &amp; Taxation"/>
    <n v="400"/>
    <n v="9152"/>
    <n v="4088"/>
    <n v="5064"/>
  </r>
  <r>
    <s v="Consultants"/>
    <x v="0"/>
    <x v="3"/>
    <x v="3"/>
    <s v="Gadget"/>
    <d v="2017-01-04T00:00:00"/>
    <s v="Construction Intelligence &amp; Analytics, Inc."/>
    <n v="800"/>
    <n v="18552"/>
    <n v="7872"/>
    <n v="10680"/>
  </r>
  <r>
    <s v="Consultants"/>
    <x v="3"/>
    <x v="4"/>
    <x v="4"/>
    <s v="Gadget"/>
    <d v="2017-01-07T00:00:00"/>
    <s v="Data2Impact"/>
    <n v="1000"/>
    <n v="21730"/>
    <n v="9840"/>
    <n v="11890"/>
  </r>
  <r>
    <s v="Software"/>
    <x v="0"/>
    <x v="0"/>
    <x v="0"/>
    <s v="Widget"/>
    <d v="2017-01-07T00:00:00"/>
    <s v="Excel4Apps"/>
    <n v="400"/>
    <n v="8456"/>
    <n v="3388"/>
    <n v="5068"/>
  </r>
  <r>
    <s v="Software"/>
    <x v="0"/>
    <x v="0"/>
    <x v="0"/>
    <s v="Widget"/>
    <d v="2017-01-09T00:00:00"/>
    <s v="Excel4Apps"/>
    <n v="800"/>
    <n v="16416"/>
    <n v="6776"/>
    <n v="9640"/>
  </r>
  <r>
    <s v="Consultants"/>
    <x v="2"/>
    <x v="5"/>
    <x v="5"/>
    <s v="Gizmo"/>
    <d v="2017-01-10T00:00:00"/>
    <s v="Andrew Spain Consulting"/>
    <n v="900"/>
    <n v="21438"/>
    <n v="9198"/>
    <n v="12240"/>
  </r>
  <r>
    <s v="Training"/>
    <x v="1"/>
    <x v="1"/>
    <x v="1"/>
    <s v="Widget"/>
    <d v="2017-01-12T00:00:00"/>
    <s v="LearnExcelBooks.com"/>
    <n v="300"/>
    <n v="6267"/>
    <n v="2541"/>
    <n v="3726"/>
  </r>
  <r>
    <s v="Training"/>
    <x v="2"/>
    <x v="6"/>
    <x v="6"/>
    <s v="Gizmo"/>
    <d v="2017-01-14T00:00:00"/>
    <s v="MyOnlineTrainingHub.com"/>
    <n v="100"/>
    <n v="2401"/>
    <n v="1022"/>
    <n v="1379"/>
  </r>
  <r>
    <s v="Software"/>
    <x v="1"/>
    <x v="1"/>
    <x v="1"/>
    <s v="Widget"/>
    <d v="2017-01-15T00:00:00"/>
    <s v="F-Keys Ltd."/>
    <n v="500"/>
    <n v="9345"/>
    <n v="4235"/>
    <n v="5110"/>
  </r>
  <r>
    <s v="Training"/>
    <x v="1"/>
    <x v="1"/>
    <x v="1"/>
    <s v="Widget"/>
    <d v="2017-01-16T00:00:00"/>
    <s v="MySpreadsheetLab"/>
    <n v="600"/>
    <n v="11628"/>
    <n v="5082"/>
    <n v="6546"/>
  </r>
  <r>
    <s v="Software"/>
    <x v="1"/>
    <x v="1"/>
    <x v="1"/>
    <s v="Gadget"/>
    <d v="2017-01-19T00:00:00"/>
    <s v="F-Keys Ltd."/>
    <n v="100"/>
    <n v="2042"/>
    <n v="984"/>
    <n v="1058"/>
  </r>
  <r>
    <s v="Software"/>
    <x v="1"/>
    <x v="1"/>
    <x v="1"/>
    <s v="Doodads"/>
    <d v="2017-01-21T00:00:00"/>
    <s v="Vertex42"/>
    <n v="800"/>
    <n v="14440"/>
    <n v="6776"/>
    <n v="7664"/>
  </r>
  <r>
    <s v="Consultants"/>
    <x v="0"/>
    <x v="3"/>
    <x v="3"/>
    <s v="Doodads"/>
    <d v="2017-01-21T00:00:00"/>
    <s v="Construction Intelligence &amp; Analytics, Inc."/>
    <n v="200"/>
    <n v="3552"/>
    <n v="1694"/>
    <n v="1858"/>
  </r>
  <r>
    <s v="Software"/>
    <x v="0"/>
    <x v="0"/>
    <x v="0"/>
    <s v="Widget"/>
    <d v="2017-01-23T00:00:00"/>
    <s v="Excel4Apps"/>
    <n v="800"/>
    <n v="14592"/>
    <n v="6776"/>
    <n v="7816"/>
  </r>
  <r>
    <s v="Training"/>
    <x v="1"/>
    <x v="1"/>
    <x v="1"/>
    <s v="Widget"/>
    <d v="2017-01-24T00:00:00"/>
    <s v="LearnExcelBooks.com"/>
    <n v="600"/>
    <n v="12606"/>
    <n v="5082"/>
    <n v="7524"/>
  </r>
  <r>
    <s v="Training"/>
    <x v="1"/>
    <x v="1"/>
    <x v="1"/>
    <s v="Widget"/>
    <d v="2017-01-25T00:00:00"/>
    <s v="MySpreadsheetLab"/>
    <n v="1000"/>
    <n v="20770"/>
    <n v="8470"/>
    <n v="12300"/>
  </r>
  <r>
    <s v="Training"/>
    <x v="1"/>
    <x v="1"/>
    <x v="1"/>
    <s v="Widget"/>
    <d v="2017-01-26T00:00:00"/>
    <s v="LearnExcelBooks.com"/>
    <n v="400"/>
    <n v="8128"/>
    <n v="3388"/>
    <n v="4740"/>
  </r>
  <r>
    <s v="Associations"/>
    <x v="2"/>
    <x v="2"/>
    <x v="2"/>
    <s v="Widget"/>
    <d v="2017-01-29T00:00:00"/>
    <s v="Association for Computers &amp; Taxation"/>
    <n v="400"/>
    <n v="7136"/>
    <n v="3388"/>
    <n v="3748"/>
  </r>
  <r>
    <s v="Software"/>
    <x v="0"/>
    <x v="0"/>
    <x v="0"/>
    <s v="Gadget"/>
    <d v="2017-01-29T00:00:00"/>
    <s v="Excel4Apps"/>
    <n v="700"/>
    <n v="17150"/>
    <n v="6888"/>
    <n v="10262"/>
  </r>
  <r>
    <s v="Consultants"/>
    <x v="2"/>
    <x v="5"/>
    <x v="5"/>
    <s v="Gadget"/>
    <d v="2017-01-30T00:00:00"/>
    <s v="Andrew Spain Consulting"/>
    <n v="300"/>
    <n v="6714"/>
    <n v="2952"/>
    <n v="3762"/>
  </r>
  <r>
    <s v="Software"/>
    <x v="0"/>
    <x v="0"/>
    <x v="0"/>
    <s v="Widget"/>
    <d v="2017-01-31T00:00:00"/>
    <s v="Excel4Apps"/>
    <n v="800"/>
    <n v="15640"/>
    <n v="6776"/>
    <n v="8864"/>
  </r>
  <r>
    <s v="Consultants"/>
    <x v="2"/>
    <x v="5"/>
    <x v="5"/>
    <s v="Widget"/>
    <d v="2017-02-01T00:00:00"/>
    <s v="Andrew Spain Consulting"/>
    <n v="300"/>
    <n v="5532"/>
    <n v="2541"/>
    <n v="2991"/>
  </r>
  <r>
    <s v="Software"/>
    <x v="1"/>
    <x v="1"/>
    <x v="1"/>
    <s v="Gadget"/>
    <d v="2017-02-03T00:00:00"/>
    <s v="F-Keys Ltd."/>
    <n v="800"/>
    <n v="17160"/>
    <n v="7872"/>
    <n v="9288"/>
  </r>
  <r>
    <s v="Training"/>
    <x v="1"/>
    <x v="1"/>
    <x v="1"/>
    <s v="Gadget"/>
    <d v="2017-02-06T00:00:00"/>
    <s v="CPASelfStudy.com"/>
    <n v="900"/>
    <n v="21708"/>
    <n v="8856"/>
    <n v="12852"/>
  </r>
  <r>
    <s v="Training"/>
    <x v="1"/>
    <x v="1"/>
    <x v="1"/>
    <s v="Widget"/>
    <d v="2017-02-07T00:00:00"/>
    <s v="LearnExcelBooks.com"/>
    <n v="1000"/>
    <n v="19890"/>
    <n v="8470"/>
    <n v="11420"/>
  </r>
  <r>
    <s v="Training"/>
    <x v="1"/>
    <x v="1"/>
    <x v="1"/>
    <s v="Widget"/>
    <d v="2017-02-08T00:00:00"/>
    <s v="MySpreadsheetLab"/>
    <n v="100"/>
    <n v="1817"/>
    <n v="847"/>
    <n v="970"/>
  </r>
  <r>
    <s v="Software"/>
    <x v="0"/>
    <x v="0"/>
    <x v="0"/>
    <s v="Widget"/>
    <d v="2017-02-09T00:00:00"/>
    <s v="Excel4Apps"/>
    <n v="300"/>
    <n v="5157"/>
    <n v="2541"/>
    <n v="2616"/>
  </r>
  <r>
    <s v="Training"/>
    <x v="1"/>
    <x v="1"/>
    <x v="1"/>
    <s v="Gadget"/>
    <d v="2017-02-14T00:00:00"/>
    <s v="MySpreadsheetLab"/>
    <n v="700"/>
    <n v="13867"/>
    <n v="6888"/>
    <n v="6979"/>
  </r>
  <r>
    <s v="Training"/>
    <x v="0"/>
    <x v="7"/>
    <x v="7"/>
    <s v="Gizmo"/>
    <d v="2017-02-16T00:00:00"/>
    <s v="ExcelTricks.de"/>
    <n v="800"/>
    <n v="16936"/>
    <n v="8176"/>
    <n v="8760"/>
  </r>
  <r>
    <s v="Retail"/>
    <x v="2"/>
    <x v="2"/>
    <x v="2"/>
    <s v="Widget"/>
    <d v="2017-02-17T00:00:00"/>
    <s v="Hartville MarketPlace and Flea Market"/>
    <n v="600"/>
    <n v="11430"/>
    <n v="5082"/>
    <n v="6348"/>
  </r>
  <r>
    <s v="Consultants"/>
    <x v="2"/>
    <x v="5"/>
    <x v="5"/>
    <s v="Widget"/>
    <d v="2017-02-18T00:00:00"/>
    <s v="Andrew Spain Consulting"/>
    <n v="1000"/>
    <n v="20250"/>
    <n v="8470"/>
    <n v="11780"/>
  </r>
  <r>
    <s v="Consultants"/>
    <x v="2"/>
    <x v="5"/>
    <x v="5"/>
    <s v="Widget"/>
    <d v="2017-02-19T00:00:00"/>
    <s v="Andrew Spain Consulting"/>
    <n v="500"/>
    <n v="10385"/>
    <n v="4235"/>
    <n v="6150"/>
  </r>
  <r>
    <s v="Retail"/>
    <x v="2"/>
    <x v="2"/>
    <x v="2"/>
    <s v="Widget"/>
    <d v="2017-02-20T00:00:00"/>
    <s v="Hartville MarketPlace and Flea Market"/>
    <n v="600"/>
    <n v="11124"/>
    <n v="5082"/>
    <n v="6042"/>
  </r>
  <r>
    <s v="Training"/>
    <x v="0"/>
    <x v="0"/>
    <x v="0"/>
    <s v="Widget"/>
    <d v="2017-02-20T00:00:00"/>
    <s v="599CD.com"/>
    <n v="300"/>
    <n v="5700"/>
    <n v="2541"/>
    <n v="3159"/>
  </r>
  <r>
    <s v="Consultants"/>
    <x v="2"/>
    <x v="5"/>
    <x v="5"/>
    <s v="Gizmo"/>
    <d v="2017-02-20T00:00:00"/>
    <s v="Andrew Spain Consulting"/>
    <n v="1000"/>
    <n v="23810"/>
    <n v="10220"/>
    <n v="13590"/>
  </r>
  <r>
    <s v="Consultants"/>
    <x v="2"/>
    <x v="5"/>
    <x v="5"/>
    <s v="Gizmo"/>
    <d v="2017-02-23T00:00:00"/>
    <s v="Andrew Spain Consulting"/>
    <n v="500"/>
    <n v="11525"/>
    <n v="5110"/>
    <n v="6415"/>
  </r>
  <r>
    <s v="Training"/>
    <x v="3"/>
    <x v="4"/>
    <x v="4"/>
    <s v="Gadget"/>
    <d v="2017-02-26T00:00:00"/>
    <s v="Lake Local School District"/>
    <n v="900"/>
    <n v="20610"/>
    <n v="8856"/>
    <n v="11754"/>
  </r>
  <r>
    <s v="Training"/>
    <x v="0"/>
    <x v="0"/>
    <x v="0"/>
    <s v="Gadget"/>
    <d v="2017-02-26T00:00:00"/>
    <s v="599CD.com"/>
    <n v="600"/>
    <n v="13206"/>
    <n v="5904"/>
    <n v="7302"/>
  </r>
  <r>
    <s v="Consultants"/>
    <x v="2"/>
    <x v="5"/>
    <x v="5"/>
    <s v="Gizmo"/>
    <d v="2017-02-26T00:00:00"/>
    <s v="Andrew Spain Consulting"/>
    <n v="1000"/>
    <n v="25140"/>
    <n v="10220"/>
    <n v="14920"/>
  </r>
  <r>
    <s v="Training"/>
    <x v="0"/>
    <x v="0"/>
    <x v="0"/>
    <s v="Widget"/>
    <d v="2017-02-27T00:00:00"/>
    <s v="599CD.com"/>
    <n v="900"/>
    <n v="16209"/>
    <n v="7623"/>
    <n v="8586"/>
  </r>
  <r>
    <s v="Consultants"/>
    <x v="2"/>
    <x v="5"/>
    <x v="5"/>
    <s v="Gadget"/>
    <d v="2017-02-27T00:00:00"/>
    <s v="Andrew Spain Consulting"/>
    <n v="400"/>
    <n v="8708"/>
    <n v="3936"/>
    <n v="4772"/>
  </r>
  <r>
    <s v="Software"/>
    <x v="0"/>
    <x v="0"/>
    <x v="0"/>
    <s v="Gizmo"/>
    <d v="2017-02-28T00:00:00"/>
    <s v="Excel4Apps"/>
    <n v="900"/>
    <n v="21456"/>
    <n v="9198"/>
    <n v="12258"/>
  </r>
  <r>
    <s v="Consultants"/>
    <x v="2"/>
    <x v="5"/>
    <x v="5"/>
    <s v="Gizmo"/>
    <d v="2017-03-01T00:00:00"/>
    <s v="Andrew Spain Consulting"/>
    <n v="500"/>
    <n v="10445"/>
    <n v="5110"/>
    <n v="5335"/>
  </r>
  <r>
    <s v="Training"/>
    <x v="1"/>
    <x v="1"/>
    <x v="1"/>
    <s v="Gadget"/>
    <d v="2017-03-04T00:00:00"/>
    <s v="CPASelfStudy.com"/>
    <n v="600"/>
    <n v="14472"/>
    <n v="5904"/>
    <n v="8568"/>
  </r>
  <r>
    <s v="Consultants"/>
    <x v="2"/>
    <x v="5"/>
    <x v="5"/>
    <s v="Gizmo"/>
    <d v="2017-03-05T00:00:00"/>
    <s v="Andrew Spain Consulting"/>
    <n v="200"/>
    <n v="4262"/>
    <n v="2044"/>
    <n v="2218"/>
  </r>
  <r>
    <s v="Training"/>
    <x v="0"/>
    <x v="8"/>
    <x v="8"/>
    <s v="Widget"/>
    <d v="2017-03-06T00:00:00"/>
    <s v="Profology.com"/>
    <n v="700"/>
    <n v="12474"/>
    <n v="5929"/>
    <n v="6545"/>
  </r>
  <r>
    <s v="Retail"/>
    <x v="2"/>
    <x v="2"/>
    <x v="2"/>
    <s v="Widget"/>
    <d v="2017-03-07T00:00:00"/>
    <s v="Hartville MarketPlace and Flea Market"/>
    <n v="500"/>
    <n v="10155"/>
    <n v="4235"/>
    <n v="5920"/>
  </r>
  <r>
    <s v="Consultants"/>
    <x v="2"/>
    <x v="5"/>
    <x v="5"/>
    <s v="Gadget"/>
    <d v="2017-03-10T00:00:00"/>
    <s v="Andrew Spain Consulting"/>
    <n v="900"/>
    <n v="19503"/>
    <n v="8856"/>
    <n v="10647"/>
  </r>
  <r>
    <s v="Training"/>
    <x v="1"/>
    <x v="1"/>
    <x v="1"/>
    <s v="Widget"/>
    <d v="2017-03-13T00:00:00"/>
    <s v="LearnExcelBooks.com"/>
    <n v="100"/>
    <n v="1819"/>
    <n v="847"/>
    <n v="972"/>
  </r>
  <r>
    <s v="Training"/>
    <x v="1"/>
    <x v="1"/>
    <x v="1"/>
    <s v="Gizmo"/>
    <d v="2017-03-14T00:00:00"/>
    <s v="MySpreadsheetLab"/>
    <n v="1000"/>
    <n v="24430"/>
    <n v="10220"/>
    <n v="14210"/>
  </r>
  <r>
    <s v="Consultants"/>
    <x v="2"/>
    <x v="5"/>
    <x v="5"/>
    <s v="Gizmo"/>
    <d v="2017-03-14T00:00:00"/>
    <s v="Andrew Spain Consulting"/>
    <n v="500"/>
    <n v="10935"/>
    <n v="5110"/>
    <n v="5825"/>
  </r>
  <r>
    <s v="Training"/>
    <x v="3"/>
    <x v="4"/>
    <x v="4"/>
    <s v="Widget"/>
    <d v="2017-03-16T00:00:00"/>
    <s v="Lake Local School District"/>
    <n v="400"/>
    <n v="8116"/>
    <n v="3388"/>
    <n v="4728"/>
  </r>
  <r>
    <s v="Training"/>
    <x v="1"/>
    <x v="1"/>
    <x v="1"/>
    <s v="Gizmo"/>
    <d v="2017-03-17T00:00:00"/>
    <s v="MySpreadsheetLab"/>
    <n v="900"/>
    <n v="18783"/>
    <n v="9198"/>
    <n v="9585"/>
  </r>
  <r>
    <s v="Consultants"/>
    <x v="2"/>
    <x v="5"/>
    <x v="5"/>
    <s v="Widget"/>
    <d v="2017-03-19T00:00:00"/>
    <s v="Andrew Spain Consulting"/>
    <n v="800"/>
    <n v="16696"/>
    <n v="6776"/>
    <n v="9920"/>
  </r>
  <r>
    <s v="Training"/>
    <x v="1"/>
    <x v="1"/>
    <x v="1"/>
    <s v="Widget"/>
    <d v="2017-03-20T00:00:00"/>
    <s v="CPASelfStudy.com"/>
    <n v="400"/>
    <n v="7132"/>
    <n v="3388"/>
    <n v="3744"/>
  </r>
  <r>
    <s v="Training"/>
    <x v="1"/>
    <x v="1"/>
    <x v="1"/>
    <s v="Gizmo"/>
    <d v="2017-03-21T00:00:00"/>
    <s v="CPASelfStudy.com"/>
    <n v="200"/>
    <n v="4784"/>
    <n v="2044"/>
    <n v="2740"/>
  </r>
  <r>
    <s v="Training"/>
    <x v="2"/>
    <x v="6"/>
    <x v="6"/>
    <s v="Gizmo"/>
    <d v="2017-03-22T00:00:00"/>
    <s v="MyOnlineTrainingHub.com"/>
    <n v="300"/>
    <n v="6765"/>
    <n v="3066"/>
    <n v="3699"/>
  </r>
  <r>
    <s v="Consultants"/>
    <x v="2"/>
    <x v="5"/>
    <x v="5"/>
    <s v="Widget"/>
    <d v="2017-03-23T00:00:00"/>
    <s v="Andrew Spain Consulting"/>
    <n v="300"/>
    <n v="5355"/>
    <n v="2541"/>
    <n v="2814"/>
  </r>
  <r>
    <s v="Consultants"/>
    <x v="2"/>
    <x v="5"/>
    <x v="5"/>
    <s v="Widget"/>
    <d v="2017-03-24T00:00:00"/>
    <s v="Andrew Spain Consulting"/>
    <n v="200"/>
    <n v="3756"/>
    <n v="1694"/>
    <n v="2062"/>
  </r>
  <r>
    <s v="Software"/>
    <x v="0"/>
    <x v="0"/>
    <x v="0"/>
    <s v="Gadget"/>
    <d v="2017-03-25T00:00:00"/>
    <s v="Excel4Apps"/>
    <n v="1000"/>
    <n v="20090"/>
    <n v="9840"/>
    <n v="10250"/>
  </r>
  <r>
    <s v="Training"/>
    <x v="0"/>
    <x v="0"/>
    <x v="0"/>
    <s v="Gizmo"/>
    <d v="2017-03-26T00:00:00"/>
    <s v="599CD.com"/>
    <n v="1000"/>
    <n v="23090"/>
    <n v="10220"/>
    <n v="12870"/>
  </r>
  <r>
    <s v="Training"/>
    <x v="2"/>
    <x v="6"/>
    <x v="6"/>
    <s v="Gadget"/>
    <d v="2017-03-28T00:00:00"/>
    <s v="MyOnlineTrainingHub.com"/>
    <n v="900"/>
    <n v="21357"/>
    <n v="8856"/>
    <n v="12501"/>
  </r>
  <r>
    <s v="Software"/>
    <x v="0"/>
    <x v="0"/>
    <x v="0"/>
    <s v="Widget"/>
    <d v="2017-03-28T00:00:00"/>
    <s v="Excel4Apps"/>
    <n v="300"/>
    <n v="5358"/>
    <n v="2541"/>
    <n v="2817"/>
  </r>
  <r>
    <s v="Training"/>
    <x v="1"/>
    <x v="1"/>
    <x v="1"/>
    <s v="Gadget"/>
    <d v="2017-03-30T00:00:00"/>
    <s v="CPASelfStudy.com"/>
    <n v="800"/>
    <n v="16016"/>
    <n v="7872"/>
    <n v="8144"/>
  </r>
  <r>
    <s v="Training"/>
    <x v="2"/>
    <x v="6"/>
    <x v="6"/>
    <s v="Gizmo"/>
    <d v="2017-04-01T00:00:00"/>
    <s v="MyOnlineTrainingHub.com"/>
    <n v="600"/>
    <n v="14448"/>
    <n v="6132"/>
    <n v="8316"/>
  </r>
  <r>
    <s v="Training"/>
    <x v="2"/>
    <x v="6"/>
    <x v="6"/>
    <s v="Widget"/>
    <d v="2017-04-02T00:00:00"/>
    <s v="MyOnlineTrainingHub.com"/>
    <n v="300"/>
    <n v="5370"/>
    <n v="2541"/>
    <n v="2829"/>
  </r>
  <r>
    <s v="Training"/>
    <x v="0"/>
    <x v="8"/>
    <x v="8"/>
    <s v="Gizmo"/>
    <d v="2017-04-04T00:00:00"/>
    <s v="Profology.com"/>
    <n v="800"/>
    <n v="20408"/>
    <n v="8176"/>
    <n v="12232"/>
  </r>
  <r>
    <s v="Retail"/>
    <x v="2"/>
    <x v="2"/>
    <x v="2"/>
    <s v="Gadget"/>
    <d v="2017-04-04T00:00:00"/>
    <s v="Hartville MarketPlace and Flea Market"/>
    <n v="400"/>
    <n v="8632"/>
    <n v="3936"/>
    <n v="4696"/>
  </r>
  <r>
    <s v="Retail"/>
    <x v="2"/>
    <x v="2"/>
    <x v="2"/>
    <s v="Gadget"/>
    <d v="2017-04-04T00:00:00"/>
    <s v="Hartville MarketPlace and Flea Market"/>
    <n v="300"/>
    <n v="6588"/>
    <n v="2952"/>
    <n v="3636"/>
  </r>
  <r>
    <s v="Software"/>
    <x v="1"/>
    <x v="1"/>
    <x v="1"/>
    <s v="Gizmo"/>
    <d v="2017-04-05T00:00:00"/>
    <s v="F-Keys Ltd."/>
    <n v="100"/>
    <n v="2466"/>
    <n v="1022"/>
    <n v="1444"/>
  </r>
  <r>
    <s v="Professional"/>
    <x v="2"/>
    <x v="9"/>
    <x v="9"/>
    <s v="Widget"/>
    <d v="2017-04-07T00:00:00"/>
    <s v="Serving Brevard Realty"/>
    <n v="700"/>
    <n v="14686"/>
    <n v="5929"/>
    <n v="8757"/>
  </r>
  <r>
    <s v="Training"/>
    <x v="1"/>
    <x v="1"/>
    <x v="1"/>
    <s v="Widget"/>
    <d v="2017-04-07T00:00:00"/>
    <s v="CPASelfStudy.com"/>
    <n v="300"/>
    <n v="5886"/>
    <n v="2541"/>
    <n v="3345"/>
  </r>
  <r>
    <s v="Retail"/>
    <x v="2"/>
    <x v="2"/>
    <x v="2"/>
    <s v="Gadget"/>
    <d v="2017-04-10T00:00:00"/>
    <s v="Hartville MarketPlace and Flea Market"/>
    <n v="500"/>
    <n v="12095"/>
    <n v="4920"/>
    <n v="7175"/>
  </r>
  <r>
    <s v="Training"/>
    <x v="1"/>
    <x v="1"/>
    <x v="1"/>
    <s v="Gizmo"/>
    <d v="2017-04-11T00:00:00"/>
    <s v="LearnExcelBooks.com"/>
    <n v="900"/>
    <n v="19539"/>
    <n v="9198"/>
    <n v="10341"/>
  </r>
  <r>
    <s v="Training"/>
    <x v="1"/>
    <x v="1"/>
    <x v="1"/>
    <s v="Widget"/>
    <d v="2017-04-12T00:00:00"/>
    <s v="CPASelfStudy.com"/>
    <n v="300"/>
    <n v="6063"/>
    <n v="2541"/>
    <n v="3522"/>
  </r>
  <r>
    <s v="Training"/>
    <x v="1"/>
    <x v="1"/>
    <x v="1"/>
    <s v="Widget"/>
    <d v="2017-04-13T00:00:00"/>
    <s v="CPASelfStudy.com"/>
    <n v="600"/>
    <n v="11598"/>
    <n v="5082"/>
    <n v="6516"/>
  </r>
  <r>
    <s v="Training"/>
    <x v="1"/>
    <x v="1"/>
    <x v="1"/>
    <s v="Widget"/>
    <d v="2017-04-14T00:00:00"/>
    <s v="MySpreadsheetLab"/>
    <n v="400"/>
    <n v="8016"/>
    <n v="3388"/>
    <n v="4628"/>
  </r>
  <r>
    <s v="Software"/>
    <x v="1"/>
    <x v="1"/>
    <x v="1"/>
    <s v="Gizmo"/>
    <d v="2017-04-20T00:00:00"/>
    <s v="F-Keys Ltd."/>
    <n v="1000"/>
    <n v="21880"/>
    <n v="10220"/>
    <n v="11660"/>
  </r>
  <r>
    <s v="Retail"/>
    <x v="3"/>
    <x v="4"/>
    <x v="4"/>
    <s v="Doodads"/>
    <d v="2017-04-20T00:00:00"/>
    <s v="Bits of Confetti"/>
    <n v="200"/>
    <n v="4948"/>
    <n v="2044"/>
    <n v="2904"/>
  </r>
  <r>
    <s v="Consultants"/>
    <x v="2"/>
    <x v="5"/>
    <x v="5"/>
    <s v="Gizmo"/>
    <d v="2017-04-22T00:00:00"/>
    <s v="Andrew Spain Consulting"/>
    <n v="700"/>
    <n v="15834"/>
    <n v="7154"/>
    <n v="8680"/>
  </r>
  <r>
    <s v="Training"/>
    <x v="0"/>
    <x v="0"/>
    <x v="0"/>
    <s v="Gadget"/>
    <d v="2017-04-23T00:00:00"/>
    <s v="599CD.com"/>
    <n v="100"/>
    <n v="2457"/>
    <n v="984"/>
    <n v="1473"/>
  </r>
  <r>
    <s v="Retail"/>
    <x v="2"/>
    <x v="2"/>
    <x v="2"/>
    <s v="Widget"/>
    <d v="2017-04-24T00:00:00"/>
    <s v="Hartville MarketPlace and Flea Market"/>
    <n v="300"/>
    <n v="5439"/>
    <n v="2541"/>
    <n v="2898"/>
  </r>
  <r>
    <s v="Consultants"/>
    <x v="2"/>
    <x v="5"/>
    <x v="5"/>
    <s v="Gadget"/>
    <d v="2017-04-25T00:00:00"/>
    <s v="Andrew Spain Consulting"/>
    <n v="500"/>
    <n v="11435"/>
    <n v="4920"/>
    <n v="6515"/>
  </r>
  <r>
    <s v="Software"/>
    <x v="0"/>
    <x v="0"/>
    <x v="0"/>
    <s v="Gizmo"/>
    <d v="2017-04-27T00:00:00"/>
    <s v="Excel4Apps"/>
    <n v="1000"/>
    <n v="22530"/>
    <n v="10220"/>
    <n v="12310"/>
  </r>
  <r>
    <s v="Training"/>
    <x v="0"/>
    <x v="0"/>
    <x v="0"/>
    <s v="Gizmo"/>
    <d v="2017-04-28T00:00:00"/>
    <s v="599CD.com"/>
    <n v="1000"/>
    <n v="25060"/>
    <n v="10220"/>
    <n v="14840"/>
  </r>
  <r>
    <s v="Consultants"/>
    <x v="2"/>
    <x v="2"/>
    <x v="2"/>
    <s v="Gizmo"/>
    <d v="2017-04-29T00:00:00"/>
    <s v="Cambia Factor"/>
    <n v="800"/>
    <n v="18264"/>
    <n v="8176"/>
    <n v="10088"/>
  </r>
  <r>
    <s v="Training"/>
    <x v="2"/>
    <x v="6"/>
    <x v="6"/>
    <s v="Gizmo"/>
    <d v="2017-04-30T00:00:00"/>
    <s v="MyOnlineTrainingHub.com"/>
    <n v="200"/>
    <n v="4124"/>
    <n v="2044"/>
    <n v="2080"/>
  </r>
  <r>
    <s v="Training"/>
    <x v="0"/>
    <x v="0"/>
    <x v="0"/>
    <s v="Widget"/>
    <d v="2017-05-01T00:00:00"/>
    <s v="599CD.com"/>
    <n v="200"/>
    <n v="3802"/>
    <n v="1694"/>
    <n v="2108"/>
  </r>
  <r>
    <s v="Consultants"/>
    <x v="0"/>
    <x v="8"/>
    <x v="8"/>
    <s v="Gadget"/>
    <d v="2017-05-01T00:00:00"/>
    <s v="Excelerator BI"/>
    <n v="800"/>
    <n v="19520"/>
    <n v="7872"/>
    <n v="11648"/>
  </r>
  <r>
    <s v="Professional"/>
    <x v="2"/>
    <x v="9"/>
    <x v="9"/>
    <s v="Gizmo"/>
    <d v="2017-05-03T00:00:00"/>
    <s v="Serving Brevard Realty"/>
    <n v="800"/>
    <n v="19288"/>
    <n v="8176"/>
    <n v="11112"/>
  </r>
  <r>
    <s v="Training"/>
    <x v="2"/>
    <x v="6"/>
    <x v="6"/>
    <s v="Widget"/>
    <d v="2017-05-05T00:00:00"/>
    <s v="MyOnlineTrainingHub.com"/>
    <n v="800"/>
    <n v="15592"/>
    <n v="6776"/>
    <n v="8816"/>
  </r>
  <r>
    <s v="Professional"/>
    <x v="2"/>
    <x v="9"/>
    <x v="9"/>
    <s v="Gizmo"/>
    <d v="2017-05-05T00:00:00"/>
    <s v="Serving Brevard Realty"/>
    <n v="300"/>
    <n v="6867"/>
    <n v="3066"/>
    <n v="3801"/>
  </r>
  <r>
    <s v="Training"/>
    <x v="2"/>
    <x v="6"/>
    <x v="6"/>
    <s v="Widget"/>
    <d v="2017-05-07T00:00:00"/>
    <s v="MyOnlineTrainingHub.com"/>
    <n v="600"/>
    <n v="12318"/>
    <n v="5082"/>
    <n v="7236"/>
  </r>
  <r>
    <s v="Professional"/>
    <x v="2"/>
    <x v="9"/>
    <x v="9"/>
    <s v="Gadget"/>
    <d v="2017-05-07T00:00:00"/>
    <s v="Serving Brevard Realty"/>
    <n v="400"/>
    <n v="8052"/>
    <n v="3936"/>
    <n v="4116"/>
  </r>
  <r>
    <s v="Consultants"/>
    <x v="2"/>
    <x v="5"/>
    <x v="5"/>
    <s v="Gadget"/>
    <d v="2017-05-08T00:00:00"/>
    <s v="Andrew Spain Consulting"/>
    <n v="800"/>
    <n v="17544"/>
    <n v="7872"/>
    <n v="9672"/>
  </r>
  <r>
    <s v="Training"/>
    <x v="1"/>
    <x v="1"/>
    <x v="1"/>
    <s v="Gadget"/>
    <d v="2017-05-09T00:00:00"/>
    <s v="LearnExcelBooks.com"/>
    <n v="700"/>
    <n v="16765"/>
    <n v="6888"/>
    <n v="9877"/>
  </r>
  <r>
    <s v="Retail"/>
    <x v="2"/>
    <x v="2"/>
    <x v="2"/>
    <s v="Widget"/>
    <d v="2017-05-11T00:00:00"/>
    <s v="Hartville MarketPlace and Flea Market"/>
    <n v="500"/>
    <n v="8785"/>
    <n v="4235"/>
    <n v="4550"/>
  </r>
  <r>
    <s v="Consultants"/>
    <x v="2"/>
    <x v="5"/>
    <x v="5"/>
    <s v="Gadget"/>
    <d v="2017-05-12T00:00:00"/>
    <s v="Andrew Spain Consulting"/>
    <n v="700"/>
    <n v="16772"/>
    <n v="6888"/>
    <n v="9884"/>
  </r>
  <r>
    <s v="Training"/>
    <x v="1"/>
    <x v="1"/>
    <x v="1"/>
    <s v="Widget"/>
    <d v="2017-05-13T00:00:00"/>
    <s v="CPASelfStudy.com"/>
    <n v="500"/>
    <n v="9380"/>
    <n v="4235"/>
    <n v="5145"/>
  </r>
  <r>
    <s v="Consultants"/>
    <x v="2"/>
    <x v="5"/>
    <x v="5"/>
    <s v="Gizmo"/>
    <d v="2017-05-13T00:00:00"/>
    <s v="Andrew Spain Consulting"/>
    <n v="500"/>
    <n v="12625"/>
    <n v="5110"/>
    <n v="7515"/>
  </r>
  <r>
    <s v="Training"/>
    <x v="0"/>
    <x v="7"/>
    <x v="7"/>
    <s v="Widget"/>
    <d v="2017-05-14T00:00:00"/>
    <s v="ExcelTricks.de"/>
    <n v="500"/>
    <n v="9635"/>
    <n v="4235"/>
    <n v="5400"/>
  </r>
  <r>
    <s v="Professional"/>
    <x v="2"/>
    <x v="9"/>
    <x v="9"/>
    <s v="Gadget"/>
    <d v="2017-05-16T00:00:00"/>
    <s v="Serving Brevard Realty"/>
    <n v="300"/>
    <n v="6156"/>
    <n v="2952"/>
    <n v="3204"/>
  </r>
  <r>
    <s v="Training"/>
    <x v="0"/>
    <x v="8"/>
    <x v="8"/>
    <s v="Gadget"/>
    <d v="2017-05-19T00:00:00"/>
    <s v="Profology.com"/>
    <n v="900"/>
    <n v="17757"/>
    <n v="8856"/>
    <n v="8901"/>
  </r>
  <r>
    <s v="Consultants"/>
    <x v="3"/>
    <x v="4"/>
    <x v="4"/>
    <s v="Gizmo"/>
    <d v="2017-05-20T00:00:00"/>
    <s v="Fintega Financial Modelling"/>
    <n v="200"/>
    <n v="4846"/>
    <n v="2044"/>
    <n v="2802"/>
  </r>
  <r>
    <s v="Training"/>
    <x v="1"/>
    <x v="1"/>
    <x v="1"/>
    <s v="Widget"/>
    <d v="2017-05-21T00:00:00"/>
    <s v="CPASelfStudy.com"/>
    <n v="600"/>
    <n v="11208"/>
    <n v="5082"/>
    <n v="6126"/>
  </r>
  <r>
    <s v="Training"/>
    <x v="2"/>
    <x v="6"/>
    <x v="6"/>
    <s v="Gadget"/>
    <d v="2017-05-22T00:00:00"/>
    <s v="MyOnlineTrainingHub.com"/>
    <n v="500"/>
    <n v="10195"/>
    <n v="4920"/>
    <n v="5275"/>
  </r>
  <r>
    <s v="Software"/>
    <x v="1"/>
    <x v="1"/>
    <x v="1"/>
    <s v="Widget"/>
    <d v="2017-05-23T00:00:00"/>
    <s v="F-Keys Ltd."/>
    <n v="200"/>
    <n v="4012"/>
    <n v="1694"/>
    <n v="2318"/>
  </r>
  <r>
    <s v="Software"/>
    <x v="0"/>
    <x v="0"/>
    <x v="0"/>
    <s v="Widget"/>
    <d v="2017-05-23T00:00:00"/>
    <s v="Excel4Apps"/>
    <n v="700"/>
    <n v="12803"/>
    <n v="5929"/>
    <n v="6874"/>
  </r>
  <r>
    <s v="Retail"/>
    <x v="2"/>
    <x v="2"/>
    <x v="2"/>
    <s v="Gadget"/>
    <d v="2017-05-24T00:00:00"/>
    <s v="Hartville MarketPlace and Flea Market"/>
    <n v="100"/>
    <n v="2319"/>
    <n v="984"/>
    <n v="1335"/>
  </r>
  <r>
    <s v="Software"/>
    <x v="0"/>
    <x v="0"/>
    <x v="0"/>
    <s v="Widget"/>
    <d v="2017-05-24T00:00:00"/>
    <s v="Excel4Apps"/>
    <n v="600"/>
    <n v="11700"/>
    <n v="5082"/>
    <n v="6618"/>
  </r>
  <r>
    <s v="Retail"/>
    <x v="2"/>
    <x v="2"/>
    <x v="2"/>
    <s v="Gadget"/>
    <d v="2017-05-26T00:00:00"/>
    <s v="Hartville MarketPlace and Flea Market"/>
    <n v="600"/>
    <n v="12048"/>
    <n v="5904"/>
    <n v="6144"/>
  </r>
  <r>
    <s v="Training"/>
    <x v="1"/>
    <x v="1"/>
    <x v="1"/>
    <s v="Gizmo"/>
    <d v="2017-05-28T00:00:00"/>
    <s v="LearnExcelBooks.com"/>
    <n v="700"/>
    <n v="14469"/>
    <n v="7154"/>
    <n v="7315"/>
  </r>
  <r>
    <s v="Retail"/>
    <x v="2"/>
    <x v="2"/>
    <x v="2"/>
    <s v="Widget"/>
    <d v="2017-05-29T00:00:00"/>
    <s v="Hartville MarketPlace and Flea Market"/>
    <n v="900"/>
    <n v="17964"/>
    <n v="7623"/>
    <n v="10341"/>
  </r>
  <r>
    <s v="Training"/>
    <x v="2"/>
    <x v="6"/>
    <x v="6"/>
    <s v="Widget"/>
    <d v="2017-05-30T00:00:00"/>
    <s v="MyOnlineTrainingHub.com"/>
    <n v="700"/>
    <n v="13412"/>
    <n v="5929"/>
    <n v="7483"/>
  </r>
  <r>
    <s v="Software"/>
    <x v="0"/>
    <x v="0"/>
    <x v="0"/>
    <s v="Gizmo"/>
    <d v="2017-05-30T00:00:00"/>
    <s v="Excel4Apps"/>
    <n v="300"/>
    <n v="6660"/>
    <n v="3066"/>
    <n v="3594"/>
  </r>
  <r>
    <s v="Training"/>
    <x v="1"/>
    <x v="1"/>
    <x v="1"/>
    <s v="Gizmo"/>
    <d v="2017-05-31T00:00:00"/>
    <s v="CPASelfStudy.com"/>
    <n v="900"/>
    <n v="18918"/>
    <n v="9198"/>
    <n v="9720"/>
  </r>
  <r>
    <s v="Software"/>
    <x v="0"/>
    <x v="0"/>
    <x v="0"/>
    <s v="Widget"/>
    <d v="2017-06-01T00:00:00"/>
    <s v="Excel4Apps"/>
    <n v="700"/>
    <n v="13986"/>
    <n v="5929"/>
    <n v="8057"/>
  </r>
  <r>
    <s v="Training"/>
    <x v="1"/>
    <x v="1"/>
    <x v="1"/>
    <s v="Gadget"/>
    <d v="2017-06-03T00:00:00"/>
    <s v="LearnExcelBooks.com"/>
    <n v="1000"/>
    <n v="20480"/>
    <n v="9840"/>
    <n v="10640"/>
  </r>
  <r>
    <s v="Consultants"/>
    <x v="2"/>
    <x v="5"/>
    <x v="5"/>
    <s v="Gizmo"/>
    <d v="2017-06-06T00:00:00"/>
    <s v="Andrew Spain Consulting"/>
    <n v="200"/>
    <n v="4264"/>
    <n v="2044"/>
    <n v="2220"/>
  </r>
  <r>
    <s v="Retail"/>
    <x v="0"/>
    <x v="10"/>
    <x v="10"/>
    <s v="Gadget"/>
    <d v="2017-06-07T00:00:00"/>
    <s v="New Hope Laundry"/>
    <n v="200"/>
    <n v="4282"/>
    <n v="1968"/>
    <n v="2314"/>
  </r>
  <r>
    <s v="Training"/>
    <x v="1"/>
    <x v="1"/>
    <x v="1"/>
    <s v="Gizmo"/>
    <d v="2017-06-08T00:00:00"/>
    <s v="LearnExcelBooks.com"/>
    <n v="500"/>
    <n v="12135"/>
    <n v="5110"/>
    <n v="7025"/>
  </r>
  <r>
    <s v="Training"/>
    <x v="1"/>
    <x v="1"/>
    <x v="1"/>
    <s v="Gadget"/>
    <d v="2017-06-10T00:00:00"/>
    <s v="LearnExcelBooks.com"/>
    <n v="200"/>
    <n v="4286"/>
    <n v="1968"/>
    <n v="2318"/>
  </r>
  <r>
    <s v="Software"/>
    <x v="1"/>
    <x v="1"/>
    <x v="1"/>
    <s v="Gizmo"/>
    <d v="2017-06-12T00:00:00"/>
    <s v="F-Keys Ltd."/>
    <n v="500"/>
    <n v="10650"/>
    <n v="5110"/>
    <n v="5540"/>
  </r>
  <r>
    <s v="Software"/>
    <x v="1"/>
    <x v="1"/>
    <x v="1"/>
    <s v="Widget"/>
    <d v="2017-06-13T00:00:00"/>
    <s v="F-Keys Ltd."/>
    <n v="1000"/>
    <n v="19630"/>
    <n v="8470"/>
    <n v="11160"/>
  </r>
  <r>
    <s v="Training"/>
    <x v="1"/>
    <x v="1"/>
    <x v="1"/>
    <s v="Widget"/>
    <d v="2017-06-14T00:00:00"/>
    <s v="CPASelfStudy.com"/>
    <n v="700"/>
    <n v="12838"/>
    <n v="5929"/>
    <n v="6909"/>
  </r>
  <r>
    <s v="Training"/>
    <x v="0"/>
    <x v="0"/>
    <x v="0"/>
    <s v="Widget"/>
    <d v="2017-06-15T00:00:00"/>
    <s v="599CD.com"/>
    <n v="200"/>
    <n v="3856"/>
    <n v="1694"/>
    <n v="2162"/>
  </r>
  <r>
    <s v="Software"/>
    <x v="1"/>
    <x v="1"/>
    <x v="1"/>
    <s v="Gadget"/>
    <d v="2017-06-19T00:00:00"/>
    <s v="Vertex42"/>
    <n v="1000"/>
    <n v="22140"/>
    <n v="9840"/>
    <n v="12300"/>
  </r>
  <r>
    <s v="Training"/>
    <x v="1"/>
    <x v="1"/>
    <x v="1"/>
    <s v="Widget"/>
    <d v="2017-06-23T00:00:00"/>
    <s v="LearnExcelBooks.com"/>
    <n v="500"/>
    <n v="10330"/>
    <n v="4235"/>
    <n v="6095"/>
  </r>
  <r>
    <s v="Retail"/>
    <x v="2"/>
    <x v="2"/>
    <x v="2"/>
    <s v="Widget"/>
    <d v="2017-06-24T00:00:00"/>
    <s v="Hartville MarketPlace and Flea Market"/>
    <n v="100"/>
    <n v="1882"/>
    <n v="847"/>
    <n v="1035"/>
  </r>
  <r>
    <s v="Training"/>
    <x v="0"/>
    <x v="0"/>
    <x v="0"/>
    <s v="Gadget"/>
    <d v="2017-06-25T00:00:00"/>
    <s v="599CD.com"/>
    <n v="100"/>
    <n v="2221"/>
    <n v="984"/>
    <n v="1237"/>
  </r>
  <r>
    <s v="Retail"/>
    <x v="2"/>
    <x v="2"/>
    <x v="2"/>
    <s v="Widget"/>
    <d v="2017-06-26T00:00:00"/>
    <s v="Hartville MarketPlace and Flea Market"/>
    <n v="700"/>
    <n v="13734"/>
    <n v="5929"/>
    <n v="7805"/>
  </r>
  <r>
    <s v="Professional"/>
    <x v="2"/>
    <x v="9"/>
    <x v="9"/>
    <s v="Gadget"/>
    <d v="2017-06-26T00:00:00"/>
    <s v="Serving Brevard Realty"/>
    <n v="800"/>
    <n v="15856"/>
    <n v="7872"/>
    <n v="7984"/>
  </r>
  <r>
    <s v="Consultants"/>
    <x v="3"/>
    <x v="4"/>
    <x v="4"/>
    <s v="Gadget"/>
    <d v="2017-06-27T00:00:00"/>
    <s v="Data2Impact"/>
    <n v="200"/>
    <n v="4754"/>
    <n v="1968"/>
    <n v="2786"/>
  </r>
  <r>
    <s v="Retail"/>
    <x v="2"/>
    <x v="2"/>
    <x v="2"/>
    <s v="Gadget"/>
    <d v="2017-06-30T00:00:00"/>
    <s v="Hartville MarketPlace and Flea Market"/>
    <n v="100"/>
    <n v="2231"/>
    <n v="984"/>
    <n v="1247"/>
  </r>
  <r>
    <s v="Training"/>
    <x v="1"/>
    <x v="1"/>
    <x v="1"/>
    <s v="Gizmo"/>
    <d v="2017-07-02T00:00:00"/>
    <s v="CPASelfStudy.com"/>
    <n v="900"/>
    <n v="21960"/>
    <n v="9198"/>
    <n v="12762"/>
  </r>
  <r>
    <s v="Software"/>
    <x v="0"/>
    <x v="7"/>
    <x v="7"/>
    <s v="Gizmo"/>
    <d v="2017-07-03T00:00:00"/>
    <s v="Frontline Systems"/>
    <n v="300"/>
    <n v="7167"/>
    <n v="3066"/>
    <n v="4101"/>
  </r>
  <r>
    <s v="Consultants"/>
    <x v="2"/>
    <x v="5"/>
    <x v="5"/>
    <s v="Gizmo"/>
    <d v="2017-07-03T00:00:00"/>
    <s v="Andrew Spain Consulting"/>
    <n v="900"/>
    <n v="22716"/>
    <n v="9198"/>
    <n v="13518"/>
  </r>
  <r>
    <s v="Training"/>
    <x v="2"/>
    <x v="6"/>
    <x v="6"/>
    <s v="Gizmo"/>
    <d v="2017-07-04T00:00:00"/>
    <s v="MyOnlineTrainingHub.com"/>
    <n v="900"/>
    <n v="19062"/>
    <n v="9198"/>
    <n v="9864"/>
  </r>
  <r>
    <s v="Software"/>
    <x v="0"/>
    <x v="0"/>
    <x v="0"/>
    <s v="Gizmo"/>
    <d v="2017-07-05T00:00:00"/>
    <s v="Excel4Apps"/>
    <n v="300"/>
    <n v="7593"/>
    <n v="3066"/>
    <n v="4527"/>
  </r>
  <r>
    <s v="Retail"/>
    <x v="2"/>
    <x v="2"/>
    <x v="2"/>
    <s v="Gadget"/>
    <d v="2017-07-08T00:00:00"/>
    <s v="Hartville MarketPlace and Flea Market"/>
    <n v="900"/>
    <n v="21168"/>
    <n v="8856"/>
    <n v="12312"/>
  </r>
  <r>
    <s v="Training"/>
    <x v="0"/>
    <x v="7"/>
    <x v="7"/>
    <s v="Gizmo"/>
    <d v="2017-07-10T00:00:00"/>
    <s v="ExcelTricks.de"/>
    <n v="1000"/>
    <n v="24130"/>
    <n v="10220"/>
    <n v="13910"/>
  </r>
  <r>
    <s v="Retail"/>
    <x v="0"/>
    <x v="10"/>
    <x v="10"/>
    <s v="Gizmo"/>
    <d v="2017-07-11T00:00:00"/>
    <s v="New Hope Laundry"/>
    <n v="400"/>
    <n v="8876"/>
    <n v="4088"/>
    <n v="4788"/>
  </r>
  <r>
    <s v="Training"/>
    <x v="1"/>
    <x v="1"/>
    <x v="1"/>
    <s v="Gadget"/>
    <d v="2017-07-14T00:00:00"/>
    <s v="CPASelfStudy.com"/>
    <n v="900"/>
    <n v="21555"/>
    <n v="8856"/>
    <n v="12699"/>
  </r>
  <r>
    <s v="Training"/>
    <x v="1"/>
    <x v="1"/>
    <x v="1"/>
    <s v="Widget"/>
    <d v="2017-07-15T00:00:00"/>
    <s v="LearnExcelBooks.com"/>
    <n v="300"/>
    <n v="5967"/>
    <n v="2541"/>
    <n v="3426"/>
  </r>
  <r>
    <s v="Training"/>
    <x v="0"/>
    <x v="0"/>
    <x v="0"/>
    <s v="Gizmo"/>
    <d v="2017-07-15T00:00:00"/>
    <s v="599CD.com"/>
    <n v="700"/>
    <n v="15876"/>
    <n v="7154"/>
    <n v="8722"/>
  </r>
  <r>
    <s v="Professional"/>
    <x v="2"/>
    <x v="9"/>
    <x v="9"/>
    <s v="Gizmo"/>
    <d v="2017-07-17T00:00:00"/>
    <s v="Serving Brevard Realty"/>
    <n v="1000"/>
    <n v="25350"/>
    <n v="10220"/>
    <n v="15130"/>
  </r>
  <r>
    <s v="Training"/>
    <x v="1"/>
    <x v="1"/>
    <x v="1"/>
    <s v="Gadget"/>
    <d v="2017-07-18T00:00:00"/>
    <s v="LearnExcelBooks.com"/>
    <n v="500"/>
    <n v="11545"/>
    <n v="4920"/>
    <n v="6625"/>
  </r>
  <r>
    <s v="Professional"/>
    <x v="2"/>
    <x v="6"/>
    <x v="6"/>
    <s v="Widget"/>
    <d v="2017-07-18T00:00:00"/>
    <s v="Juliet Babcock-Hyde CPA, PLLC"/>
    <n v="200"/>
    <n v="4158"/>
    <n v="1694"/>
    <n v="2464"/>
  </r>
  <r>
    <s v="Software"/>
    <x v="0"/>
    <x v="0"/>
    <x v="0"/>
    <s v="Widget"/>
    <d v="2017-07-20T00:00:00"/>
    <s v="Excel4Apps"/>
    <n v="600"/>
    <n v="12684"/>
    <n v="5082"/>
    <n v="7602"/>
  </r>
  <r>
    <s v="Consultants"/>
    <x v="2"/>
    <x v="5"/>
    <x v="5"/>
    <s v="Widget"/>
    <d v="2017-07-22T00:00:00"/>
    <s v="Andrew Spain Consulting"/>
    <n v="1000"/>
    <n v="18660"/>
    <n v="8470"/>
    <n v="10190"/>
  </r>
  <r>
    <s v="Training"/>
    <x v="2"/>
    <x v="6"/>
    <x v="6"/>
    <s v="Gadget"/>
    <d v="2017-07-23T00:00:00"/>
    <s v="MyOnlineTrainingHub.com"/>
    <n v="500"/>
    <n v="11660"/>
    <n v="4920"/>
    <n v="6740"/>
  </r>
  <r>
    <s v="Software"/>
    <x v="0"/>
    <x v="0"/>
    <x v="0"/>
    <s v="Gadget"/>
    <d v="2017-07-26T00:00:00"/>
    <s v="Excel4Apps"/>
    <n v="800"/>
    <n v="15816"/>
    <n v="7872"/>
    <n v="7944"/>
  </r>
  <r>
    <s v="Software"/>
    <x v="0"/>
    <x v="7"/>
    <x v="7"/>
    <s v="Gizmo"/>
    <d v="2017-07-27T00:00:00"/>
    <s v="Frontline Systems"/>
    <n v="1000"/>
    <n v="23890"/>
    <n v="10220"/>
    <n v="13670"/>
  </r>
  <r>
    <s v="Software"/>
    <x v="1"/>
    <x v="1"/>
    <x v="1"/>
    <s v="Gadget"/>
    <d v="2017-07-28T00:00:00"/>
    <s v="F-Keys Ltd."/>
    <n v="600"/>
    <n v="13866"/>
    <n v="5904"/>
    <n v="7962"/>
  </r>
  <r>
    <s v="Consultants"/>
    <x v="3"/>
    <x v="4"/>
    <x v="4"/>
    <s v="Widget"/>
    <d v="2017-07-29T00:00:00"/>
    <s v="Fintega Financial Modelling"/>
    <n v="1000"/>
    <n v="17840"/>
    <n v="8470"/>
    <n v="9370"/>
  </r>
  <r>
    <s v="Consultants"/>
    <x v="2"/>
    <x v="5"/>
    <x v="5"/>
    <s v="Widget"/>
    <d v="2017-07-29T00:00:00"/>
    <s v="Andrew Spain Consulting"/>
    <n v="800"/>
    <n v="13936"/>
    <n v="6776"/>
    <n v="7160"/>
  </r>
  <r>
    <s v="Training"/>
    <x v="1"/>
    <x v="1"/>
    <x v="1"/>
    <s v="Gizmo"/>
    <d v="2017-07-30T00:00:00"/>
    <s v="CPASelfStudy.com"/>
    <n v="600"/>
    <n v="12984"/>
    <n v="6132"/>
    <n v="6852"/>
  </r>
  <r>
    <s v="Training"/>
    <x v="1"/>
    <x v="1"/>
    <x v="1"/>
    <s v="Gadget"/>
    <d v="2017-07-31T00:00:00"/>
    <s v="MySpreadsheetLab"/>
    <n v="1000"/>
    <n v="21800"/>
    <n v="9840"/>
    <n v="11960"/>
  </r>
  <r>
    <s v="Consultants"/>
    <x v="2"/>
    <x v="5"/>
    <x v="5"/>
    <s v="Widget"/>
    <d v="2017-07-31T00:00:00"/>
    <s v="Andrew Spain Consulting"/>
    <n v="300"/>
    <n v="5508"/>
    <n v="2541"/>
    <n v="2967"/>
  </r>
  <r>
    <s v="Retail"/>
    <x v="2"/>
    <x v="2"/>
    <x v="2"/>
    <s v="Gizmo"/>
    <d v="2017-08-03T00:00:00"/>
    <s v="Hartville MarketPlace and Flea Market"/>
    <n v="400"/>
    <n v="9704"/>
    <n v="4088"/>
    <n v="5616"/>
  </r>
  <r>
    <s v="Professional"/>
    <x v="2"/>
    <x v="6"/>
    <x v="6"/>
    <s v="Gizmo"/>
    <d v="2017-08-04T00:00:00"/>
    <s v="Juliet Babcock-Hyde CPA, PLLC"/>
    <n v="600"/>
    <n v="13962"/>
    <n v="6132"/>
    <n v="7830"/>
  </r>
  <r>
    <s v="Retail"/>
    <x v="2"/>
    <x v="2"/>
    <x v="2"/>
    <s v="Widget"/>
    <d v="2017-08-05T00:00:00"/>
    <s v="Hartville MarketPlace and Flea Market"/>
    <n v="700"/>
    <n v="13433"/>
    <n v="5929"/>
    <n v="7504"/>
  </r>
  <r>
    <s v="Professional"/>
    <x v="2"/>
    <x v="9"/>
    <x v="9"/>
    <s v="Widget"/>
    <d v="2017-08-06T00:00:00"/>
    <s v="Serving Brevard Realty"/>
    <n v="800"/>
    <n v="15288"/>
    <n v="6776"/>
    <n v="8512"/>
  </r>
  <r>
    <s v="Software"/>
    <x v="0"/>
    <x v="0"/>
    <x v="0"/>
    <s v="Gizmo"/>
    <d v="2017-08-06T00:00:00"/>
    <s v="Excel4Apps"/>
    <n v="900"/>
    <n v="19584"/>
    <n v="9198"/>
    <n v="10386"/>
  </r>
  <r>
    <s v="Training"/>
    <x v="1"/>
    <x v="1"/>
    <x v="1"/>
    <s v="Gizmo"/>
    <d v="2017-08-07T00:00:00"/>
    <s v="CPASelfStudy.com"/>
    <n v="100"/>
    <n v="2320"/>
    <n v="1022"/>
    <n v="1298"/>
  </r>
  <r>
    <s v="Training"/>
    <x v="2"/>
    <x v="6"/>
    <x v="6"/>
    <s v="Gadget"/>
    <d v="2017-08-12T00:00:00"/>
    <s v="MyOnlineTrainingHub.com"/>
    <n v="800"/>
    <n v="16936"/>
    <n v="7872"/>
    <n v="9064"/>
  </r>
  <r>
    <s v="Training"/>
    <x v="0"/>
    <x v="0"/>
    <x v="0"/>
    <s v="Widget"/>
    <d v="2017-08-14T00:00:00"/>
    <s v="599CD.com"/>
    <n v="300"/>
    <n v="6138"/>
    <n v="2541"/>
    <n v="3597"/>
  </r>
  <r>
    <s v="Training"/>
    <x v="1"/>
    <x v="1"/>
    <x v="1"/>
    <s v="Gadget"/>
    <d v="2017-08-14T00:00:00"/>
    <s v="LearnExcelBooks.com"/>
    <n v="600"/>
    <n v="12030"/>
    <n v="5904"/>
    <n v="6126"/>
  </r>
  <r>
    <s v="Professional"/>
    <x v="2"/>
    <x v="9"/>
    <x v="9"/>
    <s v="Gizmo"/>
    <d v="2017-08-16T00:00:00"/>
    <s v="Serving Brevard Realty"/>
    <n v="400"/>
    <n v="9384"/>
    <n v="4088"/>
    <n v="5296"/>
  </r>
  <r>
    <s v="Retail"/>
    <x v="2"/>
    <x v="2"/>
    <x v="2"/>
    <s v="Widget"/>
    <d v="2017-08-17T00:00:00"/>
    <s v="Hartville MarketPlace and Flea Market"/>
    <n v="300"/>
    <n v="5904"/>
    <n v="2541"/>
    <n v="3363"/>
  </r>
  <r>
    <s v="Retail"/>
    <x v="2"/>
    <x v="2"/>
    <x v="2"/>
    <s v="Widget"/>
    <d v="2017-08-19T00:00:00"/>
    <s v="Hartville MarketPlace and Flea Market"/>
    <n v="1000"/>
    <n v="21120"/>
    <n v="8470"/>
    <n v="12650"/>
  </r>
  <r>
    <s v="Professional"/>
    <x v="2"/>
    <x v="9"/>
    <x v="9"/>
    <s v="Gizmo"/>
    <d v="2017-08-20T00:00:00"/>
    <s v="Serving Brevard Realty"/>
    <n v="900"/>
    <n v="18684"/>
    <n v="9198"/>
    <n v="9486"/>
  </r>
  <r>
    <s v="Training"/>
    <x v="0"/>
    <x v="0"/>
    <x v="0"/>
    <s v="Widget"/>
    <d v="2017-08-20T00:00:00"/>
    <s v="599CD.com"/>
    <n v="100"/>
    <n v="1836"/>
    <n v="847"/>
    <n v="989"/>
  </r>
  <r>
    <s v="Training"/>
    <x v="2"/>
    <x v="6"/>
    <x v="6"/>
    <s v="Gizmo"/>
    <d v="2017-08-22T00:00:00"/>
    <s v="MyOnlineTrainingHub.com"/>
    <n v="600"/>
    <n v="15006"/>
    <n v="6132"/>
    <n v="8874"/>
  </r>
  <r>
    <s v="Training"/>
    <x v="1"/>
    <x v="1"/>
    <x v="1"/>
    <s v="Gadget"/>
    <d v="2017-08-22T00:00:00"/>
    <s v="MySpreadsheetLab"/>
    <n v="900"/>
    <n v="19989"/>
    <n v="8856"/>
    <n v="11133"/>
  </r>
  <r>
    <s v="Retail"/>
    <x v="3"/>
    <x v="4"/>
    <x v="4"/>
    <s v="Doodads"/>
    <d v="2017-08-25T00:00:00"/>
    <s v="Bits of Confetti"/>
    <n v="800"/>
    <n v="17856"/>
    <n v="8176"/>
    <n v="9680"/>
  </r>
  <r>
    <s v="Training"/>
    <x v="0"/>
    <x v="0"/>
    <x v="0"/>
    <s v="Widget"/>
    <d v="2017-08-25T00:00:00"/>
    <s v="599CD.com"/>
    <n v="100"/>
    <n v="1913"/>
    <n v="847"/>
    <n v="1066"/>
  </r>
  <r>
    <s v="Training"/>
    <x v="1"/>
    <x v="1"/>
    <x v="1"/>
    <s v="Gizmo"/>
    <d v="2017-08-25T00:00:00"/>
    <s v="CPASelfStudy.com"/>
    <n v="400"/>
    <n v="8744"/>
    <n v="4088"/>
    <n v="4656"/>
  </r>
  <r>
    <s v="Training"/>
    <x v="1"/>
    <x v="1"/>
    <x v="1"/>
    <s v="Gizmo"/>
    <d v="2017-08-26T00:00:00"/>
    <s v="MySpreadsheetLab"/>
    <n v="900"/>
    <n v="19368"/>
    <n v="9198"/>
    <n v="10170"/>
  </r>
  <r>
    <s v="Consultants"/>
    <x v="0"/>
    <x v="8"/>
    <x v="8"/>
    <s v="Widget"/>
    <d v="2017-08-27T00:00:00"/>
    <s v="Excelerator BI"/>
    <n v="100"/>
    <n v="1819"/>
    <n v="847"/>
    <n v="972"/>
  </r>
  <r>
    <s v="Training"/>
    <x v="2"/>
    <x v="6"/>
    <x v="6"/>
    <s v="Gizmo"/>
    <d v="2017-08-28T00:00:00"/>
    <s v="MyOnlineTrainingHub.com"/>
    <n v="500"/>
    <n v="10990"/>
    <n v="5110"/>
    <n v="5880"/>
  </r>
  <r>
    <s v="Training"/>
    <x v="2"/>
    <x v="6"/>
    <x v="6"/>
    <s v="Gizmo"/>
    <d v="2017-08-28T00:00:00"/>
    <s v="MyOnlineTrainingHub.com"/>
    <n v="200"/>
    <n v="4440"/>
    <n v="2044"/>
    <n v="2396"/>
  </r>
  <r>
    <s v="Software"/>
    <x v="1"/>
    <x v="1"/>
    <x v="1"/>
    <s v="Widget"/>
    <d v="2017-08-29T00:00:00"/>
    <s v="F-Keys Ltd."/>
    <n v="300"/>
    <n v="6309"/>
    <n v="2541"/>
    <n v="3768"/>
  </r>
  <r>
    <s v="Professional"/>
    <x v="2"/>
    <x v="9"/>
    <x v="9"/>
    <s v="Gadget"/>
    <d v="2017-08-30T00:00:00"/>
    <s v="Serving Brevard Realty"/>
    <n v="800"/>
    <n v="18904"/>
    <n v="7872"/>
    <n v="11032"/>
  </r>
  <r>
    <s v="Associations"/>
    <x v="1"/>
    <x v="1"/>
    <x v="1"/>
    <s v="Gizmo"/>
    <d v="2017-09-01T00:00:00"/>
    <s v="IMA Houston Chapter"/>
    <n v="800"/>
    <n v="18072"/>
    <n v="8176"/>
    <n v="9896"/>
  </r>
  <r>
    <s v="Consultants"/>
    <x v="2"/>
    <x v="5"/>
    <x v="5"/>
    <s v="Widget"/>
    <d v="2017-09-01T00:00:00"/>
    <s v="Andrew Spain Consulting"/>
    <n v="100"/>
    <n v="2012"/>
    <n v="847"/>
    <n v="1165"/>
  </r>
  <r>
    <s v="Training"/>
    <x v="0"/>
    <x v="0"/>
    <x v="0"/>
    <s v="Widget"/>
    <d v="2017-09-04T00:00:00"/>
    <s v="599CD.com"/>
    <n v="500"/>
    <n v="10295"/>
    <n v="4235"/>
    <n v="6060"/>
  </r>
  <r>
    <s v="Training"/>
    <x v="0"/>
    <x v="0"/>
    <x v="0"/>
    <s v="Widget"/>
    <d v="2017-09-05T00:00:00"/>
    <s v="599CD.com"/>
    <n v="400"/>
    <n v="7944"/>
    <n v="3388"/>
    <n v="4556"/>
  </r>
  <r>
    <s v="Training"/>
    <x v="1"/>
    <x v="1"/>
    <x v="1"/>
    <s v="Widget"/>
    <d v="2017-09-06T00:00:00"/>
    <s v="LearnExcelBooks.com"/>
    <n v="100"/>
    <n v="1957"/>
    <n v="847"/>
    <n v="1110"/>
  </r>
  <r>
    <s v="Software"/>
    <x v="1"/>
    <x v="1"/>
    <x v="1"/>
    <s v="Gadget"/>
    <d v="2017-09-10T00:00:00"/>
    <s v="F-Keys Ltd."/>
    <n v="700"/>
    <n v="15680"/>
    <n v="6888"/>
    <n v="8792"/>
  </r>
  <r>
    <s v="Training"/>
    <x v="2"/>
    <x v="6"/>
    <x v="6"/>
    <s v="Gadget"/>
    <d v="2017-09-10T00:00:00"/>
    <s v="MyOnlineTrainingHub.com"/>
    <n v="600"/>
    <n v="12756"/>
    <n v="5904"/>
    <n v="6852"/>
  </r>
  <r>
    <s v="Retail"/>
    <x v="2"/>
    <x v="2"/>
    <x v="2"/>
    <s v="Widget"/>
    <d v="2017-09-11T00:00:00"/>
    <s v="Hartville MarketPlace and Flea Market"/>
    <n v="300"/>
    <n v="5826"/>
    <n v="2541"/>
    <n v="3285"/>
  </r>
  <r>
    <s v="Training"/>
    <x v="1"/>
    <x v="1"/>
    <x v="1"/>
    <s v="Gizmo"/>
    <d v="2017-09-13T00:00:00"/>
    <s v="MySpreadsheetLab"/>
    <n v="800"/>
    <n v="20008"/>
    <n v="8176"/>
    <n v="11832"/>
  </r>
  <r>
    <s v="Training"/>
    <x v="1"/>
    <x v="1"/>
    <x v="1"/>
    <s v="Widget"/>
    <d v="2017-09-14T00:00:00"/>
    <s v="MySpreadsheetLab"/>
    <n v="300"/>
    <n v="5457"/>
    <n v="2541"/>
    <n v="2916"/>
  </r>
  <r>
    <s v="Retail"/>
    <x v="2"/>
    <x v="2"/>
    <x v="2"/>
    <s v="Widget"/>
    <d v="2017-09-15T00:00:00"/>
    <s v="Hartville MarketPlace and Flea Market"/>
    <n v="600"/>
    <n v="12330"/>
    <n v="5082"/>
    <n v="7248"/>
  </r>
  <r>
    <s v="Training"/>
    <x v="2"/>
    <x v="6"/>
    <x v="6"/>
    <s v="Gadget"/>
    <d v="2017-09-18T00:00:00"/>
    <s v="MyOnlineTrainingHub.com"/>
    <n v="500"/>
    <n v="11845"/>
    <n v="4920"/>
    <n v="6925"/>
  </r>
  <r>
    <s v="Consultants"/>
    <x v="2"/>
    <x v="2"/>
    <x v="2"/>
    <s v="Gadget"/>
    <d v="2017-09-19T00:00:00"/>
    <s v="Cambia Factor"/>
    <n v="800"/>
    <n v="16784"/>
    <n v="7872"/>
    <n v="8912"/>
  </r>
  <r>
    <s v="Software"/>
    <x v="0"/>
    <x v="0"/>
    <x v="0"/>
    <s v="Widget"/>
    <d v="2017-09-22T00:00:00"/>
    <s v="Excel4Apps"/>
    <n v="1000"/>
    <n v="17200"/>
    <n v="8470"/>
    <n v="8730"/>
  </r>
  <r>
    <s v="Training"/>
    <x v="1"/>
    <x v="1"/>
    <x v="1"/>
    <s v="Widget"/>
    <d v="2017-09-23T00:00:00"/>
    <s v="MySpreadsheetLab"/>
    <n v="600"/>
    <n v="10602"/>
    <n v="5082"/>
    <n v="5520"/>
  </r>
  <r>
    <s v="Training"/>
    <x v="2"/>
    <x v="6"/>
    <x v="6"/>
    <s v="Widget"/>
    <d v="2017-09-25T00:00:00"/>
    <s v="MyOnlineTrainingHub.com"/>
    <n v="500"/>
    <n v="9350"/>
    <n v="4235"/>
    <n v="5115"/>
  </r>
  <r>
    <s v="Software"/>
    <x v="0"/>
    <x v="0"/>
    <x v="0"/>
    <s v="Gizmo"/>
    <d v="2017-09-25T00:00:00"/>
    <s v="Excel4Apps"/>
    <n v="100"/>
    <n v="2095"/>
    <n v="1022"/>
    <n v="1073"/>
  </r>
  <r>
    <s v="Software"/>
    <x v="0"/>
    <x v="0"/>
    <x v="0"/>
    <s v="Gadget"/>
    <d v="2017-09-26T00:00:00"/>
    <s v="Excel4Apps"/>
    <n v="600"/>
    <n v="13728"/>
    <n v="5904"/>
    <n v="7824"/>
  </r>
  <r>
    <s v="Training"/>
    <x v="1"/>
    <x v="1"/>
    <x v="1"/>
    <s v="Widget"/>
    <d v="2017-09-27T00:00:00"/>
    <s v="CPASelfStudy.com"/>
    <n v="900"/>
    <n v="17712"/>
    <n v="7623"/>
    <n v="10089"/>
  </r>
  <r>
    <s v="Consultants"/>
    <x v="2"/>
    <x v="5"/>
    <x v="5"/>
    <s v="Gadget"/>
    <d v="2017-09-27T00:00:00"/>
    <s v="Andrew Spain Consulting"/>
    <n v="1000"/>
    <n v="23080"/>
    <n v="9840"/>
    <n v="13240"/>
  </r>
  <r>
    <s v="Consultants"/>
    <x v="2"/>
    <x v="5"/>
    <x v="5"/>
    <s v="Widget"/>
    <d v="2017-09-28T00:00:00"/>
    <s v="Andrew Spain Consulting"/>
    <n v="800"/>
    <n v="13552"/>
    <n v="6776"/>
    <n v="6776"/>
  </r>
  <r>
    <s v="Software"/>
    <x v="0"/>
    <x v="0"/>
    <x v="0"/>
    <s v="Gizmo"/>
    <d v="2017-09-29T00:00:00"/>
    <s v="Excel4Apps"/>
    <n v="600"/>
    <n v="12480"/>
    <n v="6132"/>
    <n v="6348"/>
  </r>
  <r>
    <s v="Training"/>
    <x v="1"/>
    <x v="1"/>
    <x v="1"/>
    <s v="Widget"/>
    <d v="2017-09-30T00:00:00"/>
    <s v="MySpreadsheetLab"/>
    <n v="900"/>
    <n v="15759"/>
    <n v="7623"/>
    <n v="8136"/>
  </r>
  <r>
    <s v="Training"/>
    <x v="1"/>
    <x v="1"/>
    <x v="1"/>
    <s v="Gadget"/>
    <d v="2017-10-02T00:00:00"/>
    <s v="CPASelfStudy.com"/>
    <n v="200"/>
    <n v="4866"/>
    <n v="1968"/>
    <n v="2898"/>
  </r>
  <r>
    <s v="Training"/>
    <x v="0"/>
    <x v="0"/>
    <x v="0"/>
    <s v="Widget"/>
    <d v="2017-10-03T00:00:00"/>
    <s v="599CD.com"/>
    <n v="100"/>
    <n v="1877"/>
    <n v="847"/>
    <n v="1030"/>
  </r>
  <r>
    <s v="Consultants"/>
    <x v="2"/>
    <x v="2"/>
    <x v="2"/>
    <s v="Gizmo"/>
    <d v="2017-10-06T00:00:00"/>
    <s v="Cambia Factor"/>
    <n v="800"/>
    <n v="16936"/>
    <n v="8176"/>
    <n v="8760"/>
  </r>
  <r>
    <s v="Consultants"/>
    <x v="2"/>
    <x v="5"/>
    <x v="5"/>
    <s v="Gizmo"/>
    <d v="2017-10-07T00:00:00"/>
    <s v="Andrew Spain Consulting"/>
    <n v="700"/>
    <n v="15715"/>
    <n v="7154"/>
    <n v="8561"/>
  </r>
  <r>
    <s v="Training"/>
    <x v="1"/>
    <x v="1"/>
    <x v="1"/>
    <s v="Gizmo"/>
    <d v="2017-10-08T00:00:00"/>
    <s v="MySpreadsheetLab"/>
    <n v="800"/>
    <n v="18208"/>
    <n v="8176"/>
    <n v="10032"/>
  </r>
  <r>
    <s v="Retail"/>
    <x v="3"/>
    <x v="4"/>
    <x v="4"/>
    <s v="Gadget"/>
    <d v="2017-10-08T00:00:00"/>
    <s v="Bits of Confetti"/>
    <n v="100"/>
    <n v="2358"/>
    <n v="984"/>
    <n v="1374"/>
  </r>
  <r>
    <s v="Training"/>
    <x v="1"/>
    <x v="1"/>
    <x v="1"/>
    <s v="Gizmo"/>
    <d v="2017-10-10T00:00:00"/>
    <s v="LearnExcelBooks.com"/>
    <n v="400"/>
    <n v="8560"/>
    <n v="4088"/>
    <n v="4472"/>
  </r>
  <r>
    <s v="Training"/>
    <x v="1"/>
    <x v="1"/>
    <x v="1"/>
    <s v="Gadget"/>
    <d v="2017-10-12T00:00:00"/>
    <s v="LearnExcelBooks.com"/>
    <n v="1000"/>
    <n v="20190"/>
    <n v="9840"/>
    <n v="10350"/>
  </r>
  <r>
    <s v="Training"/>
    <x v="3"/>
    <x v="4"/>
    <x v="4"/>
    <s v="Gizmo"/>
    <d v="2017-10-13T00:00:00"/>
    <s v="Lake Local School District"/>
    <n v="300"/>
    <n v="7032"/>
    <n v="3066"/>
    <n v="3966"/>
  </r>
  <r>
    <s v="Training"/>
    <x v="1"/>
    <x v="1"/>
    <x v="1"/>
    <s v="Gizmo"/>
    <d v="2017-10-15T00:00:00"/>
    <s v="MySpreadsheetLab"/>
    <n v="100"/>
    <n v="2517"/>
    <n v="1022"/>
    <n v="1495"/>
  </r>
  <r>
    <s v="Retail"/>
    <x v="2"/>
    <x v="2"/>
    <x v="2"/>
    <s v="Gizmo"/>
    <d v="2017-10-16T00:00:00"/>
    <s v="Hartville MarketPlace and Flea Market"/>
    <n v="500"/>
    <n v="10550"/>
    <n v="5110"/>
    <n v="5440"/>
  </r>
  <r>
    <s v="Professional"/>
    <x v="2"/>
    <x v="9"/>
    <x v="9"/>
    <s v="Widget"/>
    <d v="2017-10-16T00:00:00"/>
    <s v="Serving Brevard Realty"/>
    <n v="700"/>
    <n v="14133"/>
    <n v="5929"/>
    <n v="8204"/>
  </r>
  <r>
    <s v="Retail"/>
    <x v="2"/>
    <x v="2"/>
    <x v="2"/>
    <s v="Gizmo"/>
    <d v="2017-10-17T00:00:00"/>
    <s v="Hartville MarketPlace and Flea Market"/>
    <n v="300"/>
    <n v="6495"/>
    <n v="3066"/>
    <n v="3429"/>
  </r>
  <r>
    <s v="Training"/>
    <x v="1"/>
    <x v="1"/>
    <x v="1"/>
    <s v="Widget"/>
    <d v="2017-10-18T00:00:00"/>
    <s v="MySpreadsheetLab"/>
    <n v="400"/>
    <n v="7520"/>
    <n v="3388"/>
    <n v="4132"/>
  </r>
  <r>
    <s v="Training"/>
    <x v="2"/>
    <x v="6"/>
    <x v="6"/>
    <s v="Gizmo"/>
    <d v="2017-10-20T00:00:00"/>
    <s v="MyOnlineTrainingHub.com"/>
    <n v="900"/>
    <n v="21834"/>
    <n v="9198"/>
    <n v="12636"/>
  </r>
  <r>
    <s v="Training"/>
    <x v="1"/>
    <x v="1"/>
    <x v="1"/>
    <s v="Widget"/>
    <d v="2017-10-20T00:00:00"/>
    <s v="MySpreadsheetLab"/>
    <n v="800"/>
    <n v="14136"/>
    <n v="6776"/>
    <n v="7360"/>
  </r>
  <r>
    <s v="Software"/>
    <x v="0"/>
    <x v="0"/>
    <x v="0"/>
    <s v="Widget"/>
    <d v="2017-10-22T00:00:00"/>
    <s v="Excel4Apps"/>
    <n v="800"/>
    <n v="16008"/>
    <n v="6776"/>
    <n v="9232"/>
  </r>
  <r>
    <s v="Professional"/>
    <x v="2"/>
    <x v="6"/>
    <x v="6"/>
    <s v="Gadget"/>
    <d v="2017-10-22T00:00:00"/>
    <s v="Juliet Babcock-Hyde CPA, PLLC"/>
    <n v="500"/>
    <n v="11220"/>
    <n v="4920"/>
    <n v="6300"/>
  </r>
  <r>
    <s v="Consultants"/>
    <x v="2"/>
    <x v="5"/>
    <x v="5"/>
    <s v="Gadget"/>
    <d v="2017-10-23T00:00:00"/>
    <s v="Andrew Spain Consulting"/>
    <n v="1000"/>
    <n v="23040"/>
    <n v="9840"/>
    <n v="13200"/>
  </r>
  <r>
    <s v="Retail"/>
    <x v="2"/>
    <x v="2"/>
    <x v="2"/>
    <s v="Gadget"/>
    <d v="2017-10-25T00:00:00"/>
    <s v="Hartville MarketPlace and Flea Market"/>
    <n v="500"/>
    <n v="10955"/>
    <n v="4920"/>
    <n v="6035"/>
  </r>
  <r>
    <s v="Retail"/>
    <x v="2"/>
    <x v="2"/>
    <x v="2"/>
    <s v="Gizmo"/>
    <d v="2017-10-25T00:00:00"/>
    <s v="Hartville MarketPlace and Flea Market"/>
    <n v="900"/>
    <n v="21762"/>
    <n v="9198"/>
    <n v="12564"/>
  </r>
  <r>
    <s v="Retail"/>
    <x v="2"/>
    <x v="2"/>
    <x v="2"/>
    <s v="Widget"/>
    <d v="2017-10-27T00:00:00"/>
    <s v="Hartville MarketPlace and Flea Market"/>
    <n v="800"/>
    <n v="15976"/>
    <n v="6776"/>
    <n v="9200"/>
  </r>
  <r>
    <s v="Training"/>
    <x v="1"/>
    <x v="1"/>
    <x v="1"/>
    <s v="Gadget"/>
    <d v="2017-10-30T00:00:00"/>
    <s v="MySpreadsheetLab"/>
    <n v="1000"/>
    <n v="20540"/>
    <n v="9840"/>
    <n v="10700"/>
  </r>
  <r>
    <s v="Training"/>
    <x v="1"/>
    <x v="1"/>
    <x v="1"/>
    <s v="Widget"/>
    <d v="2017-10-31T00:00:00"/>
    <s v="CPASelfStudy.com"/>
    <n v="500"/>
    <n v="9475"/>
    <n v="4235"/>
    <n v="5240"/>
  </r>
  <r>
    <s v="Software"/>
    <x v="0"/>
    <x v="0"/>
    <x v="0"/>
    <s v="Gizmo"/>
    <d v="2017-11-01T00:00:00"/>
    <s v="Excel4Apps"/>
    <n v="100"/>
    <n v="2343"/>
    <n v="1022"/>
    <n v="1321"/>
  </r>
  <r>
    <s v="Training"/>
    <x v="1"/>
    <x v="1"/>
    <x v="1"/>
    <s v="Gizmo"/>
    <d v="2017-11-04T00:00:00"/>
    <s v="CPASelfStudy.com"/>
    <n v="500"/>
    <n v="10645"/>
    <n v="5110"/>
    <n v="5535"/>
  </r>
  <r>
    <s v="Training"/>
    <x v="1"/>
    <x v="1"/>
    <x v="1"/>
    <s v="Widget"/>
    <d v="2017-11-05T00:00:00"/>
    <s v="CPASelfStudy.com"/>
    <n v="400"/>
    <n v="8468"/>
    <n v="3388"/>
    <n v="5080"/>
  </r>
  <r>
    <s v="Training"/>
    <x v="1"/>
    <x v="1"/>
    <x v="1"/>
    <s v="Widget"/>
    <d v="2017-11-08T00:00:00"/>
    <s v="MySpreadsheetLab"/>
    <n v="400"/>
    <n v="8196"/>
    <n v="3388"/>
    <n v="4808"/>
  </r>
  <r>
    <s v="Training"/>
    <x v="1"/>
    <x v="1"/>
    <x v="1"/>
    <s v="Gadget"/>
    <d v="2017-11-11T00:00:00"/>
    <s v="MySpreadsheetLab"/>
    <n v="500"/>
    <n v="11295"/>
    <n v="4920"/>
    <n v="6375"/>
  </r>
  <r>
    <s v="Software"/>
    <x v="1"/>
    <x v="1"/>
    <x v="1"/>
    <s v="Gizmo"/>
    <d v="2017-11-13T00:00:00"/>
    <s v="F-Keys Ltd."/>
    <n v="800"/>
    <n v="19376"/>
    <n v="8176"/>
    <n v="11200"/>
  </r>
  <r>
    <s v="Training"/>
    <x v="1"/>
    <x v="1"/>
    <x v="1"/>
    <s v="Gadget"/>
    <d v="2017-11-13T00:00:00"/>
    <s v="CPASelfStudy.com"/>
    <n v="600"/>
    <n v="14466"/>
    <n v="5904"/>
    <n v="8562"/>
  </r>
  <r>
    <s v="Training"/>
    <x v="2"/>
    <x v="6"/>
    <x v="6"/>
    <s v="Widget"/>
    <d v="2017-11-15T00:00:00"/>
    <s v="MyOnlineTrainingHub.com"/>
    <n v="900"/>
    <n v="15255"/>
    <n v="7623"/>
    <n v="7632"/>
  </r>
  <r>
    <s v="Professional"/>
    <x v="2"/>
    <x v="9"/>
    <x v="9"/>
    <s v="Gadget"/>
    <d v="2017-11-15T00:00:00"/>
    <s v="Serving Brevard Realty"/>
    <n v="900"/>
    <n v="21033"/>
    <n v="8856"/>
    <n v="12177"/>
  </r>
  <r>
    <s v="Professional"/>
    <x v="3"/>
    <x v="11"/>
    <x v="11"/>
    <s v="Widget"/>
    <d v="2017-11-16T00:00:00"/>
    <s v="WM Squared Inc."/>
    <n v="1000"/>
    <n v="17250"/>
    <n v="8470"/>
    <n v="8780"/>
  </r>
  <r>
    <s v="Software"/>
    <x v="0"/>
    <x v="0"/>
    <x v="0"/>
    <s v="Gadget"/>
    <d v="2017-11-17T00:00:00"/>
    <s v="Excel4Apps"/>
    <n v="600"/>
    <n v="13200"/>
    <n v="5904"/>
    <n v="7296"/>
  </r>
  <r>
    <s v="Software"/>
    <x v="1"/>
    <x v="1"/>
    <x v="1"/>
    <s v="Doodads"/>
    <d v="2017-11-20T00:00:00"/>
    <s v="Vertex42"/>
    <n v="1000"/>
    <n v="24420"/>
    <n v="10220"/>
    <n v="14200"/>
  </r>
  <r>
    <s v="Training"/>
    <x v="1"/>
    <x v="1"/>
    <x v="1"/>
    <s v="Widget"/>
    <d v="2017-11-20T00:00:00"/>
    <s v="CPASelfStudy.com"/>
    <n v="200"/>
    <n v="3672"/>
    <n v="1694"/>
    <n v="1978"/>
  </r>
  <r>
    <s v="Training"/>
    <x v="1"/>
    <x v="1"/>
    <x v="1"/>
    <s v="Gadget"/>
    <d v="2017-11-21T00:00:00"/>
    <s v="MySpreadsheetLab"/>
    <n v="300"/>
    <n v="7053"/>
    <n v="2952"/>
    <n v="4101"/>
  </r>
  <r>
    <s v="Software"/>
    <x v="1"/>
    <x v="1"/>
    <x v="1"/>
    <s v="Widget"/>
    <d v="2017-11-23T00:00:00"/>
    <s v="F-Keys Ltd."/>
    <n v="900"/>
    <n v="17136"/>
    <n v="7623"/>
    <n v="9513"/>
  </r>
  <r>
    <s v="Training"/>
    <x v="1"/>
    <x v="1"/>
    <x v="1"/>
    <s v="Gadget"/>
    <d v="2017-11-23T00:00:00"/>
    <s v="MySpreadsheetLab"/>
    <n v="100"/>
    <n v="2410"/>
    <n v="984"/>
    <n v="1426"/>
  </r>
  <r>
    <s v="Software"/>
    <x v="1"/>
    <x v="1"/>
    <x v="1"/>
    <s v="Gadget"/>
    <d v="2017-11-24T00:00:00"/>
    <s v="F-Keys Ltd."/>
    <n v="300"/>
    <n v="6462"/>
    <n v="2952"/>
    <n v="3510"/>
  </r>
  <r>
    <s v="Consultants"/>
    <x v="0"/>
    <x v="8"/>
    <x v="8"/>
    <s v="Gizmo"/>
    <d v="2017-11-25T00:00:00"/>
    <s v="Excelerator BI"/>
    <n v="100"/>
    <n v="2538"/>
    <n v="1022"/>
    <n v="1516"/>
  </r>
  <r>
    <s v="Training"/>
    <x v="1"/>
    <x v="1"/>
    <x v="1"/>
    <s v="Gadget"/>
    <d v="2017-11-28T00:00:00"/>
    <s v="CPASelfStudy.com"/>
    <n v="500"/>
    <n v="9890"/>
    <n v="4920"/>
    <n v="4970"/>
  </r>
  <r>
    <s v="Software"/>
    <x v="0"/>
    <x v="0"/>
    <x v="0"/>
    <s v="Gadget"/>
    <d v="2017-11-28T00:00:00"/>
    <s v="Excel4Apps"/>
    <n v="100"/>
    <n v="2004"/>
    <n v="984"/>
    <n v="1020"/>
  </r>
  <r>
    <s v="Training"/>
    <x v="1"/>
    <x v="1"/>
    <x v="1"/>
    <s v="Gizmo"/>
    <d v="2017-11-29T00:00:00"/>
    <s v="CPASelfStudy.com"/>
    <n v="300"/>
    <n v="7569"/>
    <n v="3066"/>
    <n v="4503"/>
  </r>
  <r>
    <s v="Software"/>
    <x v="1"/>
    <x v="1"/>
    <x v="1"/>
    <s v="Widget"/>
    <d v="2017-11-30T00:00:00"/>
    <s v="F-Keys Ltd."/>
    <n v="300"/>
    <n v="5592"/>
    <n v="2541"/>
    <n v="3051"/>
  </r>
  <r>
    <s v="Training"/>
    <x v="1"/>
    <x v="1"/>
    <x v="1"/>
    <s v="Gadget"/>
    <d v="2017-12-01T00:00:00"/>
    <s v="LearnExcelBooks.com"/>
    <n v="200"/>
    <n v="3942"/>
    <n v="1968"/>
    <n v="1974"/>
  </r>
  <r>
    <s v="Retail"/>
    <x v="0"/>
    <x v="7"/>
    <x v="7"/>
    <s v="Gadget"/>
    <d v="2017-12-02T00:00:00"/>
    <s v="LaFrenier Sons Septic"/>
    <n v="800"/>
    <n v="19344"/>
    <n v="7872"/>
    <n v="11472"/>
  </r>
  <r>
    <s v="Training"/>
    <x v="2"/>
    <x v="6"/>
    <x v="6"/>
    <s v="Gadget"/>
    <d v="2017-12-04T00:00:00"/>
    <s v="MyOnlineTrainingHub.com"/>
    <n v="900"/>
    <n v="21546"/>
    <n v="8856"/>
    <n v="12690"/>
  </r>
  <r>
    <s v="Retail"/>
    <x v="0"/>
    <x v="7"/>
    <x v="7"/>
    <s v="Gadget"/>
    <d v="2017-12-05T00:00:00"/>
    <s v="LaFrenier Sons Septic"/>
    <n v="500"/>
    <n v="10760"/>
    <n v="4920"/>
    <n v="5840"/>
  </r>
  <r>
    <s v="Consultants"/>
    <x v="2"/>
    <x v="5"/>
    <x v="5"/>
    <s v="Widget"/>
    <d v="2017-12-05T00:00:00"/>
    <s v="Andrew Spain Consulting"/>
    <n v="900"/>
    <n v="18243"/>
    <n v="7623"/>
    <n v="10620"/>
  </r>
  <r>
    <s v="Training"/>
    <x v="0"/>
    <x v="0"/>
    <x v="0"/>
    <s v="Widget"/>
    <d v="2017-12-06T00:00:00"/>
    <s v="599CD.com"/>
    <n v="800"/>
    <n v="16856"/>
    <n v="6776"/>
    <n v="10080"/>
  </r>
  <r>
    <s v="Retail"/>
    <x v="2"/>
    <x v="2"/>
    <x v="2"/>
    <s v="Widget"/>
    <d v="2017-12-08T00:00:00"/>
    <s v="Hartville MarketPlace and Flea Market"/>
    <n v="700"/>
    <n v="14105"/>
    <n v="5929"/>
    <n v="8176"/>
  </r>
  <r>
    <s v="Training"/>
    <x v="1"/>
    <x v="1"/>
    <x v="1"/>
    <s v="Widget"/>
    <d v="2017-12-08T00:00:00"/>
    <s v="LearnExcelBooks.com"/>
    <n v="100"/>
    <n v="2111"/>
    <n v="847"/>
    <n v="1264"/>
  </r>
  <r>
    <s v="Training"/>
    <x v="0"/>
    <x v="8"/>
    <x v="8"/>
    <s v="Gizmo"/>
    <d v="2017-12-09T00:00:00"/>
    <s v="Profology.com"/>
    <n v="400"/>
    <n v="9660"/>
    <n v="4088"/>
    <n v="5572"/>
  </r>
  <r>
    <s v="Retail"/>
    <x v="2"/>
    <x v="2"/>
    <x v="2"/>
    <s v="Widget"/>
    <d v="2017-12-10T00:00:00"/>
    <s v="Hartville MarketPlace and Flea Market"/>
    <n v="100"/>
    <n v="1878"/>
    <n v="847"/>
    <n v="1031"/>
  </r>
  <r>
    <s v="Training"/>
    <x v="1"/>
    <x v="1"/>
    <x v="1"/>
    <s v="Gadget"/>
    <d v="2017-12-10T00:00:00"/>
    <s v="CPASelfStudy.com"/>
    <n v="600"/>
    <n v="12888"/>
    <n v="5904"/>
    <n v="6984"/>
  </r>
  <r>
    <s v="Training"/>
    <x v="1"/>
    <x v="1"/>
    <x v="1"/>
    <s v="Widget"/>
    <d v="2017-12-12T00:00:00"/>
    <s v="LearnExcelBooks.com"/>
    <n v="100"/>
    <n v="2108"/>
    <n v="847"/>
    <n v="1261"/>
  </r>
  <r>
    <s v="Retail"/>
    <x v="2"/>
    <x v="2"/>
    <x v="2"/>
    <s v="Widget"/>
    <d v="2017-12-14T00:00:00"/>
    <s v="Hartville MarketPlace and Flea Market"/>
    <n v="600"/>
    <n v="11964"/>
    <n v="5082"/>
    <n v="6882"/>
  </r>
  <r>
    <s v="Retail"/>
    <x v="2"/>
    <x v="2"/>
    <x v="2"/>
    <s v="Gizmo"/>
    <d v="2017-12-15T00:00:00"/>
    <s v="Hartville MarketPlace and Flea Market"/>
    <n v="900"/>
    <n v="20664"/>
    <n v="9198"/>
    <n v="11466"/>
  </r>
  <r>
    <s v="Training"/>
    <x v="1"/>
    <x v="1"/>
    <x v="1"/>
    <s v="Gizmo"/>
    <d v="2017-12-15T00:00:00"/>
    <s v="LearnExcelBooks.com"/>
    <n v="300"/>
    <n v="6732"/>
    <n v="3066"/>
    <n v="3666"/>
  </r>
  <r>
    <s v="Retail"/>
    <x v="2"/>
    <x v="2"/>
    <x v="2"/>
    <s v="Widget"/>
    <d v="2017-12-18T00:00:00"/>
    <s v="Hartville MarketPlace and Flea Market"/>
    <n v="900"/>
    <n v="15651"/>
    <n v="7623"/>
    <n v="8028"/>
  </r>
  <r>
    <s v="Professional"/>
    <x v="2"/>
    <x v="9"/>
    <x v="9"/>
    <s v="Widget"/>
    <d v="2017-12-19T00:00:00"/>
    <s v="Serving Brevard Realty"/>
    <n v="600"/>
    <n v="11274"/>
    <n v="5082"/>
    <n v="6192"/>
  </r>
  <r>
    <s v="Training"/>
    <x v="0"/>
    <x v="0"/>
    <x v="0"/>
    <s v="Widget"/>
    <d v="2017-12-20T00:00:00"/>
    <s v="599CD.com"/>
    <n v="800"/>
    <n v="14408"/>
    <n v="6776"/>
    <n v="7632"/>
  </r>
  <r>
    <s v="Training"/>
    <x v="1"/>
    <x v="1"/>
    <x v="1"/>
    <s v="Gizmo"/>
    <d v="2017-12-21T00:00:00"/>
    <s v="LearnExcelBooks.com"/>
    <n v="100"/>
    <n v="2213"/>
    <n v="1022"/>
    <n v="1191"/>
  </r>
  <r>
    <s v="Training"/>
    <x v="1"/>
    <x v="1"/>
    <x v="1"/>
    <s v="Widget"/>
    <d v="2017-12-22T00:00:00"/>
    <s v="LearnExcelBooks.com"/>
    <n v="500"/>
    <n v="8725"/>
    <n v="4235"/>
    <n v="4490"/>
  </r>
  <r>
    <s v="Software"/>
    <x v="1"/>
    <x v="1"/>
    <x v="1"/>
    <s v="Gizmo"/>
    <d v="2017-12-24T00:00:00"/>
    <s v="F-Keys Ltd."/>
    <n v="900"/>
    <n v="18666"/>
    <n v="9198"/>
    <n v="9468"/>
  </r>
  <r>
    <s v="Software"/>
    <x v="1"/>
    <x v="1"/>
    <x v="1"/>
    <s v="Widget"/>
    <d v="2017-12-25T00:00:00"/>
    <s v="F-Keys Ltd."/>
    <n v="100"/>
    <n v="2055"/>
    <n v="847"/>
    <n v="1208"/>
  </r>
  <r>
    <s v="Training"/>
    <x v="1"/>
    <x v="1"/>
    <x v="1"/>
    <s v="Gadget"/>
    <d v="2017-12-25T00:00:00"/>
    <s v="CPASelfStudy.com"/>
    <n v="500"/>
    <n v="10475"/>
    <n v="4920"/>
    <n v="5555"/>
  </r>
  <r>
    <s v="Retail"/>
    <x v="2"/>
    <x v="2"/>
    <x v="2"/>
    <s v="Gizmo"/>
    <d v="2017-12-27T00:00:00"/>
    <s v="Hartville MarketPlace and Flea Market"/>
    <n v="600"/>
    <n v="14178"/>
    <n v="6132"/>
    <n v="8046"/>
  </r>
  <r>
    <s v="Training"/>
    <x v="1"/>
    <x v="1"/>
    <x v="1"/>
    <s v="Widget"/>
    <d v="2017-12-27T00:00:00"/>
    <s v="CPASelfStudy.com"/>
    <n v="100"/>
    <n v="1861"/>
    <n v="847"/>
    <n v="1014"/>
  </r>
  <r>
    <s v="Training"/>
    <x v="2"/>
    <x v="6"/>
    <x v="6"/>
    <s v="Widget"/>
    <d v="2017-12-28T00:00:00"/>
    <s v="MyOnlineTrainingHub.com"/>
    <n v="500"/>
    <n v="9460"/>
    <n v="4235"/>
    <n v="5225"/>
  </r>
  <r>
    <s v="Software"/>
    <x v="0"/>
    <x v="0"/>
    <x v="0"/>
    <s v="Widget"/>
    <d v="2017-12-29T00:00:00"/>
    <s v="Excel4Apps"/>
    <n v="600"/>
    <n v="10290"/>
    <n v="5082"/>
    <n v="5208"/>
  </r>
  <r>
    <s v="Software"/>
    <x v="1"/>
    <x v="1"/>
    <x v="1"/>
    <s v="Widget"/>
    <d v="2018-01-02T00:00:00"/>
    <s v="F-Keys Ltd."/>
    <n v="500"/>
    <n v="10245"/>
    <n v="4235"/>
    <n v="6010"/>
  </r>
  <r>
    <s v="Training"/>
    <x v="1"/>
    <x v="1"/>
    <x v="1"/>
    <s v="Gizmo"/>
    <d v="2018-01-03T00:00:00"/>
    <s v="CPASelfStudy.com"/>
    <n v="500"/>
    <n v="11240"/>
    <n v="5110"/>
    <n v="6130"/>
  </r>
  <r>
    <s v="Training"/>
    <x v="1"/>
    <x v="1"/>
    <x v="1"/>
    <s v="Gizmo"/>
    <d v="2018-01-04T00:00:00"/>
    <s v="CPASelfStudy.com"/>
    <n v="400"/>
    <n v="9204"/>
    <n v="4088"/>
    <n v="5116"/>
  </r>
  <r>
    <s v="Training"/>
    <x v="1"/>
    <x v="1"/>
    <x v="1"/>
    <s v="Widget"/>
    <d v="2018-01-05T00:00:00"/>
    <s v="LearnExcelBooks.com"/>
    <n v="400"/>
    <n v="6860"/>
    <n v="3388"/>
    <n v="3472"/>
  </r>
  <r>
    <s v="Associations"/>
    <x v="2"/>
    <x v="2"/>
    <x v="2"/>
    <s v="Gizmo"/>
    <d v="2018-01-07T00:00:00"/>
    <s v="Association for Computers &amp; Taxation"/>
    <n v="600"/>
    <n v="13806"/>
    <n v="6132"/>
    <n v="7674"/>
  </r>
  <r>
    <s v="Consultants"/>
    <x v="3"/>
    <x v="4"/>
    <x v="4"/>
    <s v="Gizmo"/>
    <d v="2018-01-09T00:00:00"/>
    <s v="Fintega Financial Modelling"/>
    <n v="900"/>
    <n v="21015"/>
    <n v="9198"/>
    <n v="11817"/>
  </r>
  <r>
    <s v="Training"/>
    <x v="1"/>
    <x v="1"/>
    <x v="1"/>
    <s v="Gizmo"/>
    <d v="2018-01-10T00:00:00"/>
    <s v="CPASelfStudy.com"/>
    <n v="900"/>
    <n v="21465"/>
    <n v="9198"/>
    <n v="12267"/>
  </r>
  <r>
    <s v="Training"/>
    <x v="1"/>
    <x v="1"/>
    <x v="1"/>
    <s v="Gizmo"/>
    <d v="2018-01-12T00:00:00"/>
    <s v="CPASelfStudy.com"/>
    <n v="400"/>
    <n v="9144"/>
    <n v="4088"/>
    <n v="5056"/>
  </r>
  <r>
    <s v="Training"/>
    <x v="2"/>
    <x v="6"/>
    <x v="6"/>
    <s v="Widget"/>
    <d v="2018-01-14T00:00:00"/>
    <s v="MyOnlineTrainingHub.com"/>
    <n v="100"/>
    <n v="1740"/>
    <n v="847"/>
    <n v="893"/>
  </r>
  <r>
    <s v="Consultants"/>
    <x v="2"/>
    <x v="5"/>
    <x v="5"/>
    <s v="Widget"/>
    <d v="2018-01-14T00:00:00"/>
    <s v="Andrew Spain Consulting"/>
    <n v="1000"/>
    <n v="19110"/>
    <n v="8470"/>
    <n v="10640"/>
  </r>
  <r>
    <s v="Consultants"/>
    <x v="2"/>
    <x v="5"/>
    <x v="5"/>
    <s v="Gizmo"/>
    <d v="2018-01-16T00:00:00"/>
    <s v="Andrew Spain Consulting"/>
    <n v="900"/>
    <n v="21888"/>
    <n v="9198"/>
    <n v="12690"/>
  </r>
  <r>
    <s v="Retail"/>
    <x v="2"/>
    <x v="2"/>
    <x v="2"/>
    <s v="Gadget"/>
    <d v="2018-01-17T00:00:00"/>
    <s v="Hartville MarketPlace and Flea Market"/>
    <n v="300"/>
    <n v="5961"/>
    <n v="2952"/>
    <n v="3009"/>
  </r>
  <r>
    <s v="Training"/>
    <x v="1"/>
    <x v="1"/>
    <x v="1"/>
    <s v="Widget"/>
    <d v="2018-01-20T00:00:00"/>
    <s v="MySpreadsheetLab"/>
    <n v="900"/>
    <n v="17505"/>
    <n v="7623"/>
    <n v="9882"/>
  </r>
  <r>
    <s v="Retail"/>
    <x v="2"/>
    <x v="2"/>
    <x v="2"/>
    <s v="Gadget"/>
    <d v="2018-01-21T00:00:00"/>
    <s v="Hartville MarketPlace and Flea Market"/>
    <n v="300"/>
    <n v="7032"/>
    <n v="2952"/>
    <n v="4080"/>
  </r>
  <r>
    <s v="Retail"/>
    <x v="2"/>
    <x v="2"/>
    <x v="2"/>
    <s v="Gadget"/>
    <d v="2018-01-22T00:00:00"/>
    <s v="Hartville MarketPlace and Flea Market"/>
    <n v="300"/>
    <n v="6735"/>
    <n v="2952"/>
    <n v="3783"/>
  </r>
  <r>
    <s v="Retail"/>
    <x v="2"/>
    <x v="2"/>
    <x v="2"/>
    <s v="Widget"/>
    <d v="2018-01-23T00:00:00"/>
    <s v="Hartville MarketPlace and Flea Market"/>
    <n v="400"/>
    <n v="8164"/>
    <n v="3388"/>
    <n v="4776"/>
  </r>
  <r>
    <s v="Consultants"/>
    <x v="2"/>
    <x v="5"/>
    <x v="5"/>
    <s v="Widget"/>
    <d v="2018-01-24T00:00:00"/>
    <s v="Andrew Spain Consulting"/>
    <n v="300"/>
    <n v="6207"/>
    <n v="2541"/>
    <n v="3666"/>
  </r>
  <r>
    <s v="Retail"/>
    <x v="2"/>
    <x v="2"/>
    <x v="2"/>
    <s v="Gadget"/>
    <d v="2018-01-25T00:00:00"/>
    <s v="Hartville MarketPlace and Flea Market"/>
    <n v="300"/>
    <n v="6240"/>
    <n v="2952"/>
    <n v="3288"/>
  </r>
  <r>
    <s v="Training"/>
    <x v="1"/>
    <x v="1"/>
    <x v="1"/>
    <s v="Widget"/>
    <d v="2018-01-27T00:00:00"/>
    <s v="CPASelfStudy.com"/>
    <n v="500"/>
    <n v="10445"/>
    <n v="4235"/>
    <n v="6210"/>
  </r>
  <r>
    <s v="Consultants"/>
    <x v="2"/>
    <x v="5"/>
    <x v="5"/>
    <s v="Widget"/>
    <d v="2018-01-29T00:00:00"/>
    <s v="Andrew Spain Consulting"/>
    <n v="800"/>
    <n v="14224"/>
    <n v="6776"/>
    <n v="7448"/>
  </r>
  <r>
    <s v="Training"/>
    <x v="2"/>
    <x v="6"/>
    <x v="6"/>
    <s v="Gizmo"/>
    <d v="2018-01-30T00:00:00"/>
    <s v="MyOnlineTrainingHub.com"/>
    <n v="400"/>
    <n v="10044"/>
    <n v="4088"/>
    <n v="5956"/>
  </r>
  <r>
    <s v="Training"/>
    <x v="1"/>
    <x v="1"/>
    <x v="1"/>
    <s v="Widget"/>
    <d v="2018-01-31T00:00:00"/>
    <s v="MySpreadsheetLab"/>
    <n v="1000"/>
    <n v="19250"/>
    <n v="8470"/>
    <n v="10780"/>
  </r>
  <r>
    <s v="Retail"/>
    <x v="2"/>
    <x v="2"/>
    <x v="2"/>
    <s v="Gadget"/>
    <d v="2018-02-01T00:00:00"/>
    <s v="Hartville MarketPlace and Flea Market"/>
    <n v="200"/>
    <n v="4740"/>
    <n v="1968"/>
    <n v="2772"/>
  </r>
  <r>
    <s v="Software"/>
    <x v="0"/>
    <x v="0"/>
    <x v="0"/>
    <s v="Gadget"/>
    <d v="2018-02-01T00:00:00"/>
    <s v="Excel4Apps"/>
    <n v="600"/>
    <n v="12672"/>
    <n v="5904"/>
    <n v="6768"/>
  </r>
  <r>
    <s v="Retail"/>
    <x v="2"/>
    <x v="2"/>
    <x v="2"/>
    <s v="Widget"/>
    <d v="2018-02-05T00:00:00"/>
    <s v="Hartville MarketPlace and Flea Market"/>
    <n v="700"/>
    <n v="13314"/>
    <n v="5929"/>
    <n v="7385"/>
  </r>
  <r>
    <s v="Training"/>
    <x v="1"/>
    <x v="1"/>
    <x v="1"/>
    <s v="Gadget"/>
    <d v="2018-02-06T00:00:00"/>
    <s v="CPASelfStudy.com"/>
    <n v="200"/>
    <n v="4280"/>
    <n v="1968"/>
    <n v="2312"/>
  </r>
  <r>
    <s v="Software"/>
    <x v="1"/>
    <x v="1"/>
    <x v="1"/>
    <s v="Widget"/>
    <d v="2018-02-08T00:00:00"/>
    <s v="F-Keys Ltd."/>
    <n v="300"/>
    <n v="6045"/>
    <n v="2541"/>
    <n v="3504"/>
  </r>
  <r>
    <s v="Consultants"/>
    <x v="2"/>
    <x v="5"/>
    <x v="5"/>
    <s v="Widget"/>
    <d v="2018-02-09T00:00:00"/>
    <s v="Andrew Spain Consulting"/>
    <n v="400"/>
    <n v="7180"/>
    <n v="3388"/>
    <n v="3792"/>
  </r>
  <r>
    <s v="Training"/>
    <x v="1"/>
    <x v="1"/>
    <x v="1"/>
    <s v="Gadget"/>
    <d v="2018-02-13T00:00:00"/>
    <s v="MySpreadsheetLab"/>
    <n v="600"/>
    <n v="12798"/>
    <n v="5904"/>
    <n v="6894"/>
  </r>
  <r>
    <s v="Consultants"/>
    <x v="2"/>
    <x v="5"/>
    <x v="5"/>
    <s v="Widget"/>
    <d v="2018-02-15T00:00:00"/>
    <s v="Andrew Spain Consulting"/>
    <n v="100"/>
    <n v="2066"/>
    <n v="847"/>
    <n v="1219"/>
  </r>
  <r>
    <s v="Training"/>
    <x v="0"/>
    <x v="0"/>
    <x v="0"/>
    <s v="Gadget"/>
    <d v="2018-02-16T00:00:00"/>
    <s v="599CD.com"/>
    <n v="200"/>
    <n v="4742"/>
    <n v="1968"/>
    <n v="2774"/>
  </r>
  <r>
    <s v="Software"/>
    <x v="0"/>
    <x v="0"/>
    <x v="0"/>
    <s v="Widget"/>
    <d v="2018-02-17T00:00:00"/>
    <s v="Excel4Apps"/>
    <n v="200"/>
    <n v="3876"/>
    <n v="1694"/>
    <n v="2182"/>
  </r>
  <r>
    <s v="Training"/>
    <x v="1"/>
    <x v="1"/>
    <x v="1"/>
    <s v="Gadget"/>
    <d v="2018-02-19T00:00:00"/>
    <s v="LearnExcelBooks.com"/>
    <n v="400"/>
    <n v="9088"/>
    <n v="3936"/>
    <n v="5152"/>
  </r>
  <r>
    <s v="Software"/>
    <x v="0"/>
    <x v="0"/>
    <x v="0"/>
    <s v="Gizmo"/>
    <d v="2018-02-19T00:00:00"/>
    <s v="Excel4Apps"/>
    <n v="1000"/>
    <n v="25080"/>
    <n v="10220"/>
    <n v="14860"/>
  </r>
  <r>
    <s v="Professional"/>
    <x v="2"/>
    <x v="9"/>
    <x v="9"/>
    <s v="Widget"/>
    <d v="2018-02-20T00:00:00"/>
    <s v="Serving Brevard Realty"/>
    <n v="400"/>
    <n v="7152"/>
    <n v="3388"/>
    <n v="3764"/>
  </r>
  <r>
    <s v="Training"/>
    <x v="1"/>
    <x v="1"/>
    <x v="1"/>
    <s v="Gadget"/>
    <d v="2018-02-20T00:00:00"/>
    <s v="CPASelfStudy.com"/>
    <n v="800"/>
    <n v="18504"/>
    <n v="7872"/>
    <n v="10632"/>
  </r>
  <r>
    <s v="Training"/>
    <x v="0"/>
    <x v="0"/>
    <x v="0"/>
    <s v="Gadget"/>
    <d v="2018-02-22T00:00:00"/>
    <s v="599CD.com"/>
    <n v="600"/>
    <n v="12282"/>
    <n v="5904"/>
    <n v="6378"/>
  </r>
  <r>
    <s v="Training"/>
    <x v="1"/>
    <x v="1"/>
    <x v="1"/>
    <s v="Gizmo"/>
    <d v="2018-02-24T00:00:00"/>
    <s v="CPASelfStudy.com"/>
    <n v="1000"/>
    <n v="20940"/>
    <n v="10220"/>
    <n v="10720"/>
  </r>
  <r>
    <s v="Software"/>
    <x v="0"/>
    <x v="0"/>
    <x v="0"/>
    <s v="Widget"/>
    <d v="2018-02-26T00:00:00"/>
    <s v="Excel4Apps"/>
    <n v="700"/>
    <n v="12145"/>
    <n v="5929"/>
    <n v="6216"/>
  </r>
  <r>
    <s v="Training"/>
    <x v="0"/>
    <x v="0"/>
    <x v="0"/>
    <s v="Gizmo"/>
    <d v="2018-02-26T00:00:00"/>
    <s v="599CD.com"/>
    <n v="1000"/>
    <n v="22680"/>
    <n v="10220"/>
    <n v="12460"/>
  </r>
  <r>
    <s v="Training"/>
    <x v="1"/>
    <x v="1"/>
    <x v="1"/>
    <s v="Gizmo"/>
    <d v="2018-02-26T00:00:00"/>
    <s v="LearnExcelBooks.com"/>
    <n v="700"/>
    <n v="17367"/>
    <n v="7154"/>
    <n v="10213"/>
  </r>
  <r>
    <s v="Software"/>
    <x v="1"/>
    <x v="1"/>
    <x v="1"/>
    <s v="Widget"/>
    <d v="2018-02-27T00:00:00"/>
    <s v="F-Keys Ltd."/>
    <n v="600"/>
    <n v="11922"/>
    <n v="5082"/>
    <n v="6840"/>
  </r>
  <r>
    <s v="Retail"/>
    <x v="0"/>
    <x v="7"/>
    <x v="7"/>
    <s v="Gizmo"/>
    <d v="2018-02-27T00:00:00"/>
    <s v="LaFrenier Sons Septic"/>
    <n v="200"/>
    <n v="4614"/>
    <n v="2044"/>
    <n v="2570"/>
  </r>
  <r>
    <s v="Software"/>
    <x v="1"/>
    <x v="1"/>
    <x v="1"/>
    <s v="Gizmo"/>
    <d v="2018-02-28T00:00:00"/>
    <s v="F-Keys Ltd."/>
    <n v="1000"/>
    <n v="20490"/>
    <n v="10220"/>
    <n v="10270"/>
  </r>
  <r>
    <s v="Training"/>
    <x v="1"/>
    <x v="1"/>
    <x v="1"/>
    <s v="Gizmo"/>
    <d v="2018-03-03T00:00:00"/>
    <s v="CPASelfStudy.com"/>
    <n v="400"/>
    <n v="8620"/>
    <n v="4088"/>
    <n v="4532"/>
  </r>
  <r>
    <s v="Training"/>
    <x v="1"/>
    <x v="1"/>
    <x v="1"/>
    <s v="Gadget"/>
    <d v="2018-03-04T00:00:00"/>
    <s v="LearnExcelBooks.com"/>
    <n v="500"/>
    <n v="11860"/>
    <n v="4920"/>
    <n v="6940"/>
  </r>
  <r>
    <s v="Professional"/>
    <x v="2"/>
    <x v="9"/>
    <x v="9"/>
    <s v="Widget"/>
    <d v="2018-03-06T00:00:00"/>
    <s v="Serving Brevard Realty"/>
    <n v="800"/>
    <n v="14984"/>
    <n v="6776"/>
    <n v="8208"/>
  </r>
  <r>
    <s v="Training"/>
    <x v="0"/>
    <x v="0"/>
    <x v="0"/>
    <s v="Widget"/>
    <d v="2018-03-06T00:00:00"/>
    <s v="599CD.com"/>
    <n v="200"/>
    <n v="4010"/>
    <n v="1694"/>
    <n v="2316"/>
  </r>
  <r>
    <s v="Software"/>
    <x v="0"/>
    <x v="0"/>
    <x v="0"/>
    <s v="Gizmo"/>
    <d v="2018-03-09T00:00:00"/>
    <s v="Excel4Apps"/>
    <n v="500"/>
    <n v="12505"/>
    <n v="5110"/>
    <n v="7395"/>
  </r>
  <r>
    <s v="Software"/>
    <x v="0"/>
    <x v="0"/>
    <x v="0"/>
    <s v="Widget"/>
    <d v="2018-03-13T00:00:00"/>
    <s v="Excel4Apps"/>
    <n v="100"/>
    <n v="1704"/>
    <n v="847"/>
    <n v="857"/>
  </r>
  <r>
    <s v="Training"/>
    <x v="1"/>
    <x v="1"/>
    <x v="1"/>
    <s v="Gizmo"/>
    <d v="2018-03-13T00:00:00"/>
    <s v="LearnExcelBooks.com"/>
    <n v="300"/>
    <n v="7305"/>
    <n v="3066"/>
    <n v="4239"/>
  </r>
  <r>
    <s v="Training"/>
    <x v="1"/>
    <x v="1"/>
    <x v="1"/>
    <s v="Gizmo"/>
    <d v="2018-03-14T00:00:00"/>
    <s v="LearnExcelBooks.com"/>
    <n v="500"/>
    <n v="11965"/>
    <n v="5110"/>
    <n v="6855"/>
  </r>
  <r>
    <s v="Professional"/>
    <x v="2"/>
    <x v="9"/>
    <x v="9"/>
    <s v="Gizmo"/>
    <d v="2018-03-16T00:00:00"/>
    <s v="Serving Brevard Realty"/>
    <n v="400"/>
    <n v="9240"/>
    <n v="4088"/>
    <n v="5152"/>
  </r>
  <r>
    <s v="Training"/>
    <x v="0"/>
    <x v="0"/>
    <x v="0"/>
    <s v="Gadget"/>
    <d v="2018-03-16T00:00:00"/>
    <s v="599CD.com"/>
    <n v="200"/>
    <n v="4526"/>
    <n v="1968"/>
    <n v="2558"/>
  </r>
  <r>
    <s v="Training"/>
    <x v="1"/>
    <x v="1"/>
    <x v="1"/>
    <s v="Gadget"/>
    <d v="2018-03-18T00:00:00"/>
    <s v="LearnExcelBooks.com"/>
    <n v="500"/>
    <n v="11695"/>
    <n v="4920"/>
    <n v="6775"/>
  </r>
  <r>
    <s v="Retail"/>
    <x v="2"/>
    <x v="2"/>
    <x v="2"/>
    <s v="Gadget"/>
    <d v="2018-03-19T00:00:00"/>
    <s v="Hartville MarketPlace and Flea Market"/>
    <n v="100"/>
    <n v="2272"/>
    <n v="984"/>
    <n v="1288"/>
  </r>
  <r>
    <s v="Training"/>
    <x v="0"/>
    <x v="0"/>
    <x v="0"/>
    <s v="Gadget"/>
    <d v="2018-03-20T00:00:00"/>
    <s v="599CD.com"/>
    <n v="100"/>
    <n v="2157"/>
    <n v="984"/>
    <n v="1173"/>
  </r>
  <r>
    <s v="Software"/>
    <x v="1"/>
    <x v="1"/>
    <x v="1"/>
    <s v="Gizmo"/>
    <d v="2018-03-22T00:00:00"/>
    <s v="F-Keys Ltd."/>
    <n v="400"/>
    <n v="8732"/>
    <n v="4088"/>
    <n v="4644"/>
  </r>
  <r>
    <s v="Training"/>
    <x v="1"/>
    <x v="1"/>
    <x v="1"/>
    <s v="Gadget"/>
    <d v="2018-03-23T00:00:00"/>
    <s v="MySpreadsheetLab"/>
    <n v="800"/>
    <n v="15856"/>
    <n v="7872"/>
    <n v="7984"/>
  </r>
  <r>
    <s v="Consultants"/>
    <x v="0"/>
    <x v="3"/>
    <x v="3"/>
    <s v="Doodads"/>
    <d v="2018-03-24T00:00:00"/>
    <s v="Construction Intelligence &amp; Analytics, Inc."/>
    <n v="100"/>
    <n v="2484"/>
    <n v="1022"/>
    <n v="1462"/>
  </r>
  <r>
    <s v="Consultants"/>
    <x v="2"/>
    <x v="5"/>
    <x v="5"/>
    <s v="Gadget"/>
    <d v="2018-03-24T00:00:00"/>
    <s v="Andrew Spain Consulting"/>
    <n v="1000"/>
    <n v="23820"/>
    <n v="9840"/>
    <n v="13980"/>
  </r>
  <r>
    <s v="Training"/>
    <x v="1"/>
    <x v="1"/>
    <x v="1"/>
    <s v="Gadget"/>
    <d v="2018-03-25T00:00:00"/>
    <s v="CPASelfStudy.com"/>
    <n v="200"/>
    <n v="4472"/>
    <n v="1968"/>
    <n v="2504"/>
  </r>
  <r>
    <s v="Software"/>
    <x v="0"/>
    <x v="0"/>
    <x v="0"/>
    <s v="Widget"/>
    <d v="2018-03-26T00:00:00"/>
    <s v="Excel4Apps"/>
    <n v="700"/>
    <n v="11858"/>
    <n v="5929"/>
    <n v="5929"/>
  </r>
  <r>
    <s v="Software"/>
    <x v="0"/>
    <x v="0"/>
    <x v="0"/>
    <s v="Widget"/>
    <d v="2018-03-28T00:00:00"/>
    <s v="Excel4Apps"/>
    <n v="500"/>
    <n v="9855"/>
    <n v="4235"/>
    <n v="5620"/>
  </r>
  <r>
    <s v="Consultants"/>
    <x v="2"/>
    <x v="5"/>
    <x v="5"/>
    <s v="Gadget"/>
    <d v="2018-03-30T00:00:00"/>
    <s v="Andrew Spain Consulting"/>
    <n v="800"/>
    <n v="17240"/>
    <n v="7872"/>
    <n v="9368"/>
  </r>
  <r>
    <s v="Training"/>
    <x v="0"/>
    <x v="0"/>
    <x v="0"/>
    <s v="Gizmo"/>
    <d v="2018-03-31T00:00:00"/>
    <s v="599CD.com"/>
    <n v="600"/>
    <n v="13542"/>
    <n v="6132"/>
    <n v="7410"/>
  </r>
  <r>
    <s v="Retail"/>
    <x v="3"/>
    <x v="4"/>
    <x v="4"/>
    <s v="Doodads"/>
    <d v="2018-04-01T00:00:00"/>
    <s v="Bits of Confetti"/>
    <n v="300"/>
    <n v="5859"/>
    <n v="2541"/>
    <n v="3318"/>
  </r>
  <r>
    <s v="Retail"/>
    <x v="2"/>
    <x v="2"/>
    <x v="2"/>
    <s v="Gadget"/>
    <d v="2018-04-03T00:00:00"/>
    <s v="Hartville MarketPlace and Flea Market"/>
    <n v="300"/>
    <n v="7233"/>
    <n v="2952"/>
    <n v="4281"/>
  </r>
  <r>
    <s v="Training"/>
    <x v="0"/>
    <x v="0"/>
    <x v="0"/>
    <s v="Widget"/>
    <d v="2018-04-04T00:00:00"/>
    <s v="599CD.com"/>
    <n v="400"/>
    <n v="7752"/>
    <n v="3388"/>
    <n v="4364"/>
  </r>
  <r>
    <s v="Software"/>
    <x v="0"/>
    <x v="0"/>
    <x v="0"/>
    <s v="Gizmo"/>
    <d v="2018-04-04T00:00:00"/>
    <s v="Excel4Apps"/>
    <n v="700"/>
    <n v="15435"/>
    <n v="7154"/>
    <n v="8281"/>
  </r>
  <r>
    <s v="Retail"/>
    <x v="2"/>
    <x v="2"/>
    <x v="2"/>
    <s v="Gizmo"/>
    <d v="2018-04-05T00:00:00"/>
    <s v="Hartville MarketPlace and Flea Market"/>
    <n v="100"/>
    <n v="2178"/>
    <n v="1022"/>
    <n v="1156"/>
  </r>
  <r>
    <s v="Training"/>
    <x v="1"/>
    <x v="1"/>
    <x v="1"/>
    <s v="Widget"/>
    <d v="2018-04-05T00:00:00"/>
    <s v="MySpreadsheetLab"/>
    <n v="500"/>
    <n v="9575"/>
    <n v="4235"/>
    <n v="5340"/>
  </r>
  <r>
    <s v="Training"/>
    <x v="0"/>
    <x v="0"/>
    <x v="0"/>
    <s v="Widget"/>
    <d v="2018-04-07T00:00:00"/>
    <s v="599CD.com"/>
    <n v="500"/>
    <n v="10460"/>
    <n v="4235"/>
    <n v="6225"/>
  </r>
  <r>
    <s v="Software"/>
    <x v="0"/>
    <x v="0"/>
    <x v="0"/>
    <s v="Widget"/>
    <d v="2018-04-10T00:00:00"/>
    <s v="Excel4Apps"/>
    <n v="400"/>
    <n v="8132"/>
    <n v="3388"/>
    <n v="4744"/>
  </r>
  <r>
    <s v="Training"/>
    <x v="0"/>
    <x v="0"/>
    <x v="0"/>
    <s v="Gizmo"/>
    <d v="2018-04-10T00:00:00"/>
    <s v="599CD.com"/>
    <n v="800"/>
    <n v="18344"/>
    <n v="8176"/>
    <n v="10168"/>
  </r>
  <r>
    <s v="Training"/>
    <x v="1"/>
    <x v="1"/>
    <x v="1"/>
    <s v="Gadget"/>
    <d v="2018-04-12T00:00:00"/>
    <s v="CPASelfStudy.com"/>
    <n v="400"/>
    <n v="8776"/>
    <n v="3936"/>
    <n v="4840"/>
  </r>
  <r>
    <s v="Consultants"/>
    <x v="2"/>
    <x v="5"/>
    <x v="5"/>
    <s v="Gadget"/>
    <d v="2018-04-13T00:00:00"/>
    <s v="Andrew Spain Consulting"/>
    <n v="900"/>
    <n v="20403"/>
    <n v="8856"/>
    <n v="11547"/>
  </r>
  <r>
    <s v="Associations"/>
    <x v="1"/>
    <x v="1"/>
    <x v="1"/>
    <s v="Gadget"/>
    <d v="2018-04-14T00:00:00"/>
    <s v="IMA Houston Chapter"/>
    <n v="600"/>
    <n v="14004"/>
    <n v="5904"/>
    <n v="8100"/>
  </r>
  <r>
    <s v="Training"/>
    <x v="0"/>
    <x v="0"/>
    <x v="0"/>
    <s v="Widget"/>
    <d v="2018-04-15T00:00:00"/>
    <s v="599CD.com"/>
    <n v="800"/>
    <n v="14216"/>
    <n v="6776"/>
    <n v="7440"/>
  </r>
  <r>
    <s v="Software"/>
    <x v="0"/>
    <x v="0"/>
    <x v="0"/>
    <s v="Widget"/>
    <d v="2018-04-20T00:00:00"/>
    <s v="Excel4Apps"/>
    <n v="900"/>
    <n v="17172"/>
    <n v="7623"/>
    <n v="9549"/>
  </r>
  <r>
    <s v="Software"/>
    <x v="0"/>
    <x v="0"/>
    <x v="0"/>
    <s v="Gizmo"/>
    <d v="2018-04-21T00:00:00"/>
    <s v="Excel4Apps"/>
    <n v="1000"/>
    <n v="20670"/>
    <n v="10220"/>
    <n v="10450"/>
  </r>
  <r>
    <s v="Consultants"/>
    <x v="2"/>
    <x v="5"/>
    <x v="5"/>
    <s v="Widget"/>
    <d v="2018-04-22T00:00:00"/>
    <s v="Andrew Spain Consulting"/>
    <n v="400"/>
    <n v="7376"/>
    <n v="3388"/>
    <n v="3988"/>
  </r>
  <r>
    <s v="Consultants"/>
    <x v="0"/>
    <x v="3"/>
    <x v="3"/>
    <s v="Gizmo"/>
    <d v="2018-04-24T00:00:00"/>
    <s v="Construction Intelligence &amp; Analytics, Inc."/>
    <n v="800"/>
    <n v="17728"/>
    <n v="8176"/>
    <n v="9552"/>
  </r>
  <r>
    <s v="Training"/>
    <x v="0"/>
    <x v="7"/>
    <x v="7"/>
    <s v="Gadget"/>
    <d v="2018-04-25T00:00:00"/>
    <s v="ExcelTricks.de"/>
    <n v="1000"/>
    <n v="20950"/>
    <n v="9840"/>
    <n v="11110"/>
  </r>
  <r>
    <s v="Training"/>
    <x v="0"/>
    <x v="0"/>
    <x v="0"/>
    <s v="Widget"/>
    <d v="2018-04-26T00:00:00"/>
    <s v="599CD.com"/>
    <n v="400"/>
    <n v="7852"/>
    <n v="3388"/>
    <n v="4464"/>
  </r>
  <r>
    <s v="Consultants"/>
    <x v="2"/>
    <x v="5"/>
    <x v="5"/>
    <s v="Widget"/>
    <d v="2018-04-27T00:00:00"/>
    <s v="Andrew Spain Consulting"/>
    <n v="600"/>
    <n v="12360"/>
    <n v="5082"/>
    <n v="7278"/>
  </r>
  <r>
    <s v="Training"/>
    <x v="1"/>
    <x v="1"/>
    <x v="1"/>
    <s v="Widget"/>
    <d v="2018-04-29T00:00:00"/>
    <s v="CPASelfStudy.com"/>
    <n v="300"/>
    <n v="6069"/>
    <n v="2541"/>
    <n v="3528"/>
  </r>
  <r>
    <s v="Training"/>
    <x v="0"/>
    <x v="0"/>
    <x v="0"/>
    <s v="Gadget"/>
    <d v="2018-04-29T00:00:00"/>
    <s v="599CD.com"/>
    <n v="900"/>
    <n v="18990"/>
    <n v="8856"/>
    <n v="10134"/>
  </r>
  <r>
    <s v="Training"/>
    <x v="2"/>
    <x v="6"/>
    <x v="6"/>
    <s v="Widget"/>
    <d v="2018-05-01T00:00:00"/>
    <s v="MyOnlineTrainingHub.com"/>
    <n v="1000"/>
    <n v="20310"/>
    <n v="8470"/>
    <n v="11840"/>
  </r>
  <r>
    <s v="Training"/>
    <x v="2"/>
    <x v="6"/>
    <x v="6"/>
    <s v="Gadget"/>
    <d v="2018-05-01T00:00:00"/>
    <s v="MyOnlineTrainingHub.com"/>
    <n v="300"/>
    <n v="6018"/>
    <n v="2952"/>
    <n v="3066"/>
  </r>
  <r>
    <s v="Training"/>
    <x v="2"/>
    <x v="6"/>
    <x v="6"/>
    <s v="Gizmo"/>
    <d v="2018-05-02T00:00:00"/>
    <s v="MyOnlineTrainingHub.com"/>
    <n v="1000"/>
    <n v="25310"/>
    <n v="10220"/>
    <n v="15090"/>
  </r>
  <r>
    <s v="Software"/>
    <x v="1"/>
    <x v="1"/>
    <x v="1"/>
    <s v="Gadget"/>
    <d v="2018-05-03T00:00:00"/>
    <s v="F-Keys Ltd."/>
    <n v="200"/>
    <n v="4378"/>
    <n v="1968"/>
    <n v="2410"/>
  </r>
  <r>
    <s v="Software"/>
    <x v="0"/>
    <x v="0"/>
    <x v="0"/>
    <s v="Gadget"/>
    <d v="2018-05-05T00:00:00"/>
    <s v="Excel4Apps"/>
    <n v="700"/>
    <n v="15407"/>
    <n v="6888"/>
    <n v="8519"/>
  </r>
  <r>
    <s v="Consultants"/>
    <x v="2"/>
    <x v="5"/>
    <x v="5"/>
    <s v="Widget"/>
    <d v="2018-05-06T00:00:00"/>
    <s v="Andrew Spain Consulting"/>
    <n v="1000"/>
    <n v="18290"/>
    <n v="8470"/>
    <n v="9820"/>
  </r>
  <r>
    <s v="Training"/>
    <x v="2"/>
    <x v="6"/>
    <x v="6"/>
    <s v="Widget"/>
    <d v="2018-05-07T00:00:00"/>
    <s v="MyOnlineTrainingHub.com"/>
    <n v="100"/>
    <n v="1842"/>
    <n v="847"/>
    <n v="995"/>
  </r>
  <r>
    <s v="Training"/>
    <x v="1"/>
    <x v="1"/>
    <x v="1"/>
    <s v="Gizmo"/>
    <d v="2018-05-07T00:00:00"/>
    <s v="MySpreadsheetLab"/>
    <n v="500"/>
    <n v="10400"/>
    <n v="5110"/>
    <n v="5290"/>
  </r>
  <r>
    <s v="Training"/>
    <x v="0"/>
    <x v="0"/>
    <x v="0"/>
    <s v="Widget"/>
    <d v="2018-05-08T00:00:00"/>
    <s v="599CD.com"/>
    <n v="100"/>
    <n v="1982"/>
    <n v="847"/>
    <n v="1135"/>
  </r>
  <r>
    <s v="Training"/>
    <x v="1"/>
    <x v="1"/>
    <x v="1"/>
    <s v="Gizmo"/>
    <d v="2018-05-10T00:00:00"/>
    <s v="MySpreadsheetLab"/>
    <n v="300"/>
    <n v="6789"/>
    <n v="3066"/>
    <n v="3723"/>
  </r>
  <r>
    <s v="Professional"/>
    <x v="2"/>
    <x v="9"/>
    <x v="9"/>
    <s v="Gadget"/>
    <d v="2018-05-11T00:00:00"/>
    <s v="Serving Brevard Realty"/>
    <n v="300"/>
    <n v="7245"/>
    <n v="2952"/>
    <n v="4293"/>
  </r>
  <r>
    <s v="Retail"/>
    <x v="2"/>
    <x v="2"/>
    <x v="2"/>
    <s v="Gizmo"/>
    <d v="2018-05-12T00:00:00"/>
    <s v="Hartville MarketPlace and Flea Market"/>
    <n v="500"/>
    <n v="11000"/>
    <n v="5110"/>
    <n v="5890"/>
  </r>
  <r>
    <s v="Professional"/>
    <x v="2"/>
    <x v="9"/>
    <x v="9"/>
    <s v="Widget"/>
    <d v="2018-05-13T00:00:00"/>
    <s v="Serving Brevard Realty"/>
    <n v="500"/>
    <n v="9155"/>
    <n v="4235"/>
    <n v="4920"/>
  </r>
  <r>
    <s v="Software"/>
    <x v="0"/>
    <x v="0"/>
    <x v="0"/>
    <s v="Gadget"/>
    <d v="2018-05-13T00:00:00"/>
    <s v="Excel4Apps"/>
    <n v="400"/>
    <n v="9760"/>
    <n v="3936"/>
    <n v="5824"/>
  </r>
  <r>
    <s v="Training"/>
    <x v="0"/>
    <x v="0"/>
    <x v="0"/>
    <s v="Gizmo"/>
    <d v="2018-05-15T00:00:00"/>
    <s v="599CD.com"/>
    <n v="400"/>
    <n v="9156"/>
    <n v="4088"/>
    <n v="5068"/>
  </r>
  <r>
    <s v="Training"/>
    <x v="1"/>
    <x v="1"/>
    <x v="1"/>
    <s v="Gizmo"/>
    <d v="2018-05-18T00:00:00"/>
    <s v="CPASelfStudy.com"/>
    <n v="500"/>
    <n v="10385"/>
    <n v="5110"/>
    <n v="5275"/>
  </r>
  <r>
    <s v="Software"/>
    <x v="1"/>
    <x v="1"/>
    <x v="1"/>
    <s v="Gadget"/>
    <d v="2018-05-20T00:00:00"/>
    <s v="F-Keys Ltd."/>
    <n v="700"/>
    <n v="14203"/>
    <n v="6888"/>
    <n v="7315"/>
  </r>
  <r>
    <s v="Training"/>
    <x v="1"/>
    <x v="1"/>
    <x v="1"/>
    <s v="Gizmo"/>
    <d v="2018-05-21T00:00:00"/>
    <s v="MySpreadsheetLab"/>
    <n v="600"/>
    <n v="14634"/>
    <n v="6132"/>
    <n v="8502"/>
  </r>
  <r>
    <s v="Retail"/>
    <x v="2"/>
    <x v="2"/>
    <x v="2"/>
    <s v="Gizmo"/>
    <d v="2018-05-22T00:00:00"/>
    <s v="Hartville MarketPlace and Flea Market"/>
    <n v="100"/>
    <n v="2149"/>
    <n v="1022"/>
    <n v="1127"/>
  </r>
  <r>
    <s v="Consultants"/>
    <x v="3"/>
    <x v="4"/>
    <x v="4"/>
    <s v="Widget"/>
    <d v="2018-05-22T00:00:00"/>
    <s v="Data2Impact"/>
    <n v="700"/>
    <n v="13853"/>
    <n v="5929"/>
    <n v="7924"/>
  </r>
  <r>
    <s v="Training"/>
    <x v="0"/>
    <x v="0"/>
    <x v="0"/>
    <s v="Gadget"/>
    <d v="2018-05-23T00:00:00"/>
    <s v="599CD.com"/>
    <n v="200"/>
    <n v="4474"/>
    <n v="1968"/>
    <n v="2506"/>
  </r>
  <r>
    <s v="Training"/>
    <x v="0"/>
    <x v="0"/>
    <x v="0"/>
    <s v="Gizmo"/>
    <d v="2018-05-23T00:00:00"/>
    <s v="599CD.com"/>
    <n v="100"/>
    <n v="2487"/>
    <n v="1022"/>
    <n v="1465"/>
  </r>
  <r>
    <s v="Retail"/>
    <x v="2"/>
    <x v="2"/>
    <x v="2"/>
    <s v="Gizmo"/>
    <d v="2018-05-24T00:00:00"/>
    <s v="Hartville MarketPlace and Flea Market"/>
    <n v="200"/>
    <n v="4388"/>
    <n v="2044"/>
    <n v="2344"/>
  </r>
  <r>
    <s v="Training"/>
    <x v="1"/>
    <x v="1"/>
    <x v="1"/>
    <s v="Widget"/>
    <d v="2018-05-25T00:00:00"/>
    <s v="CPASelfStudy.com"/>
    <n v="300"/>
    <n v="5094"/>
    <n v="2541"/>
    <n v="2553"/>
  </r>
  <r>
    <s v="Software"/>
    <x v="0"/>
    <x v="0"/>
    <x v="0"/>
    <s v="Widget"/>
    <d v="2018-05-28T00:00:00"/>
    <s v="Excel4Apps"/>
    <n v="200"/>
    <n v="3632"/>
    <n v="1694"/>
    <n v="1938"/>
  </r>
  <r>
    <s v="Training"/>
    <x v="0"/>
    <x v="0"/>
    <x v="0"/>
    <s v="Gadget"/>
    <d v="2018-05-28T00:00:00"/>
    <s v="599CD.com"/>
    <n v="800"/>
    <n v="16264"/>
    <n v="7872"/>
    <n v="8392"/>
  </r>
  <r>
    <s v="Software"/>
    <x v="0"/>
    <x v="0"/>
    <x v="0"/>
    <s v="Gadget"/>
    <d v="2018-05-30T00:00:00"/>
    <s v="Excel4Apps"/>
    <n v="700"/>
    <n v="16408"/>
    <n v="6888"/>
    <n v="9520"/>
  </r>
  <r>
    <s v="Training"/>
    <x v="0"/>
    <x v="0"/>
    <x v="0"/>
    <s v="Gizmo"/>
    <d v="2018-05-30T00:00:00"/>
    <s v="599CD.com"/>
    <n v="500"/>
    <n v="12550"/>
    <n v="5110"/>
    <n v="7440"/>
  </r>
  <r>
    <s v="Training"/>
    <x v="2"/>
    <x v="6"/>
    <x v="6"/>
    <s v="Gadget"/>
    <d v="2018-05-31T00:00:00"/>
    <s v="MyOnlineTrainingHub.com"/>
    <n v="800"/>
    <n v="17056"/>
    <n v="7872"/>
    <n v="9184"/>
  </r>
  <r>
    <s v="Consultants"/>
    <x v="2"/>
    <x v="5"/>
    <x v="5"/>
    <s v="Gizmo"/>
    <d v="2018-05-31T00:00:00"/>
    <s v="Andrew Spain Consulting"/>
    <n v="800"/>
    <n v="19152"/>
    <n v="8176"/>
    <n v="10976"/>
  </r>
  <r>
    <s v="Professional"/>
    <x v="2"/>
    <x v="9"/>
    <x v="9"/>
    <s v="Gizmo"/>
    <d v="2018-06-03T00:00:00"/>
    <s v="Serving Brevard Realty"/>
    <n v="1000"/>
    <n v="23990"/>
    <n v="10220"/>
    <n v="13770"/>
  </r>
  <r>
    <s v="Training"/>
    <x v="1"/>
    <x v="1"/>
    <x v="1"/>
    <s v="Gizmo"/>
    <d v="2018-06-04T00:00:00"/>
    <s v="MySpreadsheetLab"/>
    <n v="1000"/>
    <n v="22020"/>
    <n v="10220"/>
    <n v="11800"/>
  </r>
  <r>
    <s v="Professional"/>
    <x v="3"/>
    <x v="11"/>
    <x v="11"/>
    <s v="Gizmo"/>
    <d v="2018-06-07T00:00:00"/>
    <s v="WM Squared Inc."/>
    <n v="400"/>
    <n v="9064"/>
    <n v="4088"/>
    <n v="4976"/>
  </r>
  <r>
    <s v="Training"/>
    <x v="1"/>
    <x v="1"/>
    <x v="1"/>
    <s v="Widget"/>
    <d v="2018-06-08T00:00:00"/>
    <s v="MySpreadsheetLab"/>
    <n v="900"/>
    <n v="18072"/>
    <n v="7623"/>
    <n v="10449"/>
  </r>
  <r>
    <s v="Training"/>
    <x v="2"/>
    <x v="6"/>
    <x v="6"/>
    <s v="Widget"/>
    <d v="2018-06-09T00:00:00"/>
    <s v="MyOnlineTrainingHub.com"/>
    <n v="800"/>
    <n v="16288"/>
    <n v="6776"/>
    <n v="9512"/>
  </r>
  <r>
    <s v="Training"/>
    <x v="1"/>
    <x v="1"/>
    <x v="1"/>
    <s v="Gadget"/>
    <d v="2018-06-11T00:00:00"/>
    <s v="LearnExcelBooks.com"/>
    <n v="800"/>
    <n v="17944"/>
    <n v="7872"/>
    <n v="10072"/>
  </r>
  <r>
    <s v="Consultants"/>
    <x v="2"/>
    <x v="5"/>
    <x v="5"/>
    <s v="Gadget"/>
    <d v="2018-06-12T00:00:00"/>
    <s v="Andrew Spain Consulting"/>
    <n v="300"/>
    <n v="6477"/>
    <n v="2952"/>
    <n v="3525"/>
  </r>
  <r>
    <s v="Retail"/>
    <x v="2"/>
    <x v="2"/>
    <x v="2"/>
    <s v="Widget"/>
    <d v="2018-06-13T00:00:00"/>
    <s v="Hartville MarketPlace and Flea Market"/>
    <n v="600"/>
    <n v="10404"/>
    <n v="5082"/>
    <n v="5322"/>
  </r>
  <r>
    <s v="Training"/>
    <x v="1"/>
    <x v="1"/>
    <x v="1"/>
    <s v="Widget"/>
    <d v="2018-06-14T00:00:00"/>
    <s v="LearnExcelBooks.com"/>
    <n v="500"/>
    <n v="8780"/>
    <n v="4235"/>
    <n v="4545"/>
  </r>
  <r>
    <s v="Training"/>
    <x v="1"/>
    <x v="1"/>
    <x v="1"/>
    <s v="Widget"/>
    <d v="2018-06-18T00:00:00"/>
    <s v="CPASelfStudy.com"/>
    <n v="700"/>
    <n v="13874"/>
    <n v="5929"/>
    <n v="7945"/>
  </r>
  <r>
    <s v="Software"/>
    <x v="1"/>
    <x v="1"/>
    <x v="1"/>
    <s v="Gizmo"/>
    <d v="2018-06-21T00:00:00"/>
    <s v="F-Keys Ltd."/>
    <n v="700"/>
    <n v="15988"/>
    <n v="7154"/>
    <n v="8834"/>
  </r>
  <r>
    <s v="Training"/>
    <x v="2"/>
    <x v="6"/>
    <x v="6"/>
    <s v="Gadget"/>
    <d v="2018-06-24T00:00:00"/>
    <s v="MyOnlineTrainingHub.com"/>
    <n v="1000"/>
    <n v="20020"/>
    <n v="9840"/>
    <n v="10180"/>
  </r>
  <r>
    <s v="Associations"/>
    <x v="1"/>
    <x v="1"/>
    <x v="1"/>
    <s v="Gadget"/>
    <d v="2018-06-25T00:00:00"/>
    <s v="IMA Houston Chapter"/>
    <n v="200"/>
    <n v="4060"/>
    <n v="1968"/>
    <n v="2092"/>
  </r>
  <r>
    <s v="Training"/>
    <x v="1"/>
    <x v="1"/>
    <x v="1"/>
    <s v="Widget"/>
    <d v="2018-06-26T00:00:00"/>
    <s v="CPASelfStudy.com"/>
    <n v="800"/>
    <n v="15400"/>
    <n v="6776"/>
    <n v="8624"/>
  </r>
  <r>
    <s v="Training"/>
    <x v="0"/>
    <x v="0"/>
    <x v="0"/>
    <s v="Gadget"/>
    <d v="2018-06-26T00:00:00"/>
    <s v="599CD.com"/>
    <n v="700"/>
    <n v="16219"/>
    <n v="6888"/>
    <n v="9331"/>
  </r>
  <r>
    <s v="Retail"/>
    <x v="2"/>
    <x v="2"/>
    <x v="2"/>
    <s v="Gizmo"/>
    <d v="2018-06-27T00:00:00"/>
    <s v="Hartville MarketPlace and Flea Market"/>
    <n v="400"/>
    <n v="8804"/>
    <n v="4088"/>
    <n v="4716"/>
  </r>
  <r>
    <s v="Retail"/>
    <x v="2"/>
    <x v="2"/>
    <x v="2"/>
    <s v="Gizmo"/>
    <d v="2018-06-30T00:00:00"/>
    <s v="Hartville MarketPlace and Flea Market"/>
    <n v="500"/>
    <n v="12425"/>
    <n v="5110"/>
    <n v="7315"/>
  </r>
  <r>
    <s v="Software"/>
    <x v="1"/>
    <x v="1"/>
    <x v="1"/>
    <s v="Gadget"/>
    <d v="2018-07-01T00:00:00"/>
    <s v="F-Keys Ltd."/>
    <n v="100"/>
    <n v="2054"/>
    <n v="984"/>
    <n v="1070"/>
  </r>
  <r>
    <s v="Training"/>
    <x v="1"/>
    <x v="1"/>
    <x v="1"/>
    <s v="Gizmo"/>
    <d v="2018-07-02T00:00:00"/>
    <s v="LearnExcelBooks.com"/>
    <n v="400"/>
    <n v="9816"/>
    <n v="4088"/>
    <n v="5728"/>
  </r>
  <r>
    <s v="Training"/>
    <x v="2"/>
    <x v="6"/>
    <x v="6"/>
    <s v="Widget"/>
    <d v="2018-07-03T00:00:00"/>
    <s v="MyOnlineTrainingHub.com"/>
    <n v="200"/>
    <n v="4192"/>
    <n v="1694"/>
    <n v="2498"/>
  </r>
  <r>
    <s v="Consultants"/>
    <x v="2"/>
    <x v="5"/>
    <x v="5"/>
    <s v="Gadget"/>
    <d v="2018-07-03T00:00:00"/>
    <s v="Andrew Spain Consulting"/>
    <n v="900"/>
    <n v="18099"/>
    <n v="8856"/>
    <n v="9243"/>
  </r>
  <r>
    <s v="Retail"/>
    <x v="2"/>
    <x v="2"/>
    <x v="2"/>
    <s v="Gadget"/>
    <d v="2018-07-05T00:00:00"/>
    <s v="Hartville MarketPlace and Flea Market"/>
    <n v="700"/>
    <n v="16303"/>
    <n v="6888"/>
    <n v="9415"/>
  </r>
  <r>
    <s v="Consultants"/>
    <x v="2"/>
    <x v="5"/>
    <x v="5"/>
    <s v="Gizmo"/>
    <d v="2018-07-07T00:00:00"/>
    <s v="Andrew Spain Consulting"/>
    <n v="400"/>
    <n v="8580"/>
    <n v="4088"/>
    <n v="4492"/>
  </r>
  <r>
    <s v="Software"/>
    <x v="0"/>
    <x v="0"/>
    <x v="0"/>
    <s v="Gadget"/>
    <d v="2018-07-08T00:00:00"/>
    <s v="Excel4Apps"/>
    <n v="500"/>
    <n v="12270"/>
    <n v="4920"/>
    <n v="7350"/>
  </r>
  <r>
    <s v="Consultants"/>
    <x v="2"/>
    <x v="5"/>
    <x v="5"/>
    <s v="Widget"/>
    <d v="2018-07-11T00:00:00"/>
    <s v="Andrew Spain Consulting"/>
    <n v="900"/>
    <n v="17883"/>
    <n v="7623"/>
    <n v="10260"/>
  </r>
  <r>
    <s v="Training"/>
    <x v="1"/>
    <x v="1"/>
    <x v="1"/>
    <s v="Gadget"/>
    <d v="2018-07-13T00:00:00"/>
    <s v="LearnExcelBooks.com"/>
    <n v="500"/>
    <n v="11725"/>
    <n v="4920"/>
    <n v="6805"/>
  </r>
  <r>
    <s v="Training"/>
    <x v="1"/>
    <x v="1"/>
    <x v="1"/>
    <s v="Gizmo"/>
    <d v="2018-07-14T00:00:00"/>
    <s v="LearnExcelBooks.com"/>
    <n v="900"/>
    <n v="21366"/>
    <n v="9198"/>
    <n v="12168"/>
  </r>
  <r>
    <s v="Software"/>
    <x v="0"/>
    <x v="7"/>
    <x v="7"/>
    <s v="Gadget"/>
    <d v="2018-07-15T00:00:00"/>
    <s v="Frontline Systems"/>
    <n v="700"/>
    <n v="14497"/>
    <n v="6888"/>
    <n v="7609"/>
  </r>
  <r>
    <s v="Training"/>
    <x v="0"/>
    <x v="0"/>
    <x v="0"/>
    <s v="Gadget"/>
    <d v="2018-07-16T00:00:00"/>
    <s v="599CD.com"/>
    <n v="800"/>
    <n v="17416"/>
    <n v="7872"/>
    <n v="9544"/>
  </r>
  <r>
    <s v="Training"/>
    <x v="0"/>
    <x v="0"/>
    <x v="0"/>
    <s v="Widget"/>
    <d v="2018-07-18T00:00:00"/>
    <s v="599CD.com"/>
    <n v="700"/>
    <n v="13804"/>
    <n v="5929"/>
    <n v="7875"/>
  </r>
  <r>
    <s v="Training"/>
    <x v="1"/>
    <x v="1"/>
    <x v="1"/>
    <s v="Gizmo"/>
    <d v="2018-07-18T00:00:00"/>
    <s v="LearnExcelBooks.com"/>
    <n v="200"/>
    <n v="4902"/>
    <n v="2044"/>
    <n v="2858"/>
  </r>
  <r>
    <s v="Consultants"/>
    <x v="2"/>
    <x v="5"/>
    <x v="5"/>
    <s v="Gadget"/>
    <d v="2018-07-19T00:00:00"/>
    <s v="Andrew Spain Consulting"/>
    <n v="500"/>
    <n v="11235"/>
    <n v="4920"/>
    <n v="6315"/>
  </r>
  <r>
    <s v="Consultants"/>
    <x v="0"/>
    <x v="8"/>
    <x v="8"/>
    <s v="Gizmo"/>
    <d v="2018-07-21T00:00:00"/>
    <s v="Excelerator BI"/>
    <n v="1000"/>
    <n v="22840"/>
    <n v="10220"/>
    <n v="12620"/>
  </r>
  <r>
    <s v="Retail"/>
    <x v="2"/>
    <x v="2"/>
    <x v="2"/>
    <s v="Widget"/>
    <d v="2018-07-22T00:00:00"/>
    <s v="Hartville MarketPlace and Flea Market"/>
    <n v="200"/>
    <n v="3390"/>
    <n v="1694"/>
    <n v="1696"/>
  </r>
  <r>
    <s v="Software"/>
    <x v="1"/>
    <x v="1"/>
    <x v="1"/>
    <s v="Gadget"/>
    <d v="2018-07-23T00:00:00"/>
    <s v="F-Keys Ltd."/>
    <n v="300"/>
    <n v="6228"/>
    <n v="2952"/>
    <n v="3276"/>
  </r>
  <r>
    <s v="Training"/>
    <x v="0"/>
    <x v="0"/>
    <x v="0"/>
    <s v="Gadget"/>
    <d v="2018-07-26T00:00:00"/>
    <s v="599CD.com"/>
    <n v="600"/>
    <n v="13332"/>
    <n v="5904"/>
    <n v="7428"/>
  </r>
  <r>
    <s v="Consultants"/>
    <x v="2"/>
    <x v="5"/>
    <x v="5"/>
    <s v="Gadget"/>
    <d v="2018-07-27T00:00:00"/>
    <s v="Andrew Spain Consulting"/>
    <n v="200"/>
    <n v="4132"/>
    <n v="1968"/>
    <n v="2164"/>
  </r>
  <r>
    <s v="Retail"/>
    <x v="2"/>
    <x v="2"/>
    <x v="2"/>
    <s v="Gizmo"/>
    <d v="2018-07-28T00:00:00"/>
    <s v="Hartville MarketPlace and Flea Market"/>
    <n v="200"/>
    <n v="4722"/>
    <n v="2044"/>
    <n v="2678"/>
  </r>
  <r>
    <s v="Software"/>
    <x v="0"/>
    <x v="0"/>
    <x v="0"/>
    <s v="Gadget"/>
    <d v="2018-07-29T00:00:00"/>
    <s v="Excel4Apps"/>
    <n v="700"/>
    <n v="16170"/>
    <n v="6888"/>
    <n v="9282"/>
  </r>
  <r>
    <s v="Software"/>
    <x v="1"/>
    <x v="1"/>
    <x v="1"/>
    <s v="Gadget"/>
    <d v="2018-07-30T00:00:00"/>
    <s v="F-Keys Ltd."/>
    <n v="300"/>
    <n v="6159"/>
    <n v="2952"/>
    <n v="3207"/>
  </r>
  <r>
    <s v="Training"/>
    <x v="3"/>
    <x v="4"/>
    <x v="4"/>
    <s v="Widget"/>
    <d v="2018-07-30T00:00:00"/>
    <s v="Lake Local School District"/>
    <n v="1000"/>
    <n v="18290"/>
    <n v="8470"/>
    <n v="9820"/>
  </r>
  <r>
    <s v="Retail"/>
    <x v="2"/>
    <x v="2"/>
    <x v="2"/>
    <s v="Widget"/>
    <d v="2018-07-31T00:00:00"/>
    <s v="Hartville MarketPlace and Flea Market"/>
    <n v="1000"/>
    <n v="18500"/>
    <n v="8470"/>
    <n v="10030"/>
  </r>
  <r>
    <s v="Retail"/>
    <x v="2"/>
    <x v="2"/>
    <x v="2"/>
    <s v="Gizmo"/>
    <d v="2018-08-03T00:00:00"/>
    <s v="Hartville MarketPlace and Flea Market"/>
    <n v="900"/>
    <n v="21159"/>
    <n v="9198"/>
    <n v="11961"/>
  </r>
  <r>
    <s v="Training"/>
    <x v="2"/>
    <x v="6"/>
    <x v="6"/>
    <s v="Widget"/>
    <d v="2018-08-04T00:00:00"/>
    <s v="MyOnlineTrainingHub.com"/>
    <n v="800"/>
    <n v="15488"/>
    <n v="6776"/>
    <n v="8712"/>
  </r>
  <r>
    <s v="Training"/>
    <x v="0"/>
    <x v="0"/>
    <x v="0"/>
    <s v="Gizmo"/>
    <d v="2018-08-04T00:00:00"/>
    <s v="599CD.com"/>
    <n v="100"/>
    <n v="2547"/>
    <n v="1022"/>
    <n v="1525"/>
  </r>
  <r>
    <s v="Consultants"/>
    <x v="2"/>
    <x v="5"/>
    <x v="5"/>
    <s v="Widget"/>
    <d v="2018-08-05T00:00:00"/>
    <s v="Andrew Spain Consulting"/>
    <n v="200"/>
    <n v="3418"/>
    <n v="1694"/>
    <n v="1724"/>
  </r>
  <r>
    <s v="Software"/>
    <x v="0"/>
    <x v="0"/>
    <x v="0"/>
    <s v="Widget"/>
    <d v="2018-08-06T00:00:00"/>
    <s v="Excel4Apps"/>
    <n v="1000"/>
    <n v="19530"/>
    <n v="8470"/>
    <n v="11060"/>
  </r>
  <r>
    <s v="Professional"/>
    <x v="3"/>
    <x v="11"/>
    <x v="11"/>
    <s v="Gadget"/>
    <d v="2018-08-07T00:00:00"/>
    <s v="WM Squared Inc."/>
    <n v="200"/>
    <n v="4380"/>
    <n v="1968"/>
    <n v="2412"/>
  </r>
  <r>
    <s v="Consultants"/>
    <x v="2"/>
    <x v="5"/>
    <x v="5"/>
    <s v="Gadget"/>
    <d v="2018-08-11T00:00:00"/>
    <s v="Andrew Spain Consulting"/>
    <n v="600"/>
    <n v="13368"/>
    <n v="5904"/>
    <n v="7464"/>
  </r>
  <r>
    <s v="Training"/>
    <x v="0"/>
    <x v="0"/>
    <x v="0"/>
    <s v="Gizmo"/>
    <d v="2018-08-12T00:00:00"/>
    <s v="599CD.com"/>
    <n v="200"/>
    <n v="4550"/>
    <n v="2044"/>
    <n v="2506"/>
  </r>
  <r>
    <s v="Training"/>
    <x v="2"/>
    <x v="6"/>
    <x v="6"/>
    <s v="Gadget"/>
    <d v="2018-08-14T00:00:00"/>
    <s v="MyOnlineTrainingHub.com"/>
    <n v="300"/>
    <n v="6522"/>
    <n v="2952"/>
    <n v="3570"/>
  </r>
  <r>
    <s v="Associations"/>
    <x v="2"/>
    <x v="2"/>
    <x v="2"/>
    <s v="Gadget"/>
    <d v="2018-08-16T00:00:00"/>
    <s v="Association for Computers &amp; Taxation"/>
    <n v="200"/>
    <n v="4270"/>
    <n v="1968"/>
    <n v="2302"/>
  </r>
  <r>
    <s v="Professional"/>
    <x v="2"/>
    <x v="9"/>
    <x v="9"/>
    <s v="Gadget"/>
    <d v="2018-08-16T00:00:00"/>
    <s v="Serving Brevard Realty"/>
    <n v="700"/>
    <n v="17213"/>
    <n v="6888"/>
    <n v="10325"/>
  </r>
  <r>
    <s v="Retail"/>
    <x v="2"/>
    <x v="2"/>
    <x v="2"/>
    <s v="Gadget"/>
    <d v="2018-08-18T00:00:00"/>
    <s v="Hartville MarketPlace and Flea Market"/>
    <n v="800"/>
    <n v="16232"/>
    <n v="7872"/>
    <n v="8360"/>
  </r>
  <r>
    <s v="Training"/>
    <x v="0"/>
    <x v="0"/>
    <x v="0"/>
    <s v="Gizmo"/>
    <d v="2018-08-19T00:00:00"/>
    <s v="599CD.com"/>
    <n v="500"/>
    <n v="12755"/>
    <n v="5110"/>
    <n v="7645"/>
  </r>
  <r>
    <s v="Software"/>
    <x v="0"/>
    <x v="0"/>
    <x v="0"/>
    <s v="Gadget"/>
    <d v="2018-08-20T00:00:00"/>
    <s v="Excel4Apps"/>
    <n v="200"/>
    <n v="4470"/>
    <n v="1968"/>
    <n v="2502"/>
  </r>
  <r>
    <s v="Training"/>
    <x v="0"/>
    <x v="0"/>
    <x v="0"/>
    <s v="Widget"/>
    <d v="2018-08-21T00:00:00"/>
    <s v="599CD.com"/>
    <n v="300"/>
    <n v="6156"/>
    <n v="2541"/>
    <n v="3615"/>
  </r>
  <r>
    <s v="Training"/>
    <x v="1"/>
    <x v="1"/>
    <x v="1"/>
    <s v="Widget"/>
    <d v="2018-08-22T00:00:00"/>
    <s v="CPASelfStudy.com"/>
    <n v="800"/>
    <n v="15544"/>
    <n v="6776"/>
    <n v="8768"/>
  </r>
  <r>
    <s v="Training"/>
    <x v="0"/>
    <x v="0"/>
    <x v="0"/>
    <s v="Gadget"/>
    <d v="2018-08-24T00:00:00"/>
    <s v="599CD.com"/>
    <n v="100"/>
    <n v="2409"/>
    <n v="984"/>
    <n v="1425"/>
  </r>
  <r>
    <s v="Professional"/>
    <x v="2"/>
    <x v="9"/>
    <x v="9"/>
    <s v="Gizmo"/>
    <d v="2018-08-25T00:00:00"/>
    <s v="Serving Brevard Realty"/>
    <n v="600"/>
    <n v="12570"/>
    <n v="6132"/>
    <n v="6438"/>
  </r>
  <r>
    <s v="Training"/>
    <x v="1"/>
    <x v="1"/>
    <x v="1"/>
    <s v="Gizmo"/>
    <d v="2018-08-25T00:00:00"/>
    <s v="LearnExcelBooks.com"/>
    <n v="300"/>
    <n v="6438"/>
    <n v="3066"/>
    <n v="3372"/>
  </r>
  <r>
    <s v="Training"/>
    <x v="0"/>
    <x v="0"/>
    <x v="0"/>
    <s v="Gizmo"/>
    <d v="2018-08-26T00:00:00"/>
    <s v="599CD.com"/>
    <n v="900"/>
    <n v="19593"/>
    <n v="9198"/>
    <n v="10395"/>
  </r>
  <r>
    <s v="Software"/>
    <x v="1"/>
    <x v="1"/>
    <x v="1"/>
    <s v="Widget"/>
    <d v="2018-08-27T00:00:00"/>
    <s v="F-Keys Ltd."/>
    <n v="900"/>
    <n v="18981"/>
    <n v="7623"/>
    <n v="11358"/>
  </r>
  <r>
    <s v="Retail"/>
    <x v="2"/>
    <x v="2"/>
    <x v="2"/>
    <s v="Gizmo"/>
    <d v="2018-08-28T00:00:00"/>
    <s v="Hartville MarketPlace and Flea Market"/>
    <n v="800"/>
    <n v="17160"/>
    <n v="8176"/>
    <n v="8984"/>
  </r>
  <r>
    <s v="Training"/>
    <x v="1"/>
    <x v="1"/>
    <x v="1"/>
    <s v="Widget"/>
    <d v="2018-08-28T00:00:00"/>
    <s v="LearnExcelBooks.com"/>
    <n v="100"/>
    <n v="2028"/>
    <n v="847"/>
    <n v="1181"/>
  </r>
  <r>
    <s v="Consultants"/>
    <x v="2"/>
    <x v="5"/>
    <x v="5"/>
    <s v="Widget"/>
    <d v="2018-08-28T00:00:00"/>
    <s v="Andrew Spain Consulting"/>
    <n v="300"/>
    <n v="5859"/>
    <n v="2541"/>
    <n v="3318"/>
  </r>
  <r>
    <s v="Consultants"/>
    <x v="2"/>
    <x v="2"/>
    <x v="2"/>
    <s v="Widget"/>
    <d v="2018-08-29T00:00:00"/>
    <s v="Cambia Factor"/>
    <n v="300"/>
    <n v="5532"/>
    <n v="2541"/>
    <n v="2991"/>
  </r>
  <r>
    <s v="Training"/>
    <x v="0"/>
    <x v="0"/>
    <x v="0"/>
    <s v="Gizmo"/>
    <d v="2018-08-30T00:00:00"/>
    <s v="599CD.com"/>
    <n v="500"/>
    <n v="12575"/>
    <n v="5110"/>
    <n v="7465"/>
  </r>
  <r>
    <s v="Training"/>
    <x v="1"/>
    <x v="1"/>
    <x v="1"/>
    <s v="Widget"/>
    <d v="2018-09-01T00:00:00"/>
    <s v="MySpreadsheetLab"/>
    <n v="800"/>
    <n v="16144"/>
    <n v="6776"/>
    <n v="9368"/>
  </r>
  <r>
    <s v="Software"/>
    <x v="0"/>
    <x v="0"/>
    <x v="0"/>
    <s v="Gadget"/>
    <d v="2018-09-03T00:00:00"/>
    <s v="Excel4Apps"/>
    <n v="900"/>
    <n v="18486"/>
    <n v="8856"/>
    <n v="9630"/>
  </r>
  <r>
    <s v="Retail"/>
    <x v="2"/>
    <x v="2"/>
    <x v="2"/>
    <s v="Widget"/>
    <d v="2018-09-05T00:00:00"/>
    <s v="Hartville MarketPlace and Flea Market"/>
    <n v="900"/>
    <n v="17289"/>
    <n v="7623"/>
    <n v="9666"/>
  </r>
  <r>
    <s v="Software"/>
    <x v="0"/>
    <x v="0"/>
    <x v="0"/>
    <s v="Gadget"/>
    <d v="2018-09-05T00:00:00"/>
    <s v="Excel4Apps"/>
    <n v="100"/>
    <n v="2106"/>
    <n v="984"/>
    <n v="1122"/>
  </r>
  <r>
    <s v="Professional"/>
    <x v="2"/>
    <x v="6"/>
    <x v="6"/>
    <s v="Gadget"/>
    <d v="2018-09-09T00:00:00"/>
    <s v="Juliet Babcock-Hyde CPA, PLLC"/>
    <n v="100"/>
    <n v="2029"/>
    <n v="984"/>
    <n v="1045"/>
  </r>
  <r>
    <s v="Software"/>
    <x v="1"/>
    <x v="1"/>
    <x v="1"/>
    <s v="Gizmo"/>
    <d v="2018-09-10T00:00:00"/>
    <s v="F-Keys Ltd."/>
    <n v="600"/>
    <n v="12936"/>
    <n v="6132"/>
    <n v="6804"/>
  </r>
  <r>
    <s v="Consultants"/>
    <x v="3"/>
    <x v="4"/>
    <x v="4"/>
    <s v="Gadget"/>
    <d v="2018-09-10T00:00:00"/>
    <s v="Fintega Financial Modelling"/>
    <n v="500"/>
    <n v="11550"/>
    <n v="4920"/>
    <n v="6630"/>
  </r>
  <r>
    <s v="Professional"/>
    <x v="2"/>
    <x v="9"/>
    <x v="9"/>
    <s v="Gadget"/>
    <d v="2018-09-12T00:00:00"/>
    <s v="Serving Brevard Realty"/>
    <n v="600"/>
    <n v="14580"/>
    <n v="5904"/>
    <n v="8676"/>
  </r>
  <r>
    <s v="Training"/>
    <x v="1"/>
    <x v="1"/>
    <x v="1"/>
    <s v="Gizmo"/>
    <d v="2018-09-14T00:00:00"/>
    <s v="MySpreadsheetLab"/>
    <n v="100"/>
    <n v="2058"/>
    <n v="1022"/>
    <n v="1036"/>
  </r>
  <r>
    <s v="Training"/>
    <x v="0"/>
    <x v="0"/>
    <x v="0"/>
    <s v="Gadget"/>
    <d v="2018-09-14T00:00:00"/>
    <s v="599CD.com"/>
    <n v="600"/>
    <n v="13566"/>
    <n v="5904"/>
    <n v="7662"/>
  </r>
  <r>
    <s v="Training"/>
    <x v="1"/>
    <x v="1"/>
    <x v="1"/>
    <s v="Widget"/>
    <d v="2018-09-17T00:00:00"/>
    <s v="CPASelfStudy.com"/>
    <n v="100"/>
    <n v="1741"/>
    <n v="847"/>
    <n v="894"/>
  </r>
  <r>
    <s v="Retail"/>
    <x v="2"/>
    <x v="2"/>
    <x v="2"/>
    <s v="Gizmo"/>
    <d v="2018-09-18T00:00:00"/>
    <s v="Hartville MarketPlace and Flea Market"/>
    <n v="200"/>
    <n v="5002"/>
    <n v="2044"/>
    <n v="2958"/>
  </r>
  <r>
    <s v="Training"/>
    <x v="2"/>
    <x v="6"/>
    <x v="6"/>
    <s v="Widget"/>
    <d v="2018-09-19T00:00:00"/>
    <s v="MyOnlineTrainingHub.com"/>
    <n v="100"/>
    <n v="1795"/>
    <n v="847"/>
    <n v="948"/>
  </r>
  <r>
    <s v="Training"/>
    <x v="1"/>
    <x v="1"/>
    <x v="1"/>
    <s v="Gadget"/>
    <d v="2018-09-22T00:00:00"/>
    <s v="LearnExcelBooks.com"/>
    <n v="400"/>
    <n v="8592"/>
    <n v="3936"/>
    <n v="4656"/>
  </r>
  <r>
    <s v="Training"/>
    <x v="2"/>
    <x v="6"/>
    <x v="6"/>
    <s v="Gadget"/>
    <d v="2018-09-25T00:00:00"/>
    <s v="MyOnlineTrainingHub.com"/>
    <n v="600"/>
    <n v="12690"/>
    <n v="5904"/>
    <n v="6786"/>
  </r>
  <r>
    <s v="Training"/>
    <x v="1"/>
    <x v="1"/>
    <x v="1"/>
    <s v="Gadget"/>
    <d v="2018-09-25T00:00:00"/>
    <s v="LearnExcelBooks.com"/>
    <n v="300"/>
    <n v="6582"/>
    <n v="2952"/>
    <n v="3630"/>
  </r>
  <r>
    <s v="Training"/>
    <x v="1"/>
    <x v="1"/>
    <x v="1"/>
    <s v="Gadget"/>
    <d v="2018-09-26T00:00:00"/>
    <s v="CPASelfStudy.com"/>
    <n v="400"/>
    <n v="9672"/>
    <n v="3936"/>
    <n v="5736"/>
  </r>
  <r>
    <s v="Training"/>
    <x v="1"/>
    <x v="1"/>
    <x v="1"/>
    <s v="Gizmo"/>
    <d v="2018-09-26T00:00:00"/>
    <s v="CPASelfStudy.com"/>
    <n v="900"/>
    <n v="22014"/>
    <n v="9198"/>
    <n v="12816"/>
  </r>
  <r>
    <s v="Retail"/>
    <x v="2"/>
    <x v="2"/>
    <x v="2"/>
    <s v="Widget"/>
    <d v="2018-09-27T00:00:00"/>
    <s v="Hartville MarketPlace and Flea Market"/>
    <n v="1000"/>
    <n v="18530"/>
    <n v="8470"/>
    <n v="10060"/>
  </r>
  <r>
    <s v="Consultants"/>
    <x v="2"/>
    <x v="5"/>
    <x v="5"/>
    <s v="Gadget"/>
    <d v="2018-09-27T00:00:00"/>
    <s v="Andrew Spain Consulting"/>
    <n v="600"/>
    <n v="14004"/>
    <n v="5904"/>
    <n v="8100"/>
  </r>
  <r>
    <s v="Consultants"/>
    <x v="2"/>
    <x v="5"/>
    <x v="5"/>
    <s v="Widget"/>
    <d v="2018-09-28T00:00:00"/>
    <s v="Andrew Spain Consulting"/>
    <n v="700"/>
    <n v="13139"/>
    <n v="5929"/>
    <n v="7210"/>
  </r>
  <r>
    <s v="Professional"/>
    <x v="2"/>
    <x v="9"/>
    <x v="9"/>
    <s v="Widget"/>
    <d v="2018-09-29T00:00:00"/>
    <s v="Serving Brevard Realty"/>
    <n v="500"/>
    <n v="8715"/>
    <n v="4235"/>
    <n v="4480"/>
  </r>
  <r>
    <s v="Training"/>
    <x v="1"/>
    <x v="1"/>
    <x v="1"/>
    <s v="Widget"/>
    <d v="2018-10-02T00:00:00"/>
    <s v="MySpreadsheetLab"/>
    <n v="400"/>
    <n v="6944"/>
    <n v="3388"/>
    <n v="3556"/>
  </r>
  <r>
    <s v="Consultants"/>
    <x v="2"/>
    <x v="5"/>
    <x v="5"/>
    <s v="Gizmo"/>
    <d v="2018-10-03T00:00:00"/>
    <s v="Andrew Spain Consulting"/>
    <n v="500"/>
    <n v="12760"/>
    <n v="5110"/>
    <n v="7650"/>
  </r>
  <r>
    <s v="Consultants"/>
    <x v="2"/>
    <x v="5"/>
    <x v="5"/>
    <s v="Gizmo"/>
    <d v="2018-10-05T00:00:00"/>
    <s v="Andrew Spain Consulting"/>
    <n v="1000"/>
    <n v="24070"/>
    <n v="10220"/>
    <n v="13850"/>
  </r>
  <r>
    <s v="Software"/>
    <x v="0"/>
    <x v="0"/>
    <x v="0"/>
    <s v="Gadget"/>
    <d v="2018-10-06T00:00:00"/>
    <s v="Excel4Apps"/>
    <n v="200"/>
    <n v="4186"/>
    <n v="1968"/>
    <n v="2218"/>
  </r>
  <r>
    <s v="Software"/>
    <x v="1"/>
    <x v="1"/>
    <x v="1"/>
    <s v="Widget"/>
    <d v="2018-10-07T00:00:00"/>
    <s v="F-Keys Ltd."/>
    <n v="700"/>
    <n v="13195"/>
    <n v="5929"/>
    <n v="7266"/>
  </r>
  <r>
    <s v="Training"/>
    <x v="1"/>
    <x v="1"/>
    <x v="1"/>
    <s v="Widget"/>
    <d v="2018-10-08T00:00:00"/>
    <s v="CPASelfStudy.com"/>
    <n v="200"/>
    <n v="3922"/>
    <n v="1694"/>
    <n v="2228"/>
  </r>
  <r>
    <s v="Professional"/>
    <x v="2"/>
    <x v="9"/>
    <x v="9"/>
    <s v="Gadget"/>
    <d v="2018-10-09T00:00:00"/>
    <s v="Serving Brevard Realty"/>
    <n v="1000"/>
    <n v="23970"/>
    <n v="9840"/>
    <n v="14130"/>
  </r>
  <r>
    <s v="Retail"/>
    <x v="0"/>
    <x v="10"/>
    <x v="10"/>
    <s v="Widget"/>
    <d v="2018-10-11T00:00:00"/>
    <s v="New Hope Laundry"/>
    <n v="500"/>
    <n v="8940"/>
    <n v="4235"/>
    <n v="4705"/>
  </r>
  <r>
    <s v="Retail"/>
    <x v="2"/>
    <x v="2"/>
    <x v="2"/>
    <s v="Gizmo"/>
    <d v="2018-10-12T00:00:00"/>
    <s v="Hartville MarketPlace and Flea Market"/>
    <n v="200"/>
    <n v="5002"/>
    <n v="2044"/>
    <n v="2958"/>
  </r>
  <r>
    <s v="Software"/>
    <x v="0"/>
    <x v="7"/>
    <x v="7"/>
    <s v="Widget"/>
    <d v="2018-10-14T00:00:00"/>
    <s v="Frontline Systems"/>
    <n v="1000"/>
    <n v="17190"/>
    <n v="8470"/>
    <n v="8720"/>
  </r>
  <r>
    <s v="Training"/>
    <x v="2"/>
    <x v="6"/>
    <x v="6"/>
    <s v="Gizmo"/>
    <d v="2018-10-16T00:00:00"/>
    <s v="MyOnlineTrainingHub.com"/>
    <n v="900"/>
    <n v="21042"/>
    <n v="9198"/>
    <n v="11844"/>
  </r>
  <r>
    <s v="Training"/>
    <x v="1"/>
    <x v="1"/>
    <x v="1"/>
    <s v="Gadget"/>
    <d v="2018-10-16T00:00:00"/>
    <s v="LearnExcelBooks.com"/>
    <n v="500"/>
    <n v="11530"/>
    <n v="4920"/>
    <n v="6610"/>
  </r>
  <r>
    <s v="Retail"/>
    <x v="0"/>
    <x v="7"/>
    <x v="7"/>
    <s v="Widget"/>
    <d v="2018-10-17T00:00:00"/>
    <s v="LaFrenier Sons Septic"/>
    <n v="800"/>
    <n v="15312"/>
    <n v="6776"/>
    <n v="8536"/>
  </r>
  <r>
    <s v="Software"/>
    <x v="1"/>
    <x v="1"/>
    <x v="1"/>
    <s v="Gizmo"/>
    <d v="2018-10-18T00:00:00"/>
    <s v="F-Keys Ltd."/>
    <n v="900"/>
    <n v="19161"/>
    <n v="9198"/>
    <n v="9963"/>
  </r>
  <r>
    <s v="Training"/>
    <x v="1"/>
    <x v="1"/>
    <x v="1"/>
    <s v="Gizmo"/>
    <d v="2018-10-19T00:00:00"/>
    <s v="MySpreadsheetLab"/>
    <n v="500"/>
    <n v="10940"/>
    <n v="5110"/>
    <n v="5830"/>
  </r>
  <r>
    <s v="Training"/>
    <x v="0"/>
    <x v="0"/>
    <x v="0"/>
    <s v="Widget"/>
    <d v="2018-10-20T00:00:00"/>
    <s v="599CD.com"/>
    <n v="1000"/>
    <n v="21010"/>
    <n v="8470"/>
    <n v="12540"/>
  </r>
  <r>
    <s v="Professional"/>
    <x v="2"/>
    <x v="9"/>
    <x v="9"/>
    <s v="Widget"/>
    <d v="2018-10-22T00:00:00"/>
    <s v="Serving Brevard Realty"/>
    <n v="900"/>
    <n v="18576"/>
    <n v="7623"/>
    <n v="10953"/>
  </r>
  <r>
    <s v="Training"/>
    <x v="1"/>
    <x v="1"/>
    <x v="1"/>
    <s v="Gadget"/>
    <d v="2018-10-22T00:00:00"/>
    <s v="MySpreadsheetLab"/>
    <n v="200"/>
    <n v="4484"/>
    <n v="1968"/>
    <n v="2516"/>
  </r>
  <r>
    <s v="Training"/>
    <x v="1"/>
    <x v="1"/>
    <x v="1"/>
    <s v="Gadget"/>
    <d v="2018-10-22T00:00:00"/>
    <s v="CPASelfStudy.com"/>
    <n v="700"/>
    <n v="13797"/>
    <n v="6888"/>
    <n v="6909"/>
  </r>
  <r>
    <s v="Training"/>
    <x v="1"/>
    <x v="1"/>
    <x v="1"/>
    <s v="Widget"/>
    <d v="2018-10-23T00:00:00"/>
    <s v="MySpreadsheetLab"/>
    <n v="700"/>
    <n v="12131"/>
    <n v="5929"/>
    <n v="6202"/>
  </r>
  <r>
    <s v="Retail"/>
    <x v="2"/>
    <x v="2"/>
    <x v="2"/>
    <s v="Gadget"/>
    <d v="2018-10-25T00:00:00"/>
    <s v="Hartville MarketPlace and Flea Market"/>
    <n v="500"/>
    <n v="11250"/>
    <n v="4920"/>
    <n v="6330"/>
  </r>
  <r>
    <s v="Training"/>
    <x v="1"/>
    <x v="1"/>
    <x v="1"/>
    <s v="Gadget"/>
    <d v="2018-10-26T00:00:00"/>
    <s v="MySpreadsheetLab"/>
    <n v="500"/>
    <n v="11430"/>
    <n v="4920"/>
    <n v="6510"/>
  </r>
  <r>
    <s v="Software"/>
    <x v="0"/>
    <x v="0"/>
    <x v="0"/>
    <s v="Gizmo"/>
    <d v="2018-10-29T00:00:00"/>
    <s v="Excel4Apps"/>
    <n v="100"/>
    <n v="2234"/>
    <n v="1022"/>
    <n v="1212"/>
  </r>
  <r>
    <s v="Software"/>
    <x v="1"/>
    <x v="1"/>
    <x v="1"/>
    <s v="Gizmo"/>
    <d v="2018-10-31T00:00:00"/>
    <s v="F-Keys Ltd."/>
    <n v="100"/>
    <n v="2092"/>
    <n v="1022"/>
    <n v="1070"/>
  </r>
  <r>
    <s v="Retail"/>
    <x v="2"/>
    <x v="2"/>
    <x v="2"/>
    <s v="Gizmo"/>
    <d v="2018-10-31T00:00:00"/>
    <s v="Hartville MarketPlace and Flea Market"/>
    <n v="600"/>
    <n v="13818"/>
    <n v="6132"/>
    <n v="7686"/>
  </r>
  <r>
    <s v="Retail"/>
    <x v="0"/>
    <x v="10"/>
    <x v="10"/>
    <s v="Gizmo"/>
    <d v="2018-11-04T00:00:00"/>
    <s v="New Hope Laundry"/>
    <n v="600"/>
    <n v="12612"/>
    <n v="6132"/>
    <n v="6480"/>
  </r>
  <r>
    <s v="Associations"/>
    <x v="1"/>
    <x v="1"/>
    <x v="1"/>
    <s v="Widget"/>
    <d v="2018-11-05T00:00:00"/>
    <s v="IMA Houston Chapter"/>
    <n v="800"/>
    <n v="15104"/>
    <n v="6776"/>
    <n v="8328"/>
  </r>
  <r>
    <s v="Retail"/>
    <x v="2"/>
    <x v="2"/>
    <x v="2"/>
    <s v="Gizmo"/>
    <d v="2018-11-08T00:00:00"/>
    <s v="Hartville MarketPlace and Flea Market"/>
    <n v="700"/>
    <n v="16576"/>
    <n v="7154"/>
    <n v="9422"/>
  </r>
  <r>
    <s v="Software"/>
    <x v="0"/>
    <x v="0"/>
    <x v="0"/>
    <s v="Gizmo"/>
    <d v="2018-11-09T00:00:00"/>
    <s v="Excel4Apps"/>
    <n v="700"/>
    <n v="17059"/>
    <n v="7154"/>
    <n v="9905"/>
  </r>
  <r>
    <s v="Training"/>
    <x v="1"/>
    <x v="1"/>
    <x v="1"/>
    <s v="Gadget"/>
    <d v="2018-11-13T00:00:00"/>
    <s v="MySpreadsheetLab"/>
    <n v="800"/>
    <n v="19424"/>
    <n v="7872"/>
    <n v="11552"/>
  </r>
  <r>
    <s v="Consultants"/>
    <x v="2"/>
    <x v="5"/>
    <x v="5"/>
    <s v="Gadget"/>
    <d v="2018-11-13T00:00:00"/>
    <s v="Andrew Spain Consulting"/>
    <n v="700"/>
    <n v="14784"/>
    <n v="6888"/>
    <n v="7896"/>
  </r>
  <r>
    <s v="Training"/>
    <x v="0"/>
    <x v="0"/>
    <x v="0"/>
    <s v="Gadget"/>
    <d v="2018-11-14T00:00:00"/>
    <s v="599CD.com"/>
    <n v="1000"/>
    <n v="21740"/>
    <n v="9840"/>
    <n v="11900"/>
  </r>
  <r>
    <s v="Training"/>
    <x v="0"/>
    <x v="0"/>
    <x v="0"/>
    <s v="Gadget"/>
    <d v="2018-11-15T00:00:00"/>
    <s v="599CD.com"/>
    <n v="900"/>
    <n v="19674"/>
    <n v="8856"/>
    <n v="10818"/>
  </r>
  <r>
    <s v="Consultants"/>
    <x v="2"/>
    <x v="5"/>
    <x v="5"/>
    <s v="Widget"/>
    <d v="2018-11-15T00:00:00"/>
    <s v="Andrew Spain Consulting"/>
    <n v="500"/>
    <n v="8970"/>
    <n v="4235"/>
    <n v="4735"/>
  </r>
  <r>
    <s v="Software"/>
    <x v="0"/>
    <x v="0"/>
    <x v="0"/>
    <s v="Gizmo"/>
    <d v="2018-11-17T00:00:00"/>
    <s v="Excel4Apps"/>
    <n v="600"/>
    <n v="13680"/>
    <n v="6132"/>
    <n v="7548"/>
  </r>
  <r>
    <s v="Training"/>
    <x v="1"/>
    <x v="1"/>
    <x v="1"/>
    <s v="Gadget"/>
    <d v="2018-11-19T00:00:00"/>
    <s v="MySpreadsheetLab"/>
    <n v="800"/>
    <n v="17136"/>
    <n v="7872"/>
    <n v="9264"/>
  </r>
  <r>
    <s v="Consultants"/>
    <x v="2"/>
    <x v="5"/>
    <x v="5"/>
    <s v="Widget"/>
    <d v="2018-11-20T00:00:00"/>
    <s v="Andrew Spain Consulting"/>
    <n v="400"/>
    <n v="6880"/>
    <n v="3388"/>
    <n v="3492"/>
  </r>
  <r>
    <s v="Software"/>
    <x v="0"/>
    <x v="0"/>
    <x v="0"/>
    <s v="Gadget"/>
    <d v="2018-11-21T00:00:00"/>
    <s v="Excel4Apps"/>
    <n v="500"/>
    <n v="11330"/>
    <n v="4920"/>
    <n v="6410"/>
  </r>
  <r>
    <s v="Retail"/>
    <x v="2"/>
    <x v="2"/>
    <x v="2"/>
    <s v="Gadget"/>
    <d v="2018-11-22T00:00:00"/>
    <s v="Hartville MarketPlace and Flea Market"/>
    <n v="200"/>
    <n v="4412"/>
    <n v="1968"/>
    <n v="2444"/>
  </r>
  <r>
    <s v="Training"/>
    <x v="1"/>
    <x v="1"/>
    <x v="1"/>
    <s v="Gadget"/>
    <d v="2018-11-23T00:00:00"/>
    <s v="MySpreadsheetLab"/>
    <n v="400"/>
    <n v="9484"/>
    <n v="3936"/>
    <n v="5548"/>
  </r>
  <r>
    <s v="Training"/>
    <x v="1"/>
    <x v="1"/>
    <x v="1"/>
    <s v="Gadget"/>
    <d v="2018-11-24T00:00:00"/>
    <s v="MySpreadsheetLab"/>
    <n v="400"/>
    <n v="8204"/>
    <n v="3936"/>
    <n v="4268"/>
  </r>
  <r>
    <s v="Professional"/>
    <x v="3"/>
    <x v="11"/>
    <x v="11"/>
    <s v="Gizmo"/>
    <d v="2018-11-25T00:00:00"/>
    <s v="WM Squared Inc."/>
    <n v="400"/>
    <n v="8556"/>
    <n v="4088"/>
    <n v="4468"/>
  </r>
  <r>
    <s v="Training"/>
    <x v="1"/>
    <x v="1"/>
    <x v="1"/>
    <s v="Gadget"/>
    <d v="2018-11-28T00:00:00"/>
    <s v="MySpreadsheetLab"/>
    <n v="400"/>
    <n v="8464"/>
    <n v="3936"/>
    <n v="4528"/>
  </r>
  <r>
    <s v="Software"/>
    <x v="0"/>
    <x v="0"/>
    <x v="0"/>
    <s v="Gizmo"/>
    <d v="2018-11-28T00:00:00"/>
    <s v="Excel4Apps"/>
    <n v="500"/>
    <n v="11470"/>
    <n v="5110"/>
    <n v="6360"/>
  </r>
  <r>
    <s v="Training"/>
    <x v="2"/>
    <x v="6"/>
    <x v="6"/>
    <s v="Gadget"/>
    <d v="2018-11-29T00:00:00"/>
    <s v="MyOnlineTrainingHub.com"/>
    <n v="600"/>
    <n v="14154"/>
    <n v="5904"/>
    <n v="8250"/>
  </r>
  <r>
    <s v="Consultants"/>
    <x v="2"/>
    <x v="5"/>
    <x v="5"/>
    <s v="Gadget"/>
    <d v="2018-11-30T00:00:00"/>
    <s v="Andrew Spain Consulting"/>
    <n v="800"/>
    <n v="19280"/>
    <n v="7872"/>
    <n v="11408"/>
  </r>
  <r>
    <s v="Software"/>
    <x v="0"/>
    <x v="0"/>
    <x v="0"/>
    <s v="Gizmo"/>
    <d v="2018-12-01T00:00:00"/>
    <s v="Excel4Apps"/>
    <n v="900"/>
    <n v="22887"/>
    <n v="9198"/>
    <n v="13689"/>
  </r>
  <r>
    <s v="Software"/>
    <x v="1"/>
    <x v="1"/>
    <x v="1"/>
    <s v="Gizmo"/>
    <d v="2018-12-02T00:00:00"/>
    <s v="F-Keys Ltd."/>
    <n v="600"/>
    <n v="13290"/>
    <n v="6132"/>
    <n v="7158"/>
  </r>
  <r>
    <s v="Retail"/>
    <x v="2"/>
    <x v="2"/>
    <x v="2"/>
    <s v="Gadget"/>
    <d v="2018-12-02T00:00:00"/>
    <s v="Hartville MarketPlace and Flea Market"/>
    <n v="1000"/>
    <n v="20840"/>
    <n v="9840"/>
    <n v="11000"/>
  </r>
  <r>
    <s v="Consultants"/>
    <x v="3"/>
    <x v="4"/>
    <x v="4"/>
    <s v="Gizmo"/>
    <d v="2018-12-05T00:00:00"/>
    <s v="Data2Impact"/>
    <n v="800"/>
    <n v="19544"/>
    <n v="8176"/>
    <n v="11368"/>
  </r>
  <r>
    <s v="Training"/>
    <x v="1"/>
    <x v="1"/>
    <x v="1"/>
    <s v="Gizmo"/>
    <d v="2018-12-05T00:00:00"/>
    <s v="MySpreadsheetLab"/>
    <n v="400"/>
    <n v="8284"/>
    <n v="4088"/>
    <n v="4196"/>
  </r>
  <r>
    <s v="Training"/>
    <x v="0"/>
    <x v="0"/>
    <x v="0"/>
    <s v="Gizmo"/>
    <d v="2018-12-05T00:00:00"/>
    <s v="599CD.com"/>
    <n v="800"/>
    <n v="17496"/>
    <n v="8176"/>
    <n v="9320"/>
  </r>
  <r>
    <s v="Software"/>
    <x v="0"/>
    <x v="0"/>
    <x v="0"/>
    <s v="Gadget"/>
    <d v="2018-12-07T00:00:00"/>
    <s v="Excel4Apps"/>
    <n v="1000"/>
    <n v="23690"/>
    <n v="9840"/>
    <n v="13850"/>
  </r>
  <r>
    <s v="Training"/>
    <x v="1"/>
    <x v="1"/>
    <x v="1"/>
    <s v="Gizmo"/>
    <d v="2018-12-08T00:00:00"/>
    <s v="MySpreadsheetLab"/>
    <n v="100"/>
    <n v="2309"/>
    <n v="1022"/>
    <n v="1287"/>
  </r>
  <r>
    <s v="Professional"/>
    <x v="2"/>
    <x v="9"/>
    <x v="9"/>
    <s v="Gizmo"/>
    <d v="2018-12-09T00:00:00"/>
    <s v="Serving Brevard Realty"/>
    <n v="900"/>
    <n v="18756"/>
    <n v="9198"/>
    <n v="9558"/>
  </r>
  <r>
    <s v="Software"/>
    <x v="0"/>
    <x v="0"/>
    <x v="0"/>
    <s v="Widget"/>
    <d v="2018-12-10T00:00:00"/>
    <s v="Excel4Apps"/>
    <n v="1000"/>
    <n v="17410"/>
    <n v="8470"/>
    <n v="8940"/>
  </r>
  <r>
    <s v="Software"/>
    <x v="0"/>
    <x v="0"/>
    <x v="0"/>
    <s v="Gadget"/>
    <d v="2018-12-10T00:00:00"/>
    <s v="Excel4Apps"/>
    <n v="200"/>
    <n v="4492"/>
    <n v="1968"/>
    <n v="2524"/>
  </r>
  <r>
    <s v="Training"/>
    <x v="1"/>
    <x v="1"/>
    <x v="1"/>
    <s v="Gadget"/>
    <d v="2018-12-11T00:00:00"/>
    <s v="CPASelfStudy.com"/>
    <n v="200"/>
    <n v="4696"/>
    <n v="1968"/>
    <n v="2728"/>
  </r>
  <r>
    <s v="Software"/>
    <x v="1"/>
    <x v="1"/>
    <x v="1"/>
    <s v="Gadget"/>
    <d v="2018-12-13T00:00:00"/>
    <s v="F-Keys Ltd."/>
    <n v="500"/>
    <n v="10295"/>
    <n v="4920"/>
    <n v="5375"/>
  </r>
  <r>
    <s v="Training"/>
    <x v="1"/>
    <x v="1"/>
    <x v="1"/>
    <s v="Gizmo"/>
    <d v="2018-12-15T00:00:00"/>
    <s v="MySpreadsheetLab"/>
    <n v="1000"/>
    <n v="25010"/>
    <n v="10220"/>
    <n v="14790"/>
  </r>
  <r>
    <s v="Training"/>
    <x v="0"/>
    <x v="0"/>
    <x v="0"/>
    <s v="Gizmo"/>
    <d v="2018-12-15T00:00:00"/>
    <s v="599CD.com"/>
    <n v="500"/>
    <n v="10380"/>
    <n v="5110"/>
    <n v="5270"/>
  </r>
  <r>
    <s v="Training"/>
    <x v="1"/>
    <x v="1"/>
    <x v="1"/>
    <s v="Gizmo"/>
    <d v="2018-12-16T00:00:00"/>
    <s v="LearnExcelBooks.com"/>
    <n v="300"/>
    <n v="6744"/>
    <n v="3066"/>
    <n v="3678"/>
  </r>
  <r>
    <s v="Training"/>
    <x v="0"/>
    <x v="0"/>
    <x v="0"/>
    <s v="Widget"/>
    <d v="2018-12-18T00:00:00"/>
    <s v="599CD.com"/>
    <n v="700"/>
    <n v="13552"/>
    <n v="5929"/>
    <n v="7623"/>
  </r>
  <r>
    <s v="Consultants"/>
    <x v="2"/>
    <x v="5"/>
    <x v="5"/>
    <s v="Gizmo"/>
    <d v="2018-12-20T00:00:00"/>
    <s v="Andrew Spain Consulting"/>
    <n v="800"/>
    <n v="18560"/>
    <n v="8176"/>
    <n v="10384"/>
  </r>
  <r>
    <s v="Retail"/>
    <x v="2"/>
    <x v="2"/>
    <x v="2"/>
    <s v="Widget"/>
    <d v="2018-12-21T00:00:00"/>
    <s v="Hartville MarketPlace and Flea Market"/>
    <n v="300"/>
    <n v="5847"/>
    <n v="2541"/>
    <n v="3306"/>
  </r>
  <r>
    <s v="Training"/>
    <x v="2"/>
    <x v="6"/>
    <x v="6"/>
    <s v="Gizmo"/>
    <d v="2018-12-22T00:00:00"/>
    <s v="MyOnlineTrainingHub.com"/>
    <n v="800"/>
    <n v="18304"/>
    <n v="8176"/>
    <n v="10128"/>
  </r>
  <r>
    <s v="Retail"/>
    <x v="2"/>
    <x v="2"/>
    <x v="2"/>
    <s v="Gizmo"/>
    <d v="2018-12-23T00:00:00"/>
    <s v="Hartville MarketPlace and Flea Market"/>
    <n v="700"/>
    <n v="17199"/>
    <n v="7154"/>
    <n v="10045"/>
  </r>
  <r>
    <s v="Training"/>
    <x v="1"/>
    <x v="1"/>
    <x v="1"/>
    <s v="Widget"/>
    <d v="2018-12-24T00:00:00"/>
    <s v="LearnExcelBooks.com"/>
    <n v="100"/>
    <n v="1968"/>
    <n v="847"/>
    <n v="1121"/>
  </r>
  <r>
    <s v="Consultants"/>
    <x v="2"/>
    <x v="5"/>
    <x v="5"/>
    <s v="Gizmo"/>
    <d v="2018-12-25T00:00:00"/>
    <s v="Andrew Spain Consulting"/>
    <n v="200"/>
    <n v="4690"/>
    <n v="2044"/>
    <n v="2646"/>
  </r>
  <r>
    <s v="Software"/>
    <x v="1"/>
    <x v="1"/>
    <x v="1"/>
    <s v="Gizmo"/>
    <d v="2018-12-27T00:00:00"/>
    <s v="Vertex42"/>
    <n v="500"/>
    <n v="11680"/>
    <n v="5110"/>
    <n v="6570"/>
  </r>
  <r>
    <s v="Consultants"/>
    <x v="2"/>
    <x v="5"/>
    <x v="5"/>
    <s v="Gadget"/>
    <d v="2018-12-27T00:00:00"/>
    <s v="Andrew Spain Consulting"/>
    <n v="700"/>
    <n v="14560"/>
    <n v="6888"/>
    <n v="7672"/>
  </r>
  <r>
    <s v="Professional"/>
    <x v="2"/>
    <x v="9"/>
    <x v="9"/>
    <s v="Gizmo"/>
    <d v="2018-12-28T00:00:00"/>
    <s v="Serving Brevard Realty"/>
    <n v="700"/>
    <n v="15225"/>
    <n v="7154"/>
    <n v="8071"/>
  </r>
  <r>
    <s v="Software"/>
    <x v="0"/>
    <x v="0"/>
    <x v="0"/>
    <s v="Widget"/>
    <d v="2018-12-29T00:00:00"/>
    <s v="Excel4Apps"/>
    <n v="900"/>
    <n v="15363"/>
    <n v="7623"/>
    <n v="7740"/>
  </r>
</pivotCacheRecords>
</file>

<file path=xl/pivotCache/pivotCacheRecords6.xml><?xml version="1.0" encoding="utf-8"?>
<pivotCacheRecords xmlns="http://schemas.openxmlformats.org/spreadsheetml/2006/main" xmlns:r="http://schemas.openxmlformats.org/officeDocument/2006/relationships" count="563">
  <r>
    <s v="Training"/>
    <x v="0"/>
    <x v="0"/>
    <s v="Anne Troy"/>
    <s v="Gizmo"/>
    <d v="2017-01-01T00:00:00"/>
    <s v="599CD.com"/>
    <n v="1000"/>
    <n v="22810"/>
    <n v="10220"/>
    <n v="12590"/>
  </r>
  <r>
    <s v="Software"/>
    <x v="1"/>
    <x v="1"/>
    <s v="Jade Miller"/>
    <s v="Gadget"/>
    <d v="2017-01-02T00:00:00"/>
    <s v="F-Keys Ltd."/>
    <n v="100"/>
    <n v="2257"/>
    <n v="984"/>
    <n v="1273"/>
  </r>
  <r>
    <s v="Associations"/>
    <x v="2"/>
    <x v="2"/>
    <s v="Jeffrey P. Coulson"/>
    <s v="Gizmo"/>
    <d v="2017-01-04T00:00:00"/>
    <s v="Association for Computers &amp; Taxation"/>
    <n v="400"/>
    <n v="9152"/>
    <n v="4088"/>
    <n v="5064"/>
  </r>
  <r>
    <s v="Consultants"/>
    <x v="0"/>
    <x v="3"/>
    <s v="John Cockerill"/>
    <s v="Gadget"/>
    <d v="2017-01-04T00:00:00"/>
    <s v="Construction Intelligence &amp; Analytics, Inc."/>
    <n v="800"/>
    <n v="18552"/>
    <n v="7872"/>
    <n v="10680"/>
  </r>
  <r>
    <s v="Consultants"/>
    <x v="3"/>
    <x v="4"/>
    <s v="John Durran"/>
    <s v="Gadget"/>
    <d v="2017-01-07T00:00:00"/>
    <s v="Data2Impact"/>
    <n v="1000"/>
    <n v="21730"/>
    <n v="9840"/>
    <n v="11890"/>
  </r>
  <r>
    <s v="Software"/>
    <x v="0"/>
    <x v="0"/>
    <s v="Anne Troy"/>
    <s v="Widget"/>
    <d v="2017-01-07T00:00:00"/>
    <s v="Excel4Apps"/>
    <n v="400"/>
    <n v="8456"/>
    <n v="3388"/>
    <n v="5068"/>
  </r>
  <r>
    <s v="Software"/>
    <x v="0"/>
    <x v="0"/>
    <s v="Anne Troy"/>
    <s v="Widget"/>
    <d v="2017-01-09T00:00:00"/>
    <s v="Excel4Apps"/>
    <n v="800"/>
    <n v="16416"/>
    <n v="6776"/>
    <n v="9640"/>
  </r>
  <r>
    <s v="Consultants"/>
    <x v="2"/>
    <x v="5"/>
    <s v="Larry Vance"/>
    <s v="Gizmo"/>
    <d v="2017-01-10T00:00:00"/>
    <s v="Andrew Spain Consulting"/>
    <n v="900"/>
    <n v="21438"/>
    <n v="9198"/>
    <n v="12240"/>
  </r>
  <r>
    <s v="Training"/>
    <x v="1"/>
    <x v="1"/>
    <s v="Jade Miller"/>
    <s v="Widget"/>
    <d v="2017-01-12T00:00:00"/>
    <s v="LearnExcelBooks.com"/>
    <n v="300"/>
    <n v="6267"/>
    <n v="2541"/>
    <n v="3726"/>
  </r>
  <r>
    <s v="Training"/>
    <x v="2"/>
    <x v="6"/>
    <s v="Michael Karpfen"/>
    <s v="Gizmo"/>
    <d v="2017-01-14T00:00:00"/>
    <s v="MyOnlineTrainingHub.com"/>
    <n v="100"/>
    <n v="2401"/>
    <n v="1022"/>
    <n v="1379"/>
  </r>
  <r>
    <s v="Software"/>
    <x v="1"/>
    <x v="1"/>
    <s v="Jade Miller"/>
    <s v="Widget"/>
    <d v="2017-01-15T00:00:00"/>
    <s v="F-Keys Ltd."/>
    <n v="500"/>
    <n v="9345"/>
    <n v="4235"/>
    <n v="5110"/>
  </r>
  <r>
    <s v="Training"/>
    <x v="1"/>
    <x v="1"/>
    <s v="Jade Miller"/>
    <s v="Widget"/>
    <d v="2017-01-16T00:00:00"/>
    <s v="MySpreadsheetLab"/>
    <n v="600"/>
    <n v="11628"/>
    <n v="5082"/>
    <n v="6546"/>
  </r>
  <r>
    <s v="Software"/>
    <x v="1"/>
    <x v="1"/>
    <s v="Jade Miller"/>
    <s v="Gadget"/>
    <d v="2017-01-19T00:00:00"/>
    <s v="F-Keys Ltd."/>
    <n v="100"/>
    <n v="2042"/>
    <n v="984"/>
    <n v="1058"/>
  </r>
  <r>
    <s v="Software"/>
    <x v="1"/>
    <x v="1"/>
    <s v="Jade Miller"/>
    <s v="Doodads"/>
    <d v="2017-01-21T00:00:00"/>
    <s v="Vertex42"/>
    <n v="800"/>
    <n v="14440"/>
    <n v="6776"/>
    <n v="7664"/>
  </r>
  <r>
    <s v="Consultants"/>
    <x v="0"/>
    <x v="3"/>
    <s v="John Cockerill"/>
    <s v="Doodads"/>
    <d v="2017-01-21T00:00:00"/>
    <s v="Construction Intelligence &amp; Analytics, Inc."/>
    <n v="200"/>
    <n v="3552"/>
    <n v="1694"/>
    <n v="1858"/>
  </r>
  <r>
    <s v="Software"/>
    <x v="0"/>
    <x v="0"/>
    <s v="Anne Troy"/>
    <s v="Widget"/>
    <d v="2017-01-23T00:00:00"/>
    <s v="Excel4Apps"/>
    <n v="800"/>
    <n v="14592"/>
    <n v="6776"/>
    <n v="7816"/>
  </r>
  <r>
    <s v="Training"/>
    <x v="1"/>
    <x v="1"/>
    <s v="Jade Miller"/>
    <s v="Widget"/>
    <d v="2017-01-24T00:00:00"/>
    <s v="LearnExcelBooks.com"/>
    <n v="600"/>
    <n v="12606"/>
    <n v="5082"/>
    <n v="7524"/>
  </r>
  <r>
    <s v="Training"/>
    <x v="1"/>
    <x v="1"/>
    <s v="Jade Miller"/>
    <s v="Widget"/>
    <d v="2017-01-25T00:00:00"/>
    <s v="MySpreadsheetLab"/>
    <n v="1000"/>
    <n v="20770"/>
    <n v="8470"/>
    <n v="12300"/>
  </r>
  <r>
    <s v="Training"/>
    <x v="1"/>
    <x v="1"/>
    <s v="Jade Miller"/>
    <s v="Widget"/>
    <d v="2017-01-26T00:00:00"/>
    <s v="LearnExcelBooks.com"/>
    <n v="400"/>
    <n v="8128"/>
    <n v="3388"/>
    <n v="4740"/>
  </r>
  <r>
    <s v="Associations"/>
    <x v="2"/>
    <x v="2"/>
    <s v="Jeffrey P. Coulson"/>
    <s v="Widget"/>
    <d v="2017-01-29T00:00:00"/>
    <s v="Association for Computers &amp; Taxation"/>
    <n v="400"/>
    <n v="7136"/>
    <n v="3388"/>
    <n v="3748"/>
  </r>
  <r>
    <s v="Software"/>
    <x v="0"/>
    <x v="0"/>
    <s v="Anne Troy"/>
    <s v="Gadget"/>
    <d v="2017-01-29T00:00:00"/>
    <s v="Excel4Apps"/>
    <n v="700"/>
    <n v="17150"/>
    <n v="6888"/>
    <n v="10262"/>
  </r>
  <r>
    <s v="Consultants"/>
    <x v="2"/>
    <x v="5"/>
    <s v="Larry Vance"/>
    <s v="Gadget"/>
    <d v="2017-01-30T00:00:00"/>
    <s v="Andrew Spain Consulting"/>
    <n v="300"/>
    <n v="6714"/>
    <n v="2952"/>
    <n v="3762"/>
  </r>
  <r>
    <s v="Software"/>
    <x v="0"/>
    <x v="0"/>
    <s v="Anne Troy"/>
    <s v="Widget"/>
    <d v="2017-01-31T00:00:00"/>
    <s v="Excel4Apps"/>
    <n v="800"/>
    <n v="15640"/>
    <n v="6776"/>
    <n v="8864"/>
  </r>
  <r>
    <s v="Consultants"/>
    <x v="2"/>
    <x v="5"/>
    <s v="Larry Vance"/>
    <s v="Widget"/>
    <d v="2017-02-01T00:00:00"/>
    <s v="Andrew Spain Consulting"/>
    <n v="300"/>
    <n v="5532"/>
    <n v="2541"/>
    <n v="2991"/>
  </r>
  <r>
    <s v="Software"/>
    <x v="1"/>
    <x v="1"/>
    <s v="Jade Miller"/>
    <s v="Gadget"/>
    <d v="2017-02-03T00:00:00"/>
    <s v="F-Keys Ltd."/>
    <n v="800"/>
    <n v="17160"/>
    <n v="7872"/>
    <n v="9288"/>
  </r>
  <r>
    <s v="Training"/>
    <x v="1"/>
    <x v="1"/>
    <s v="Jade Miller"/>
    <s v="Gadget"/>
    <d v="2017-02-06T00:00:00"/>
    <s v="CPASelfStudy.com"/>
    <n v="900"/>
    <n v="21708"/>
    <n v="8856"/>
    <n v="12852"/>
  </r>
  <r>
    <s v="Training"/>
    <x v="1"/>
    <x v="1"/>
    <s v="Jade Miller"/>
    <s v="Widget"/>
    <d v="2017-02-07T00:00:00"/>
    <s v="LearnExcelBooks.com"/>
    <n v="1000"/>
    <n v="19890"/>
    <n v="8470"/>
    <n v="11420"/>
  </r>
  <r>
    <s v="Training"/>
    <x v="1"/>
    <x v="1"/>
    <s v="Jade Miller"/>
    <s v="Widget"/>
    <d v="2017-02-08T00:00:00"/>
    <s v="MySpreadsheetLab"/>
    <n v="100"/>
    <n v="1817"/>
    <n v="847"/>
    <n v="970"/>
  </r>
  <r>
    <s v="Software"/>
    <x v="0"/>
    <x v="0"/>
    <s v="Anne Troy"/>
    <s v="Widget"/>
    <d v="2017-02-09T00:00:00"/>
    <s v="Excel4Apps"/>
    <n v="300"/>
    <n v="5157"/>
    <n v="2541"/>
    <n v="2616"/>
  </r>
  <r>
    <s v="Training"/>
    <x v="1"/>
    <x v="1"/>
    <s v="Jade Miller"/>
    <s v="Gadget"/>
    <d v="2017-02-14T00:00:00"/>
    <s v="MySpreadsheetLab"/>
    <n v="700"/>
    <n v="13867"/>
    <n v="6888"/>
    <n v="6979"/>
  </r>
  <r>
    <s v="Training"/>
    <x v="0"/>
    <x v="7"/>
    <s v="Mike Mann"/>
    <s v="Gizmo"/>
    <d v="2017-02-16T00:00:00"/>
    <s v="ExcelTricks.de"/>
    <n v="800"/>
    <n v="16936"/>
    <n v="8176"/>
    <n v="8760"/>
  </r>
  <r>
    <s v="Retail"/>
    <x v="2"/>
    <x v="2"/>
    <s v="Jeffrey P. Coulson"/>
    <s v="Widget"/>
    <d v="2017-02-17T00:00:00"/>
    <s v="Hartville MarketPlace and Flea Market"/>
    <n v="600"/>
    <n v="11430"/>
    <n v="5082"/>
    <n v="6348"/>
  </r>
  <r>
    <s v="Consultants"/>
    <x v="2"/>
    <x v="5"/>
    <s v="Larry Vance"/>
    <s v="Widget"/>
    <d v="2017-02-18T00:00:00"/>
    <s v="Andrew Spain Consulting"/>
    <n v="1000"/>
    <n v="20250"/>
    <n v="8470"/>
    <n v="11780"/>
  </r>
  <r>
    <s v="Consultants"/>
    <x v="2"/>
    <x v="5"/>
    <s v="Larry Vance"/>
    <s v="Widget"/>
    <d v="2017-02-19T00:00:00"/>
    <s v="Andrew Spain Consulting"/>
    <n v="500"/>
    <n v="10385"/>
    <n v="4235"/>
    <n v="6150"/>
  </r>
  <r>
    <s v="Retail"/>
    <x v="2"/>
    <x v="2"/>
    <s v="Jeffrey P. Coulson"/>
    <s v="Widget"/>
    <d v="2017-02-20T00:00:00"/>
    <s v="Hartville MarketPlace and Flea Market"/>
    <n v="600"/>
    <n v="11124"/>
    <n v="5082"/>
    <n v="6042"/>
  </r>
  <r>
    <s v="Training"/>
    <x v="0"/>
    <x v="0"/>
    <s v="Anne Troy"/>
    <s v="Widget"/>
    <d v="2017-02-20T00:00:00"/>
    <s v="599CD.com"/>
    <n v="300"/>
    <n v="5700"/>
    <n v="2541"/>
    <n v="3159"/>
  </r>
  <r>
    <s v="Consultants"/>
    <x v="2"/>
    <x v="5"/>
    <s v="Larry Vance"/>
    <s v="Gizmo"/>
    <d v="2017-02-20T00:00:00"/>
    <s v="Andrew Spain Consulting"/>
    <n v="1000"/>
    <n v="23810"/>
    <n v="10220"/>
    <n v="13590"/>
  </r>
  <r>
    <s v="Consultants"/>
    <x v="2"/>
    <x v="5"/>
    <s v="Larry Vance"/>
    <s v="Gizmo"/>
    <d v="2017-02-23T00:00:00"/>
    <s v="Andrew Spain Consulting"/>
    <n v="500"/>
    <n v="11525"/>
    <n v="5110"/>
    <n v="6415"/>
  </r>
  <r>
    <s v="Training"/>
    <x v="3"/>
    <x v="4"/>
    <s v="John Durran"/>
    <s v="Gadget"/>
    <d v="2017-02-26T00:00:00"/>
    <s v="Lake Local School District"/>
    <n v="900"/>
    <n v="20610"/>
    <n v="8856"/>
    <n v="11754"/>
  </r>
  <r>
    <s v="Training"/>
    <x v="0"/>
    <x v="0"/>
    <s v="Anne Troy"/>
    <s v="Gadget"/>
    <d v="2017-02-26T00:00:00"/>
    <s v="599CD.com"/>
    <n v="600"/>
    <n v="13206"/>
    <n v="5904"/>
    <n v="7302"/>
  </r>
  <r>
    <s v="Consultants"/>
    <x v="2"/>
    <x v="5"/>
    <s v="Larry Vance"/>
    <s v="Gizmo"/>
    <d v="2017-02-26T00:00:00"/>
    <s v="Andrew Spain Consulting"/>
    <n v="1000"/>
    <n v="25140"/>
    <n v="10220"/>
    <n v="14920"/>
  </r>
  <r>
    <s v="Training"/>
    <x v="0"/>
    <x v="0"/>
    <s v="Anne Troy"/>
    <s v="Widget"/>
    <d v="2017-02-27T00:00:00"/>
    <s v="599CD.com"/>
    <n v="900"/>
    <n v="16209"/>
    <n v="7623"/>
    <n v="8586"/>
  </r>
  <r>
    <s v="Consultants"/>
    <x v="2"/>
    <x v="5"/>
    <s v="Larry Vance"/>
    <s v="Gadget"/>
    <d v="2017-02-27T00:00:00"/>
    <s v="Andrew Spain Consulting"/>
    <n v="400"/>
    <n v="8708"/>
    <n v="3936"/>
    <n v="4772"/>
  </r>
  <r>
    <s v="Software"/>
    <x v="0"/>
    <x v="0"/>
    <s v="Anne Troy"/>
    <s v="Gizmo"/>
    <d v="2017-02-28T00:00:00"/>
    <s v="Excel4Apps"/>
    <n v="900"/>
    <n v="21456"/>
    <n v="9198"/>
    <n v="12258"/>
  </r>
  <r>
    <s v="Consultants"/>
    <x v="2"/>
    <x v="5"/>
    <s v="Larry Vance"/>
    <s v="Gizmo"/>
    <d v="2017-03-01T00:00:00"/>
    <s v="Andrew Spain Consulting"/>
    <n v="500"/>
    <n v="10445"/>
    <n v="5110"/>
    <n v="5335"/>
  </r>
  <r>
    <s v="Training"/>
    <x v="1"/>
    <x v="1"/>
    <s v="Jade Miller"/>
    <s v="Gadget"/>
    <d v="2017-03-04T00:00:00"/>
    <s v="CPASelfStudy.com"/>
    <n v="600"/>
    <n v="14472"/>
    <n v="5904"/>
    <n v="8568"/>
  </r>
  <r>
    <s v="Consultants"/>
    <x v="2"/>
    <x v="5"/>
    <s v="Larry Vance"/>
    <s v="Gizmo"/>
    <d v="2017-03-05T00:00:00"/>
    <s v="Andrew Spain Consulting"/>
    <n v="200"/>
    <n v="4262"/>
    <n v="2044"/>
    <n v="2218"/>
  </r>
  <r>
    <s v="Training"/>
    <x v="0"/>
    <x v="8"/>
    <s v="Richard Oldcorn"/>
    <s v="Widget"/>
    <d v="2017-03-06T00:00:00"/>
    <s v="Profology.com"/>
    <n v="700"/>
    <n v="12474"/>
    <n v="5929"/>
    <n v="6545"/>
  </r>
  <r>
    <s v="Retail"/>
    <x v="2"/>
    <x v="2"/>
    <s v="Jeffrey P. Coulson"/>
    <s v="Widget"/>
    <d v="2017-03-07T00:00:00"/>
    <s v="Hartville MarketPlace and Flea Market"/>
    <n v="500"/>
    <n v="10155"/>
    <n v="4235"/>
    <n v="5920"/>
  </r>
  <r>
    <s v="Consultants"/>
    <x v="2"/>
    <x v="5"/>
    <s v="Larry Vance"/>
    <s v="Gadget"/>
    <d v="2017-03-10T00:00:00"/>
    <s v="Andrew Spain Consulting"/>
    <n v="900"/>
    <n v="19503"/>
    <n v="8856"/>
    <n v="10647"/>
  </r>
  <r>
    <s v="Training"/>
    <x v="1"/>
    <x v="1"/>
    <s v="Jade Miller"/>
    <s v="Widget"/>
    <d v="2017-03-13T00:00:00"/>
    <s v="LearnExcelBooks.com"/>
    <n v="100"/>
    <n v="1819"/>
    <n v="847"/>
    <n v="972"/>
  </r>
  <r>
    <s v="Training"/>
    <x v="1"/>
    <x v="1"/>
    <s v="Jade Miller"/>
    <s v="Gizmo"/>
    <d v="2017-03-14T00:00:00"/>
    <s v="MySpreadsheetLab"/>
    <n v="1000"/>
    <n v="24430"/>
    <n v="10220"/>
    <n v="14210"/>
  </r>
  <r>
    <s v="Consultants"/>
    <x v="2"/>
    <x v="5"/>
    <s v="Larry Vance"/>
    <s v="Gizmo"/>
    <d v="2017-03-14T00:00:00"/>
    <s v="Andrew Spain Consulting"/>
    <n v="500"/>
    <n v="10935"/>
    <n v="5110"/>
    <n v="5825"/>
  </r>
  <r>
    <s v="Training"/>
    <x v="3"/>
    <x v="4"/>
    <s v="John Durran"/>
    <s v="Widget"/>
    <d v="2017-03-16T00:00:00"/>
    <s v="Lake Local School District"/>
    <n v="400"/>
    <n v="8116"/>
    <n v="3388"/>
    <n v="4728"/>
  </r>
  <r>
    <s v="Training"/>
    <x v="1"/>
    <x v="1"/>
    <s v="Jade Miller"/>
    <s v="Gizmo"/>
    <d v="2017-03-17T00:00:00"/>
    <s v="MySpreadsheetLab"/>
    <n v="900"/>
    <n v="18783"/>
    <n v="9198"/>
    <n v="9585"/>
  </r>
  <r>
    <s v="Consultants"/>
    <x v="2"/>
    <x v="5"/>
    <s v="Larry Vance"/>
    <s v="Widget"/>
    <d v="2017-03-19T00:00:00"/>
    <s v="Andrew Spain Consulting"/>
    <n v="800"/>
    <n v="16696"/>
    <n v="6776"/>
    <n v="9920"/>
  </r>
  <r>
    <s v="Training"/>
    <x v="1"/>
    <x v="1"/>
    <s v="Jade Miller"/>
    <s v="Widget"/>
    <d v="2017-03-20T00:00:00"/>
    <s v="CPASelfStudy.com"/>
    <n v="400"/>
    <n v="7132"/>
    <n v="3388"/>
    <n v="3744"/>
  </r>
  <r>
    <s v="Training"/>
    <x v="1"/>
    <x v="1"/>
    <s v="Jade Miller"/>
    <s v="Gizmo"/>
    <d v="2017-03-21T00:00:00"/>
    <s v="CPASelfStudy.com"/>
    <n v="200"/>
    <n v="4784"/>
    <n v="2044"/>
    <n v="2740"/>
  </r>
  <r>
    <s v="Training"/>
    <x v="2"/>
    <x v="6"/>
    <s v="Michael Karpfen"/>
    <s v="Gizmo"/>
    <d v="2017-03-22T00:00:00"/>
    <s v="MyOnlineTrainingHub.com"/>
    <n v="300"/>
    <n v="6765"/>
    <n v="3066"/>
    <n v="3699"/>
  </r>
  <r>
    <s v="Consultants"/>
    <x v="2"/>
    <x v="5"/>
    <s v="Larry Vance"/>
    <s v="Widget"/>
    <d v="2017-03-23T00:00:00"/>
    <s v="Andrew Spain Consulting"/>
    <n v="300"/>
    <n v="5355"/>
    <n v="2541"/>
    <n v="2814"/>
  </r>
  <r>
    <s v="Consultants"/>
    <x v="2"/>
    <x v="5"/>
    <s v="Larry Vance"/>
    <s v="Widget"/>
    <d v="2017-03-24T00:00:00"/>
    <s v="Andrew Spain Consulting"/>
    <n v="200"/>
    <n v="3756"/>
    <n v="1694"/>
    <n v="2062"/>
  </r>
  <r>
    <s v="Software"/>
    <x v="0"/>
    <x v="0"/>
    <s v="Anne Troy"/>
    <s v="Gadget"/>
    <d v="2017-03-25T00:00:00"/>
    <s v="Excel4Apps"/>
    <n v="1000"/>
    <n v="20090"/>
    <n v="9840"/>
    <n v="10250"/>
  </r>
  <r>
    <s v="Training"/>
    <x v="0"/>
    <x v="0"/>
    <s v="Anne Troy"/>
    <s v="Gizmo"/>
    <d v="2017-03-26T00:00:00"/>
    <s v="599CD.com"/>
    <n v="1000"/>
    <n v="23090"/>
    <n v="10220"/>
    <n v="12870"/>
  </r>
  <r>
    <s v="Training"/>
    <x v="2"/>
    <x v="6"/>
    <s v="Michael Karpfen"/>
    <s v="Gadget"/>
    <d v="2017-03-28T00:00:00"/>
    <s v="MyOnlineTrainingHub.com"/>
    <n v="900"/>
    <n v="21357"/>
    <n v="8856"/>
    <n v="12501"/>
  </r>
  <r>
    <s v="Software"/>
    <x v="0"/>
    <x v="0"/>
    <s v="Anne Troy"/>
    <s v="Widget"/>
    <d v="2017-03-28T00:00:00"/>
    <s v="Excel4Apps"/>
    <n v="300"/>
    <n v="5358"/>
    <n v="2541"/>
    <n v="2817"/>
  </r>
  <r>
    <s v="Training"/>
    <x v="1"/>
    <x v="1"/>
    <s v="Jade Miller"/>
    <s v="Gadget"/>
    <d v="2017-03-30T00:00:00"/>
    <s v="CPASelfStudy.com"/>
    <n v="800"/>
    <n v="16016"/>
    <n v="7872"/>
    <n v="8144"/>
  </r>
  <r>
    <s v="Training"/>
    <x v="2"/>
    <x v="6"/>
    <s v="Michael Karpfen"/>
    <s v="Gizmo"/>
    <d v="2017-04-01T00:00:00"/>
    <s v="MyOnlineTrainingHub.com"/>
    <n v="600"/>
    <n v="14448"/>
    <n v="6132"/>
    <n v="8316"/>
  </r>
  <r>
    <s v="Training"/>
    <x v="2"/>
    <x v="6"/>
    <s v="Michael Karpfen"/>
    <s v="Widget"/>
    <d v="2017-04-02T00:00:00"/>
    <s v="MyOnlineTrainingHub.com"/>
    <n v="300"/>
    <n v="5370"/>
    <n v="2541"/>
    <n v="2829"/>
  </r>
  <r>
    <s v="Training"/>
    <x v="0"/>
    <x v="8"/>
    <s v="Richard Oldcorn"/>
    <s v="Gizmo"/>
    <d v="2017-04-04T00:00:00"/>
    <s v="Profology.com"/>
    <n v="800"/>
    <n v="20408"/>
    <n v="8176"/>
    <n v="12232"/>
  </r>
  <r>
    <s v="Retail"/>
    <x v="2"/>
    <x v="2"/>
    <s v="Jeffrey P. Coulson"/>
    <s v="Gadget"/>
    <d v="2017-04-04T00:00:00"/>
    <s v="Hartville MarketPlace and Flea Market"/>
    <n v="400"/>
    <n v="8632"/>
    <n v="3936"/>
    <n v="4696"/>
  </r>
  <r>
    <s v="Retail"/>
    <x v="2"/>
    <x v="2"/>
    <s v="Jeffrey P. Coulson"/>
    <s v="Gadget"/>
    <d v="2017-04-04T00:00:00"/>
    <s v="Hartville MarketPlace and Flea Market"/>
    <n v="300"/>
    <n v="6588"/>
    <n v="2952"/>
    <n v="3636"/>
  </r>
  <r>
    <s v="Software"/>
    <x v="1"/>
    <x v="1"/>
    <s v="Jade Miller"/>
    <s v="Gizmo"/>
    <d v="2017-04-05T00:00:00"/>
    <s v="F-Keys Ltd."/>
    <n v="100"/>
    <n v="2466"/>
    <n v="1022"/>
    <n v="1444"/>
  </r>
  <r>
    <s v="Professional"/>
    <x v="2"/>
    <x v="9"/>
    <s v="Ryan Wilson"/>
    <s v="Widget"/>
    <d v="2017-04-07T00:00:00"/>
    <s v="Serving Brevard Realty"/>
    <n v="700"/>
    <n v="14686"/>
    <n v="5929"/>
    <n v="8757"/>
  </r>
  <r>
    <s v="Training"/>
    <x v="1"/>
    <x v="1"/>
    <s v="Jade Miller"/>
    <s v="Widget"/>
    <d v="2017-04-07T00:00:00"/>
    <s v="CPASelfStudy.com"/>
    <n v="300"/>
    <n v="5886"/>
    <n v="2541"/>
    <n v="3345"/>
  </r>
  <r>
    <s v="Retail"/>
    <x v="2"/>
    <x v="2"/>
    <s v="Jeffrey P. Coulson"/>
    <s v="Gadget"/>
    <d v="2017-04-10T00:00:00"/>
    <s v="Hartville MarketPlace and Flea Market"/>
    <n v="500"/>
    <n v="12095"/>
    <n v="4920"/>
    <n v="7175"/>
  </r>
  <r>
    <s v="Training"/>
    <x v="1"/>
    <x v="1"/>
    <s v="Jade Miller"/>
    <s v="Gizmo"/>
    <d v="2017-04-11T00:00:00"/>
    <s v="LearnExcelBooks.com"/>
    <n v="900"/>
    <n v="19539"/>
    <n v="9198"/>
    <n v="10341"/>
  </r>
  <r>
    <s v="Training"/>
    <x v="1"/>
    <x v="1"/>
    <s v="Jade Miller"/>
    <s v="Widget"/>
    <d v="2017-04-12T00:00:00"/>
    <s v="CPASelfStudy.com"/>
    <n v="300"/>
    <n v="6063"/>
    <n v="2541"/>
    <n v="3522"/>
  </r>
  <r>
    <s v="Training"/>
    <x v="1"/>
    <x v="1"/>
    <s v="Jade Miller"/>
    <s v="Widget"/>
    <d v="2017-04-13T00:00:00"/>
    <s v="CPASelfStudy.com"/>
    <n v="600"/>
    <n v="11598"/>
    <n v="5082"/>
    <n v="6516"/>
  </r>
  <r>
    <s v="Training"/>
    <x v="1"/>
    <x v="1"/>
    <s v="Jade Miller"/>
    <s v="Widget"/>
    <d v="2017-04-14T00:00:00"/>
    <s v="MySpreadsheetLab"/>
    <n v="400"/>
    <n v="8016"/>
    <n v="3388"/>
    <n v="4628"/>
  </r>
  <r>
    <s v="Software"/>
    <x v="1"/>
    <x v="1"/>
    <s v="Jade Miller"/>
    <s v="Gizmo"/>
    <d v="2017-04-20T00:00:00"/>
    <s v="F-Keys Ltd."/>
    <n v="1000"/>
    <n v="21880"/>
    <n v="10220"/>
    <n v="11660"/>
  </r>
  <r>
    <s v="Retail"/>
    <x v="3"/>
    <x v="4"/>
    <s v="John Durran"/>
    <s v="Doodads"/>
    <d v="2017-04-20T00:00:00"/>
    <s v="Bits of Confetti"/>
    <n v="200"/>
    <n v="4948"/>
    <n v="2044"/>
    <n v="2904"/>
  </r>
  <r>
    <s v="Consultants"/>
    <x v="2"/>
    <x v="5"/>
    <s v="Larry Vance"/>
    <s v="Gizmo"/>
    <d v="2017-04-22T00:00:00"/>
    <s v="Andrew Spain Consulting"/>
    <n v="700"/>
    <n v="15834"/>
    <n v="7154"/>
    <n v="8680"/>
  </r>
  <r>
    <s v="Training"/>
    <x v="0"/>
    <x v="0"/>
    <s v="Anne Troy"/>
    <s v="Gadget"/>
    <d v="2017-04-23T00:00:00"/>
    <s v="599CD.com"/>
    <n v="100"/>
    <n v="2457"/>
    <n v="984"/>
    <n v="1473"/>
  </r>
  <r>
    <s v="Retail"/>
    <x v="2"/>
    <x v="2"/>
    <s v="Jeffrey P. Coulson"/>
    <s v="Widget"/>
    <d v="2017-04-24T00:00:00"/>
    <s v="Hartville MarketPlace and Flea Market"/>
    <n v="300"/>
    <n v="5439"/>
    <n v="2541"/>
    <n v="2898"/>
  </r>
  <r>
    <s v="Consultants"/>
    <x v="2"/>
    <x v="5"/>
    <s v="Larry Vance"/>
    <s v="Gadget"/>
    <d v="2017-04-25T00:00:00"/>
    <s v="Andrew Spain Consulting"/>
    <n v="500"/>
    <n v="11435"/>
    <n v="4920"/>
    <n v="6515"/>
  </r>
  <r>
    <s v="Software"/>
    <x v="0"/>
    <x v="0"/>
    <s v="Anne Troy"/>
    <s v="Gizmo"/>
    <d v="2017-04-27T00:00:00"/>
    <s v="Excel4Apps"/>
    <n v="1000"/>
    <n v="22530"/>
    <n v="10220"/>
    <n v="12310"/>
  </r>
  <r>
    <s v="Training"/>
    <x v="0"/>
    <x v="0"/>
    <s v="Anne Troy"/>
    <s v="Gizmo"/>
    <d v="2017-04-28T00:00:00"/>
    <s v="599CD.com"/>
    <n v="1000"/>
    <n v="25060"/>
    <n v="10220"/>
    <n v="14840"/>
  </r>
  <r>
    <s v="Consultants"/>
    <x v="2"/>
    <x v="2"/>
    <s v="Jeffrey P. Coulson"/>
    <s v="Gizmo"/>
    <d v="2017-04-29T00:00:00"/>
    <s v="Cambia Factor"/>
    <n v="800"/>
    <n v="18264"/>
    <n v="8176"/>
    <n v="10088"/>
  </r>
  <r>
    <s v="Training"/>
    <x v="2"/>
    <x v="6"/>
    <s v="Michael Karpfen"/>
    <s v="Gizmo"/>
    <d v="2017-04-30T00:00:00"/>
    <s v="MyOnlineTrainingHub.com"/>
    <n v="200"/>
    <n v="4124"/>
    <n v="2044"/>
    <n v="2080"/>
  </r>
  <r>
    <s v="Training"/>
    <x v="0"/>
    <x v="0"/>
    <s v="Anne Troy"/>
    <s v="Widget"/>
    <d v="2017-05-01T00:00:00"/>
    <s v="599CD.com"/>
    <n v="200"/>
    <n v="3802"/>
    <n v="1694"/>
    <n v="2108"/>
  </r>
  <r>
    <s v="Consultants"/>
    <x v="0"/>
    <x v="8"/>
    <s v="Richard Oldcorn"/>
    <s v="Gadget"/>
    <d v="2017-05-01T00:00:00"/>
    <s v="Excelerator BI"/>
    <n v="800"/>
    <n v="19520"/>
    <n v="7872"/>
    <n v="11648"/>
  </r>
  <r>
    <s v="Professional"/>
    <x v="2"/>
    <x v="9"/>
    <s v="Ryan Wilson"/>
    <s v="Gizmo"/>
    <d v="2017-05-03T00:00:00"/>
    <s v="Serving Brevard Realty"/>
    <n v="800"/>
    <n v="19288"/>
    <n v="8176"/>
    <n v="11112"/>
  </r>
  <r>
    <s v="Training"/>
    <x v="2"/>
    <x v="6"/>
    <s v="Michael Karpfen"/>
    <s v="Widget"/>
    <d v="2017-05-05T00:00:00"/>
    <s v="MyOnlineTrainingHub.com"/>
    <n v="800"/>
    <n v="15592"/>
    <n v="6776"/>
    <n v="8816"/>
  </r>
  <r>
    <s v="Professional"/>
    <x v="2"/>
    <x v="9"/>
    <s v="Ryan Wilson"/>
    <s v="Gizmo"/>
    <d v="2017-05-05T00:00:00"/>
    <s v="Serving Brevard Realty"/>
    <n v="300"/>
    <n v="6867"/>
    <n v="3066"/>
    <n v="3801"/>
  </r>
  <r>
    <s v="Training"/>
    <x v="2"/>
    <x v="6"/>
    <s v="Michael Karpfen"/>
    <s v="Widget"/>
    <d v="2017-05-07T00:00:00"/>
    <s v="MyOnlineTrainingHub.com"/>
    <n v="600"/>
    <n v="12318"/>
    <n v="5082"/>
    <n v="7236"/>
  </r>
  <r>
    <s v="Professional"/>
    <x v="2"/>
    <x v="9"/>
    <s v="Ryan Wilson"/>
    <s v="Gadget"/>
    <d v="2017-05-07T00:00:00"/>
    <s v="Serving Brevard Realty"/>
    <n v="400"/>
    <n v="8052"/>
    <n v="3936"/>
    <n v="4116"/>
  </r>
  <r>
    <s v="Consultants"/>
    <x v="2"/>
    <x v="5"/>
    <s v="Larry Vance"/>
    <s v="Gadget"/>
    <d v="2017-05-08T00:00:00"/>
    <s v="Andrew Spain Consulting"/>
    <n v="800"/>
    <n v="17544"/>
    <n v="7872"/>
    <n v="9672"/>
  </r>
  <r>
    <s v="Training"/>
    <x v="1"/>
    <x v="1"/>
    <s v="Jade Miller"/>
    <s v="Gadget"/>
    <d v="2017-05-09T00:00:00"/>
    <s v="LearnExcelBooks.com"/>
    <n v="700"/>
    <n v="16765"/>
    <n v="6888"/>
    <n v="9877"/>
  </r>
  <r>
    <s v="Retail"/>
    <x v="2"/>
    <x v="2"/>
    <s v="Jeffrey P. Coulson"/>
    <s v="Widget"/>
    <d v="2017-05-11T00:00:00"/>
    <s v="Hartville MarketPlace and Flea Market"/>
    <n v="500"/>
    <n v="8785"/>
    <n v="4235"/>
    <n v="4550"/>
  </r>
  <r>
    <s v="Consultants"/>
    <x v="2"/>
    <x v="5"/>
    <s v="Larry Vance"/>
    <s v="Gadget"/>
    <d v="2017-05-12T00:00:00"/>
    <s v="Andrew Spain Consulting"/>
    <n v="700"/>
    <n v="16772"/>
    <n v="6888"/>
    <n v="9884"/>
  </r>
  <r>
    <s v="Training"/>
    <x v="1"/>
    <x v="1"/>
    <s v="Jade Miller"/>
    <s v="Widget"/>
    <d v="2017-05-13T00:00:00"/>
    <s v="CPASelfStudy.com"/>
    <n v="500"/>
    <n v="9380"/>
    <n v="4235"/>
    <n v="5145"/>
  </r>
  <r>
    <s v="Consultants"/>
    <x v="2"/>
    <x v="5"/>
    <s v="Larry Vance"/>
    <s v="Gizmo"/>
    <d v="2017-05-13T00:00:00"/>
    <s v="Andrew Spain Consulting"/>
    <n v="500"/>
    <n v="12625"/>
    <n v="5110"/>
    <n v="7515"/>
  </r>
  <r>
    <s v="Training"/>
    <x v="0"/>
    <x v="7"/>
    <s v="Mike Mann"/>
    <s v="Widget"/>
    <d v="2017-05-14T00:00:00"/>
    <s v="ExcelTricks.de"/>
    <n v="500"/>
    <n v="9635"/>
    <n v="4235"/>
    <n v="5400"/>
  </r>
  <r>
    <s v="Professional"/>
    <x v="2"/>
    <x v="9"/>
    <s v="Ryan Wilson"/>
    <s v="Gadget"/>
    <d v="2017-05-16T00:00:00"/>
    <s v="Serving Brevard Realty"/>
    <n v="300"/>
    <n v="6156"/>
    <n v="2952"/>
    <n v="3204"/>
  </r>
  <r>
    <s v="Training"/>
    <x v="0"/>
    <x v="8"/>
    <s v="Richard Oldcorn"/>
    <s v="Gadget"/>
    <d v="2017-05-19T00:00:00"/>
    <s v="Profology.com"/>
    <n v="900"/>
    <n v="17757"/>
    <n v="8856"/>
    <n v="8901"/>
  </r>
  <r>
    <s v="Consultants"/>
    <x v="3"/>
    <x v="4"/>
    <s v="John Durran"/>
    <s v="Gizmo"/>
    <d v="2017-05-20T00:00:00"/>
    <s v="Fintega Financial Modelling"/>
    <n v="200"/>
    <n v="4846"/>
    <n v="2044"/>
    <n v="2802"/>
  </r>
  <r>
    <s v="Training"/>
    <x v="1"/>
    <x v="1"/>
    <s v="Jade Miller"/>
    <s v="Widget"/>
    <d v="2017-05-21T00:00:00"/>
    <s v="CPASelfStudy.com"/>
    <n v="600"/>
    <n v="11208"/>
    <n v="5082"/>
    <n v="6126"/>
  </r>
  <r>
    <s v="Training"/>
    <x v="2"/>
    <x v="6"/>
    <s v="Michael Karpfen"/>
    <s v="Gadget"/>
    <d v="2017-05-22T00:00:00"/>
    <s v="MyOnlineTrainingHub.com"/>
    <n v="500"/>
    <n v="10195"/>
    <n v="4920"/>
    <n v="5275"/>
  </r>
  <r>
    <s v="Software"/>
    <x v="1"/>
    <x v="1"/>
    <s v="Jade Miller"/>
    <s v="Widget"/>
    <d v="2017-05-23T00:00:00"/>
    <s v="F-Keys Ltd."/>
    <n v="200"/>
    <n v="4012"/>
    <n v="1694"/>
    <n v="2318"/>
  </r>
  <r>
    <s v="Software"/>
    <x v="0"/>
    <x v="0"/>
    <s v="Anne Troy"/>
    <s v="Widget"/>
    <d v="2017-05-23T00:00:00"/>
    <s v="Excel4Apps"/>
    <n v="700"/>
    <n v="12803"/>
    <n v="5929"/>
    <n v="6874"/>
  </r>
  <r>
    <s v="Retail"/>
    <x v="2"/>
    <x v="2"/>
    <s v="Jeffrey P. Coulson"/>
    <s v="Gadget"/>
    <d v="2017-05-24T00:00:00"/>
    <s v="Hartville MarketPlace and Flea Market"/>
    <n v="100"/>
    <n v="2319"/>
    <n v="984"/>
    <n v="1335"/>
  </r>
  <r>
    <s v="Software"/>
    <x v="0"/>
    <x v="0"/>
    <s v="Anne Troy"/>
    <s v="Widget"/>
    <d v="2017-05-24T00:00:00"/>
    <s v="Excel4Apps"/>
    <n v="600"/>
    <n v="11700"/>
    <n v="5082"/>
    <n v="6618"/>
  </r>
  <r>
    <s v="Retail"/>
    <x v="2"/>
    <x v="2"/>
    <s v="Jeffrey P. Coulson"/>
    <s v="Gadget"/>
    <d v="2017-05-26T00:00:00"/>
    <s v="Hartville MarketPlace and Flea Market"/>
    <n v="600"/>
    <n v="12048"/>
    <n v="5904"/>
    <n v="6144"/>
  </r>
  <r>
    <s v="Training"/>
    <x v="1"/>
    <x v="1"/>
    <s v="Jade Miller"/>
    <s v="Gizmo"/>
    <d v="2017-05-28T00:00:00"/>
    <s v="LearnExcelBooks.com"/>
    <n v="700"/>
    <n v="14469"/>
    <n v="7154"/>
    <n v="7315"/>
  </r>
  <r>
    <s v="Retail"/>
    <x v="2"/>
    <x v="2"/>
    <s v="Jeffrey P. Coulson"/>
    <s v="Widget"/>
    <d v="2017-05-29T00:00:00"/>
    <s v="Hartville MarketPlace and Flea Market"/>
    <n v="900"/>
    <n v="17964"/>
    <n v="7623"/>
    <n v="10341"/>
  </r>
  <r>
    <s v="Training"/>
    <x v="2"/>
    <x v="6"/>
    <s v="Michael Karpfen"/>
    <s v="Widget"/>
    <d v="2017-05-30T00:00:00"/>
    <s v="MyOnlineTrainingHub.com"/>
    <n v="700"/>
    <n v="13412"/>
    <n v="5929"/>
    <n v="7483"/>
  </r>
  <r>
    <s v="Software"/>
    <x v="0"/>
    <x v="0"/>
    <s v="Anne Troy"/>
    <s v="Gizmo"/>
    <d v="2017-05-30T00:00:00"/>
    <s v="Excel4Apps"/>
    <n v="300"/>
    <n v="6660"/>
    <n v="3066"/>
    <n v="3594"/>
  </r>
  <r>
    <s v="Training"/>
    <x v="1"/>
    <x v="1"/>
    <s v="Jade Miller"/>
    <s v="Gizmo"/>
    <d v="2017-05-31T00:00:00"/>
    <s v="CPASelfStudy.com"/>
    <n v="900"/>
    <n v="18918"/>
    <n v="9198"/>
    <n v="9720"/>
  </r>
  <r>
    <s v="Software"/>
    <x v="0"/>
    <x v="0"/>
    <s v="Anne Troy"/>
    <s v="Widget"/>
    <d v="2017-06-01T00:00:00"/>
    <s v="Excel4Apps"/>
    <n v="700"/>
    <n v="13986"/>
    <n v="5929"/>
    <n v="8057"/>
  </r>
  <r>
    <s v="Training"/>
    <x v="1"/>
    <x v="1"/>
    <s v="Jade Miller"/>
    <s v="Gadget"/>
    <d v="2017-06-03T00:00:00"/>
    <s v="LearnExcelBooks.com"/>
    <n v="1000"/>
    <n v="20480"/>
    <n v="9840"/>
    <n v="10640"/>
  </r>
  <r>
    <s v="Consultants"/>
    <x v="2"/>
    <x v="5"/>
    <s v="Larry Vance"/>
    <s v="Gizmo"/>
    <d v="2017-06-06T00:00:00"/>
    <s v="Andrew Spain Consulting"/>
    <n v="200"/>
    <n v="4264"/>
    <n v="2044"/>
    <n v="2220"/>
  </r>
  <r>
    <s v="Retail"/>
    <x v="0"/>
    <x v="10"/>
    <s v="Sabine Hanschitz"/>
    <s v="Gadget"/>
    <d v="2017-06-07T00:00:00"/>
    <s v="New Hope Laundry"/>
    <n v="200"/>
    <n v="4282"/>
    <n v="1968"/>
    <n v="2314"/>
  </r>
  <r>
    <s v="Training"/>
    <x v="1"/>
    <x v="1"/>
    <s v="Jade Miller"/>
    <s v="Gizmo"/>
    <d v="2017-06-08T00:00:00"/>
    <s v="LearnExcelBooks.com"/>
    <n v="500"/>
    <n v="12135"/>
    <n v="5110"/>
    <n v="7025"/>
  </r>
  <r>
    <s v="Training"/>
    <x v="1"/>
    <x v="1"/>
    <s v="Jade Miller"/>
    <s v="Gadget"/>
    <d v="2017-06-10T00:00:00"/>
    <s v="LearnExcelBooks.com"/>
    <n v="200"/>
    <n v="4286"/>
    <n v="1968"/>
    <n v="2318"/>
  </r>
  <r>
    <s v="Software"/>
    <x v="1"/>
    <x v="1"/>
    <s v="Jade Miller"/>
    <s v="Gizmo"/>
    <d v="2017-06-12T00:00:00"/>
    <s v="F-Keys Ltd."/>
    <n v="500"/>
    <n v="10650"/>
    <n v="5110"/>
    <n v="5540"/>
  </r>
  <r>
    <s v="Software"/>
    <x v="1"/>
    <x v="1"/>
    <s v="Jade Miller"/>
    <s v="Widget"/>
    <d v="2017-06-13T00:00:00"/>
    <s v="F-Keys Ltd."/>
    <n v="1000"/>
    <n v="19630"/>
    <n v="8470"/>
    <n v="11160"/>
  </r>
  <r>
    <s v="Training"/>
    <x v="1"/>
    <x v="1"/>
    <s v="Jade Miller"/>
    <s v="Widget"/>
    <d v="2017-06-14T00:00:00"/>
    <s v="CPASelfStudy.com"/>
    <n v="700"/>
    <n v="12838"/>
    <n v="5929"/>
    <n v="6909"/>
  </r>
  <r>
    <s v="Training"/>
    <x v="0"/>
    <x v="0"/>
    <s v="Anne Troy"/>
    <s v="Widget"/>
    <d v="2017-06-15T00:00:00"/>
    <s v="599CD.com"/>
    <n v="200"/>
    <n v="3856"/>
    <n v="1694"/>
    <n v="2162"/>
  </r>
  <r>
    <s v="Software"/>
    <x v="1"/>
    <x v="1"/>
    <s v="Jade Miller"/>
    <s v="Gadget"/>
    <d v="2017-06-19T00:00:00"/>
    <s v="Vertex42"/>
    <n v="1000"/>
    <n v="22140"/>
    <n v="9840"/>
    <n v="12300"/>
  </r>
  <r>
    <s v="Training"/>
    <x v="1"/>
    <x v="1"/>
    <s v="Jade Miller"/>
    <s v="Widget"/>
    <d v="2017-06-23T00:00:00"/>
    <s v="LearnExcelBooks.com"/>
    <n v="500"/>
    <n v="10330"/>
    <n v="4235"/>
    <n v="6095"/>
  </r>
  <r>
    <s v="Retail"/>
    <x v="2"/>
    <x v="2"/>
    <s v="Jeffrey P. Coulson"/>
    <s v="Widget"/>
    <d v="2017-06-24T00:00:00"/>
    <s v="Hartville MarketPlace and Flea Market"/>
    <n v="100"/>
    <n v="1882"/>
    <n v="847"/>
    <n v="1035"/>
  </r>
  <r>
    <s v="Training"/>
    <x v="0"/>
    <x v="0"/>
    <s v="Anne Troy"/>
    <s v="Gadget"/>
    <d v="2017-06-25T00:00:00"/>
    <s v="599CD.com"/>
    <n v="100"/>
    <n v="2221"/>
    <n v="984"/>
    <n v="1237"/>
  </r>
  <r>
    <s v="Retail"/>
    <x v="2"/>
    <x v="2"/>
    <s v="Jeffrey P. Coulson"/>
    <s v="Widget"/>
    <d v="2017-06-26T00:00:00"/>
    <s v="Hartville MarketPlace and Flea Market"/>
    <n v="700"/>
    <n v="13734"/>
    <n v="5929"/>
    <n v="7805"/>
  </r>
  <r>
    <s v="Professional"/>
    <x v="2"/>
    <x v="9"/>
    <s v="Ryan Wilson"/>
    <s v="Gadget"/>
    <d v="2017-06-26T00:00:00"/>
    <s v="Serving Brevard Realty"/>
    <n v="800"/>
    <n v="15856"/>
    <n v="7872"/>
    <n v="7984"/>
  </r>
  <r>
    <s v="Consultants"/>
    <x v="3"/>
    <x v="4"/>
    <s v="John Durran"/>
    <s v="Gadget"/>
    <d v="2017-06-27T00:00:00"/>
    <s v="Data2Impact"/>
    <n v="200"/>
    <n v="4754"/>
    <n v="1968"/>
    <n v="2786"/>
  </r>
  <r>
    <s v="Retail"/>
    <x v="2"/>
    <x v="2"/>
    <s v="Jeffrey P. Coulson"/>
    <s v="Gadget"/>
    <d v="2017-06-30T00:00:00"/>
    <s v="Hartville MarketPlace and Flea Market"/>
    <n v="100"/>
    <n v="2231"/>
    <n v="984"/>
    <n v="1247"/>
  </r>
  <r>
    <s v="Training"/>
    <x v="1"/>
    <x v="1"/>
    <s v="Jade Miller"/>
    <s v="Gizmo"/>
    <d v="2017-07-02T00:00:00"/>
    <s v="CPASelfStudy.com"/>
    <n v="900"/>
    <n v="21960"/>
    <n v="9198"/>
    <n v="12762"/>
  </r>
  <r>
    <s v="Software"/>
    <x v="0"/>
    <x v="7"/>
    <s v="Mike Mann"/>
    <s v="Gizmo"/>
    <d v="2017-07-03T00:00:00"/>
    <s v="Frontline Systems"/>
    <n v="300"/>
    <n v="7167"/>
    <n v="3066"/>
    <n v="4101"/>
  </r>
  <r>
    <s v="Consultants"/>
    <x v="2"/>
    <x v="5"/>
    <s v="Larry Vance"/>
    <s v="Gizmo"/>
    <d v="2017-07-03T00:00:00"/>
    <s v="Andrew Spain Consulting"/>
    <n v="900"/>
    <n v="22716"/>
    <n v="9198"/>
    <n v="13518"/>
  </r>
  <r>
    <s v="Training"/>
    <x v="2"/>
    <x v="6"/>
    <s v="Michael Karpfen"/>
    <s v="Gizmo"/>
    <d v="2017-07-04T00:00:00"/>
    <s v="MyOnlineTrainingHub.com"/>
    <n v="900"/>
    <n v="19062"/>
    <n v="9198"/>
    <n v="9864"/>
  </r>
  <r>
    <s v="Software"/>
    <x v="0"/>
    <x v="0"/>
    <s v="Anne Troy"/>
    <s v="Gizmo"/>
    <d v="2017-07-05T00:00:00"/>
    <s v="Excel4Apps"/>
    <n v="300"/>
    <n v="7593"/>
    <n v="3066"/>
    <n v="4527"/>
  </r>
  <r>
    <s v="Retail"/>
    <x v="2"/>
    <x v="2"/>
    <s v="Jeffrey P. Coulson"/>
    <s v="Gadget"/>
    <d v="2017-07-08T00:00:00"/>
    <s v="Hartville MarketPlace and Flea Market"/>
    <n v="900"/>
    <n v="21168"/>
    <n v="8856"/>
    <n v="12312"/>
  </r>
  <r>
    <s v="Training"/>
    <x v="0"/>
    <x v="7"/>
    <s v="Mike Mann"/>
    <s v="Gizmo"/>
    <d v="2017-07-10T00:00:00"/>
    <s v="ExcelTricks.de"/>
    <n v="1000"/>
    <n v="24130"/>
    <n v="10220"/>
    <n v="13910"/>
  </r>
  <r>
    <s v="Retail"/>
    <x v="0"/>
    <x v="10"/>
    <s v="Sabine Hanschitz"/>
    <s v="Gizmo"/>
    <d v="2017-07-11T00:00:00"/>
    <s v="New Hope Laundry"/>
    <n v="400"/>
    <n v="8876"/>
    <n v="4088"/>
    <n v="4788"/>
  </r>
  <r>
    <s v="Training"/>
    <x v="1"/>
    <x v="1"/>
    <s v="Jade Miller"/>
    <s v="Gadget"/>
    <d v="2017-07-14T00:00:00"/>
    <s v="CPASelfStudy.com"/>
    <n v="900"/>
    <n v="21555"/>
    <n v="8856"/>
    <n v="12699"/>
  </r>
  <r>
    <s v="Training"/>
    <x v="1"/>
    <x v="1"/>
    <s v="Jade Miller"/>
    <s v="Widget"/>
    <d v="2017-07-15T00:00:00"/>
    <s v="LearnExcelBooks.com"/>
    <n v="300"/>
    <n v="5967"/>
    <n v="2541"/>
    <n v="3426"/>
  </r>
  <r>
    <s v="Training"/>
    <x v="0"/>
    <x v="0"/>
    <s v="Anne Troy"/>
    <s v="Gizmo"/>
    <d v="2017-07-15T00:00:00"/>
    <s v="599CD.com"/>
    <n v="700"/>
    <n v="15876"/>
    <n v="7154"/>
    <n v="8722"/>
  </r>
  <r>
    <s v="Professional"/>
    <x v="2"/>
    <x v="9"/>
    <s v="Ryan Wilson"/>
    <s v="Gizmo"/>
    <d v="2017-07-17T00:00:00"/>
    <s v="Serving Brevard Realty"/>
    <n v="1000"/>
    <n v="25350"/>
    <n v="10220"/>
    <n v="15130"/>
  </r>
  <r>
    <s v="Training"/>
    <x v="1"/>
    <x v="1"/>
    <s v="Jade Miller"/>
    <s v="Gadget"/>
    <d v="2017-07-18T00:00:00"/>
    <s v="LearnExcelBooks.com"/>
    <n v="500"/>
    <n v="11545"/>
    <n v="4920"/>
    <n v="6625"/>
  </r>
  <r>
    <s v="Professional"/>
    <x v="2"/>
    <x v="6"/>
    <s v="Michael Karpfen"/>
    <s v="Widget"/>
    <d v="2017-07-18T00:00:00"/>
    <s v="Juliet Babcock-Hyde CPA, PLLC"/>
    <n v="200"/>
    <n v="4158"/>
    <n v="1694"/>
    <n v="2464"/>
  </r>
  <r>
    <s v="Software"/>
    <x v="0"/>
    <x v="0"/>
    <s v="Anne Troy"/>
    <s v="Widget"/>
    <d v="2017-07-20T00:00:00"/>
    <s v="Excel4Apps"/>
    <n v="600"/>
    <n v="12684"/>
    <n v="5082"/>
    <n v="7602"/>
  </r>
  <r>
    <s v="Consultants"/>
    <x v="2"/>
    <x v="5"/>
    <s v="Larry Vance"/>
    <s v="Widget"/>
    <d v="2017-07-22T00:00:00"/>
    <s v="Andrew Spain Consulting"/>
    <n v="1000"/>
    <n v="18660"/>
    <n v="8470"/>
    <n v="10190"/>
  </r>
  <r>
    <s v="Training"/>
    <x v="2"/>
    <x v="6"/>
    <s v="Michael Karpfen"/>
    <s v="Gadget"/>
    <d v="2017-07-23T00:00:00"/>
    <s v="MyOnlineTrainingHub.com"/>
    <n v="500"/>
    <n v="11660"/>
    <n v="4920"/>
    <n v="6740"/>
  </r>
  <r>
    <s v="Software"/>
    <x v="0"/>
    <x v="0"/>
    <s v="Anne Troy"/>
    <s v="Gadget"/>
    <d v="2017-07-26T00:00:00"/>
    <s v="Excel4Apps"/>
    <n v="800"/>
    <n v="15816"/>
    <n v="7872"/>
    <n v="7944"/>
  </r>
  <r>
    <s v="Software"/>
    <x v="0"/>
    <x v="7"/>
    <s v="Mike Mann"/>
    <s v="Gizmo"/>
    <d v="2017-07-27T00:00:00"/>
    <s v="Frontline Systems"/>
    <n v="1000"/>
    <n v="23890"/>
    <n v="10220"/>
    <n v="13670"/>
  </r>
  <r>
    <s v="Software"/>
    <x v="1"/>
    <x v="1"/>
    <s v="Jade Miller"/>
    <s v="Gadget"/>
    <d v="2017-07-28T00:00:00"/>
    <s v="F-Keys Ltd."/>
    <n v="600"/>
    <n v="13866"/>
    <n v="5904"/>
    <n v="7962"/>
  </r>
  <r>
    <s v="Consultants"/>
    <x v="3"/>
    <x v="4"/>
    <s v="John Durran"/>
    <s v="Widget"/>
    <d v="2017-07-29T00:00:00"/>
    <s v="Fintega Financial Modelling"/>
    <n v="1000"/>
    <n v="17840"/>
    <n v="8470"/>
    <n v="9370"/>
  </r>
  <r>
    <s v="Consultants"/>
    <x v="2"/>
    <x v="5"/>
    <s v="Larry Vance"/>
    <s v="Widget"/>
    <d v="2017-07-29T00:00:00"/>
    <s v="Andrew Spain Consulting"/>
    <n v="800"/>
    <n v="13936"/>
    <n v="6776"/>
    <n v="7160"/>
  </r>
  <r>
    <s v="Training"/>
    <x v="1"/>
    <x v="1"/>
    <s v="Jade Miller"/>
    <s v="Gizmo"/>
    <d v="2017-07-30T00:00:00"/>
    <s v="CPASelfStudy.com"/>
    <n v="600"/>
    <n v="12984"/>
    <n v="6132"/>
    <n v="6852"/>
  </r>
  <r>
    <s v="Training"/>
    <x v="1"/>
    <x v="1"/>
    <s v="Jade Miller"/>
    <s v="Gadget"/>
    <d v="2017-07-31T00:00:00"/>
    <s v="MySpreadsheetLab"/>
    <n v="1000"/>
    <n v="21800"/>
    <n v="9840"/>
    <n v="11960"/>
  </r>
  <r>
    <s v="Consultants"/>
    <x v="2"/>
    <x v="5"/>
    <s v="Larry Vance"/>
    <s v="Widget"/>
    <d v="2017-07-31T00:00:00"/>
    <s v="Andrew Spain Consulting"/>
    <n v="300"/>
    <n v="5508"/>
    <n v="2541"/>
    <n v="2967"/>
  </r>
  <r>
    <s v="Retail"/>
    <x v="2"/>
    <x v="2"/>
    <s v="Jeffrey P. Coulson"/>
    <s v="Gizmo"/>
    <d v="2017-08-03T00:00:00"/>
    <s v="Hartville MarketPlace and Flea Market"/>
    <n v="400"/>
    <n v="9704"/>
    <n v="4088"/>
    <n v="5616"/>
  </r>
  <r>
    <s v="Professional"/>
    <x v="2"/>
    <x v="6"/>
    <s v="Michael Karpfen"/>
    <s v="Gizmo"/>
    <d v="2017-08-04T00:00:00"/>
    <s v="Juliet Babcock-Hyde CPA, PLLC"/>
    <n v="600"/>
    <n v="13962"/>
    <n v="6132"/>
    <n v="7830"/>
  </r>
  <r>
    <s v="Retail"/>
    <x v="2"/>
    <x v="2"/>
    <s v="Jeffrey P. Coulson"/>
    <s v="Widget"/>
    <d v="2017-08-05T00:00:00"/>
    <s v="Hartville MarketPlace and Flea Market"/>
    <n v="700"/>
    <n v="13433"/>
    <n v="5929"/>
    <n v="7504"/>
  </r>
  <r>
    <s v="Professional"/>
    <x v="2"/>
    <x v="9"/>
    <s v="Ryan Wilson"/>
    <s v="Widget"/>
    <d v="2017-08-06T00:00:00"/>
    <s v="Serving Brevard Realty"/>
    <n v="800"/>
    <n v="15288"/>
    <n v="6776"/>
    <n v="8512"/>
  </r>
  <r>
    <s v="Software"/>
    <x v="0"/>
    <x v="0"/>
    <s v="Anne Troy"/>
    <s v="Gizmo"/>
    <d v="2017-08-06T00:00:00"/>
    <s v="Excel4Apps"/>
    <n v="900"/>
    <n v="19584"/>
    <n v="9198"/>
    <n v="10386"/>
  </r>
  <r>
    <s v="Training"/>
    <x v="1"/>
    <x v="1"/>
    <s v="Jade Miller"/>
    <s v="Gizmo"/>
    <d v="2017-08-07T00:00:00"/>
    <s v="CPASelfStudy.com"/>
    <n v="100"/>
    <n v="2320"/>
    <n v="1022"/>
    <n v="1298"/>
  </r>
  <r>
    <s v="Training"/>
    <x v="2"/>
    <x v="6"/>
    <s v="Michael Karpfen"/>
    <s v="Gadget"/>
    <d v="2017-08-12T00:00:00"/>
    <s v="MyOnlineTrainingHub.com"/>
    <n v="800"/>
    <n v="16936"/>
    <n v="7872"/>
    <n v="9064"/>
  </r>
  <r>
    <s v="Training"/>
    <x v="0"/>
    <x v="0"/>
    <s v="Anne Troy"/>
    <s v="Widget"/>
    <d v="2017-08-14T00:00:00"/>
    <s v="599CD.com"/>
    <n v="300"/>
    <n v="6138"/>
    <n v="2541"/>
    <n v="3597"/>
  </r>
  <r>
    <s v="Training"/>
    <x v="1"/>
    <x v="1"/>
    <s v="Jade Miller"/>
    <s v="Gadget"/>
    <d v="2017-08-14T00:00:00"/>
    <s v="LearnExcelBooks.com"/>
    <n v="600"/>
    <n v="12030"/>
    <n v="5904"/>
    <n v="6126"/>
  </r>
  <r>
    <s v="Professional"/>
    <x v="2"/>
    <x v="9"/>
    <s v="Ryan Wilson"/>
    <s v="Gizmo"/>
    <d v="2017-08-16T00:00:00"/>
    <s v="Serving Brevard Realty"/>
    <n v="400"/>
    <n v="9384"/>
    <n v="4088"/>
    <n v="5296"/>
  </r>
  <r>
    <s v="Retail"/>
    <x v="2"/>
    <x v="2"/>
    <s v="Jeffrey P. Coulson"/>
    <s v="Widget"/>
    <d v="2017-08-17T00:00:00"/>
    <s v="Hartville MarketPlace and Flea Market"/>
    <n v="300"/>
    <n v="5904"/>
    <n v="2541"/>
    <n v="3363"/>
  </r>
  <r>
    <s v="Retail"/>
    <x v="2"/>
    <x v="2"/>
    <s v="Jeffrey P. Coulson"/>
    <s v="Widget"/>
    <d v="2017-08-19T00:00:00"/>
    <s v="Hartville MarketPlace and Flea Market"/>
    <n v="1000"/>
    <n v="21120"/>
    <n v="8470"/>
    <n v="12650"/>
  </r>
  <r>
    <s v="Professional"/>
    <x v="2"/>
    <x v="9"/>
    <s v="Ryan Wilson"/>
    <s v="Gizmo"/>
    <d v="2017-08-20T00:00:00"/>
    <s v="Serving Brevard Realty"/>
    <n v="900"/>
    <n v="18684"/>
    <n v="9198"/>
    <n v="9486"/>
  </r>
  <r>
    <s v="Training"/>
    <x v="0"/>
    <x v="0"/>
    <s v="Anne Troy"/>
    <s v="Widget"/>
    <d v="2017-08-20T00:00:00"/>
    <s v="599CD.com"/>
    <n v="100"/>
    <n v="1836"/>
    <n v="847"/>
    <n v="989"/>
  </r>
  <r>
    <s v="Training"/>
    <x v="2"/>
    <x v="6"/>
    <s v="Michael Karpfen"/>
    <s v="Gizmo"/>
    <d v="2017-08-22T00:00:00"/>
    <s v="MyOnlineTrainingHub.com"/>
    <n v="600"/>
    <n v="15006"/>
    <n v="6132"/>
    <n v="8874"/>
  </r>
  <r>
    <s v="Training"/>
    <x v="1"/>
    <x v="1"/>
    <s v="Jade Miller"/>
    <s v="Gadget"/>
    <d v="2017-08-22T00:00:00"/>
    <s v="MySpreadsheetLab"/>
    <n v="900"/>
    <n v="19989"/>
    <n v="8856"/>
    <n v="11133"/>
  </r>
  <r>
    <s v="Retail"/>
    <x v="3"/>
    <x v="4"/>
    <s v="John Durran"/>
    <s v="Doodads"/>
    <d v="2017-08-25T00:00:00"/>
    <s v="Bits of Confetti"/>
    <n v="800"/>
    <n v="17856"/>
    <n v="8176"/>
    <n v="9680"/>
  </r>
  <r>
    <s v="Training"/>
    <x v="0"/>
    <x v="0"/>
    <s v="Anne Troy"/>
    <s v="Widget"/>
    <d v="2017-08-25T00:00:00"/>
    <s v="599CD.com"/>
    <n v="100"/>
    <n v="1913"/>
    <n v="847"/>
    <n v="1066"/>
  </r>
  <r>
    <s v="Training"/>
    <x v="1"/>
    <x v="1"/>
    <s v="Jade Miller"/>
    <s v="Gizmo"/>
    <d v="2017-08-25T00:00:00"/>
    <s v="CPASelfStudy.com"/>
    <n v="400"/>
    <n v="8744"/>
    <n v="4088"/>
    <n v="4656"/>
  </r>
  <r>
    <s v="Training"/>
    <x v="1"/>
    <x v="1"/>
    <s v="Jade Miller"/>
    <s v="Gizmo"/>
    <d v="2017-08-26T00:00:00"/>
    <s v="MySpreadsheetLab"/>
    <n v="900"/>
    <n v="19368"/>
    <n v="9198"/>
    <n v="10170"/>
  </r>
  <r>
    <s v="Consultants"/>
    <x v="0"/>
    <x v="8"/>
    <s v="Richard Oldcorn"/>
    <s v="Widget"/>
    <d v="2017-08-27T00:00:00"/>
    <s v="Excelerator BI"/>
    <n v="100"/>
    <n v="1819"/>
    <n v="847"/>
    <n v="972"/>
  </r>
  <r>
    <s v="Training"/>
    <x v="2"/>
    <x v="6"/>
    <s v="Michael Karpfen"/>
    <s v="Gizmo"/>
    <d v="2017-08-28T00:00:00"/>
    <s v="MyOnlineTrainingHub.com"/>
    <n v="500"/>
    <n v="10990"/>
    <n v="5110"/>
    <n v="5880"/>
  </r>
  <r>
    <s v="Training"/>
    <x v="2"/>
    <x v="6"/>
    <s v="Michael Karpfen"/>
    <s v="Gizmo"/>
    <d v="2017-08-28T00:00:00"/>
    <s v="MyOnlineTrainingHub.com"/>
    <n v="200"/>
    <n v="4440"/>
    <n v="2044"/>
    <n v="2396"/>
  </r>
  <r>
    <s v="Software"/>
    <x v="1"/>
    <x v="1"/>
    <s v="Jade Miller"/>
    <s v="Widget"/>
    <d v="2017-08-29T00:00:00"/>
    <s v="F-Keys Ltd."/>
    <n v="300"/>
    <n v="6309"/>
    <n v="2541"/>
    <n v="3768"/>
  </r>
  <r>
    <s v="Professional"/>
    <x v="2"/>
    <x v="9"/>
    <s v="Ryan Wilson"/>
    <s v="Gadget"/>
    <d v="2017-08-30T00:00:00"/>
    <s v="Serving Brevard Realty"/>
    <n v="800"/>
    <n v="18904"/>
    <n v="7872"/>
    <n v="11032"/>
  </r>
  <r>
    <s v="Associations"/>
    <x v="1"/>
    <x v="1"/>
    <s v="Jade Miller"/>
    <s v="Gizmo"/>
    <d v="2017-09-01T00:00:00"/>
    <s v="IMA Houston Chapter"/>
    <n v="800"/>
    <n v="18072"/>
    <n v="8176"/>
    <n v="9896"/>
  </r>
  <r>
    <s v="Consultants"/>
    <x v="2"/>
    <x v="5"/>
    <s v="Larry Vance"/>
    <s v="Widget"/>
    <d v="2017-09-01T00:00:00"/>
    <s v="Andrew Spain Consulting"/>
    <n v="100"/>
    <n v="2012"/>
    <n v="847"/>
    <n v="1165"/>
  </r>
  <r>
    <s v="Training"/>
    <x v="0"/>
    <x v="0"/>
    <s v="Anne Troy"/>
    <s v="Widget"/>
    <d v="2017-09-04T00:00:00"/>
    <s v="599CD.com"/>
    <n v="500"/>
    <n v="10295"/>
    <n v="4235"/>
    <n v="6060"/>
  </r>
  <r>
    <s v="Training"/>
    <x v="0"/>
    <x v="0"/>
    <s v="Anne Troy"/>
    <s v="Widget"/>
    <d v="2017-09-05T00:00:00"/>
    <s v="599CD.com"/>
    <n v="400"/>
    <n v="7944"/>
    <n v="3388"/>
    <n v="4556"/>
  </r>
  <r>
    <s v="Training"/>
    <x v="1"/>
    <x v="1"/>
    <s v="Jade Miller"/>
    <s v="Widget"/>
    <d v="2017-09-06T00:00:00"/>
    <s v="LearnExcelBooks.com"/>
    <n v="100"/>
    <n v="1957"/>
    <n v="847"/>
    <n v="1110"/>
  </r>
  <r>
    <s v="Software"/>
    <x v="1"/>
    <x v="1"/>
    <s v="Jade Miller"/>
    <s v="Gadget"/>
    <d v="2017-09-10T00:00:00"/>
    <s v="F-Keys Ltd."/>
    <n v="700"/>
    <n v="15680"/>
    <n v="6888"/>
    <n v="8792"/>
  </r>
  <r>
    <s v="Training"/>
    <x v="2"/>
    <x v="6"/>
    <s v="Michael Karpfen"/>
    <s v="Gadget"/>
    <d v="2017-09-10T00:00:00"/>
    <s v="MyOnlineTrainingHub.com"/>
    <n v="600"/>
    <n v="12756"/>
    <n v="5904"/>
    <n v="6852"/>
  </r>
  <r>
    <s v="Retail"/>
    <x v="2"/>
    <x v="2"/>
    <s v="Jeffrey P. Coulson"/>
    <s v="Widget"/>
    <d v="2017-09-11T00:00:00"/>
    <s v="Hartville MarketPlace and Flea Market"/>
    <n v="300"/>
    <n v="5826"/>
    <n v="2541"/>
    <n v="3285"/>
  </r>
  <r>
    <s v="Training"/>
    <x v="1"/>
    <x v="1"/>
    <s v="Jade Miller"/>
    <s v="Gizmo"/>
    <d v="2017-09-13T00:00:00"/>
    <s v="MySpreadsheetLab"/>
    <n v="800"/>
    <n v="20008"/>
    <n v="8176"/>
    <n v="11832"/>
  </r>
  <r>
    <s v="Training"/>
    <x v="1"/>
    <x v="1"/>
    <s v="Jade Miller"/>
    <s v="Widget"/>
    <d v="2017-09-14T00:00:00"/>
    <s v="MySpreadsheetLab"/>
    <n v="300"/>
    <n v="5457"/>
    <n v="2541"/>
    <n v="2916"/>
  </r>
  <r>
    <s v="Retail"/>
    <x v="2"/>
    <x v="2"/>
    <s v="Jeffrey P. Coulson"/>
    <s v="Widget"/>
    <d v="2017-09-15T00:00:00"/>
    <s v="Hartville MarketPlace and Flea Market"/>
    <n v="600"/>
    <n v="12330"/>
    <n v="5082"/>
    <n v="7248"/>
  </r>
  <r>
    <s v="Training"/>
    <x v="2"/>
    <x v="6"/>
    <s v="Michael Karpfen"/>
    <s v="Gadget"/>
    <d v="2017-09-18T00:00:00"/>
    <s v="MyOnlineTrainingHub.com"/>
    <n v="500"/>
    <n v="11845"/>
    <n v="4920"/>
    <n v="6925"/>
  </r>
  <r>
    <s v="Consultants"/>
    <x v="2"/>
    <x v="2"/>
    <s v="Jeffrey P. Coulson"/>
    <s v="Gadget"/>
    <d v="2017-09-19T00:00:00"/>
    <s v="Cambia Factor"/>
    <n v="800"/>
    <n v="16784"/>
    <n v="7872"/>
    <n v="8912"/>
  </r>
  <r>
    <s v="Software"/>
    <x v="0"/>
    <x v="0"/>
    <s v="Anne Troy"/>
    <s v="Widget"/>
    <d v="2017-09-22T00:00:00"/>
    <s v="Excel4Apps"/>
    <n v="1000"/>
    <n v="17200"/>
    <n v="8470"/>
    <n v="8730"/>
  </r>
  <r>
    <s v="Training"/>
    <x v="1"/>
    <x v="1"/>
    <s v="Jade Miller"/>
    <s v="Widget"/>
    <d v="2017-09-23T00:00:00"/>
    <s v="MySpreadsheetLab"/>
    <n v="600"/>
    <n v="10602"/>
    <n v="5082"/>
    <n v="5520"/>
  </r>
  <r>
    <s v="Training"/>
    <x v="2"/>
    <x v="6"/>
    <s v="Michael Karpfen"/>
    <s v="Widget"/>
    <d v="2017-09-25T00:00:00"/>
    <s v="MyOnlineTrainingHub.com"/>
    <n v="500"/>
    <n v="9350"/>
    <n v="4235"/>
    <n v="5115"/>
  </r>
  <r>
    <s v="Software"/>
    <x v="0"/>
    <x v="0"/>
    <s v="Anne Troy"/>
    <s v="Gizmo"/>
    <d v="2017-09-25T00:00:00"/>
    <s v="Excel4Apps"/>
    <n v="100"/>
    <n v="2095"/>
    <n v="1022"/>
    <n v="1073"/>
  </r>
  <r>
    <s v="Software"/>
    <x v="0"/>
    <x v="0"/>
    <s v="Anne Troy"/>
    <s v="Gadget"/>
    <d v="2017-09-26T00:00:00"/>
    <s v="Excel4Apps"/>
    <n v="600"/>
    <n v="13728"/>
    <n v="5904"/>
    <n v="7824"/>
  </r>
  <r>
    <s v="Training"/>
    <x v="1"/>
    <x v="1"/>
    <s v="Jade Miller"/>
    <s v="Widget"/>
    <d v="2017-09-27T00:00:00"/>
    <s v="CPASelfStudy.com"/>
    <n v="900"/>
    <n v="17712"/>
    <n v="7623"/>
    <n v="10089"/>
  </r>
  <r>
    <s v="Consultants"/>
    <x v="2"/>
    <x v="5"/>
    <s v="Larry Vance"/>
    <s v="Gadget"/>
    <d v="2017-09-27T00:00:00"/>
    <s v="Andrew Spain Consulting"/>
    <n v="1000"/>
    <n v="23080"/>
    <n v="9840"/>
    <n v="13240"/>
  </r>
  <r>
    <s v="Consultants"/>
    <x v="2"/>
    <x v="5"/>
    <s v="Larry Vance"/>
    <s v="Widget"/>
    <d v="2017-09-28T00:00:00"/>
    <s v="Andrew Spain Consulting"/>
    <n v="800"/>
    <n v="13552"/>
    <n v="6776"/>
    <n v="6776"/>
  </r>
  <r>
    <s v="Software"/>
    <x v="0"/>
    <x v="0"/>
    <s v="Anne Troy"/>
    <s v="Gizmo"/>
    <d v="2017-09-29T00:00:00"/>
    <s v="Excel4Apps"/>
    <n v="600"/>
    <n v="12480"/>
    <n v="6132"/>
    <n v="6348"/>
  </r>
  <r>
    <s v="Training"/>
    <x v="1"/>
    <x v="1"/>
    <s v="Jade Miller"/>
    <s v="Widget"/>
    <d v="2017-09-30T00:00:00"/>
    <s v="MySpreadsheetLab"/>
    <n v="900"/>
    <n v="15759"/>
    <n v="7623"/>
    <n v="8136"/>
  </r>
  <r>
    <s v="Training"/>
    <x v="1"/>
    <x v="1"/>
    <s v="Jade Miller"/>
    <s v="Gadget"/>
    <d v="2017-10-02T00:00:00"/>
    <s v="CPASelfStudy.com"/>
    <n v="200"/>
    <n v="4866"/>
    <n v="1968"/>
    <n v="2898"/>
  </r>
  <r>
    <s v="Training"/>
    <x v="0"/>
    <x v="0"/>
    <s v="Anne Troy"/>
    <s v="Widget"/>
    <d v="2017-10-03T00:00:00"/>
    <s v="599CD.com"/>
    <n v="100"/>
    <n v="1877"/>
    <n v="847"/>
    <n v="1030"/>
  </r>
  <r>
    <s v="Consultants"/>
    <x v="2"/>
    <x v="2"/>
    <s v="Jeffrey P. Coulson"/>
    <s v="Gizmo"/>
    <d v="2017-10-06T00:00:00"/>
    <s v="Cambia Factor"/>
    <n v="800"/>
    <n v="16936"/>
    <n v="8176"/>
    <n v="8760"/>
  </r>
  <r>
    <s v="Consultants"/>
    <x v="2"/>
    <x v="5"/>
    <s v="Larry Vance"/>
    <s v="Gizmo"/>
    <d v="2017-10-07T00:00:00"/>
    <s v="Andrew Spain Consulting"/>
    <n v="700"/>
    <n v="15715"/>
    <n v="7154"/>
    <n v="8561"/>
  </r>
  <r>
    <s v="Training"/>
    <x v="1"/>
    <x v="1"/>
    <s v="Jade Miller"/>
    <s v="Gizmo"/>
    <d v="2017-10-08T00:00:00"/>
    <s v="MySpreadsheetLab"/>
    <n v="800"/>
    <n v="18208"/>
    <n v="8176"/>
    <n v="10032"/>
  </r>
  <r>
    <s v="Retail"/>
    <x v="3"/>
    <x v="4"/>
    <s v="John Durran"/>
    <s v="Gadget"/>
    <d v="2017-10-08T00:00:00"/>
    <s v="Bits of Confetti"/>
    <n v="100"/>
    <n v="2358"/>
    <n v="984"/>
    <n v="1374"/>
  </r>
  <r>
    <s v="Training"/>
    <x v="1"/>
    <x v="1"/>
    <s v="Jade Miller"/>
    <s v="Gizmo"/>
    <d v="2017-10-10T00:00:00"/>
    <s v="LearnExcelBooks.com"/>
    <n v="400"/>
    <n v="8560"/>
    <n v="4088"/>
    <n v="4472"/>
  </r>
  <r>
    <s v="Training"/>
    <x v="1"/>
    <x v="1"/>
    <s v="Jade Miller"/>
    <s v="Gadget"/>
    <d v="2017-10-12T00:00:00"/>
    <s v="LearnExcelBooks.com"/>
    <n v="1000"/>
    <n v="20190"/>
    <n v="9840"/>
    <n v="10350"/>
  </r>
  <r>
    <s v="Training"/>
    <x v="3"/>
    <x v="4"/>
    <s v="John Durran"/>
    <s v="Gizmo"/>
    <d v="2017-10-13T00:00:00"/>
    <s v="Lake Local School District"/>
    <n v="300"/>
    <n v="7032"/>
    <n v="3066"/>
    <n v="3966"/>
  </r>
  <r>
    <s v="Training"/>
    <x v="1"/>
    <x v="1"/>
    <s v="Jade Miller"/>
    <s v="Gizmo"/>
    <d v="2017-10-15T00:00:00"/>
    <s v="MySpreadsheetLab"/>
    <n v="100"/>
    <n v="2517"/>
    <n v="1022"/>
    <n v="1495"/>
  </r>
  <r>
    <s v="Retail"/>
    <x v="2"/>
    <x v="2"/>
    <s v="Jeffrey P. Coulson"/>
    <s v="Gizmo"/>
    <d v="2017-10-16T00:00:00"/>
    <s v="Hartville MarketPlace and Flea Market"/>
    <n v="500"/>
    <n v="10550"/>
    <n v="5110"/>
    <n v="5440"/>
  </r>
  <r>
    <s v="Professional"/>
    <x v="2"/>
    <x v="9"/>
    <s v="Ryan Wilson"/>
    <s v="Widget"/>
    <d v="2017-10-16T00:00:00"/>
    <s v="Serving Brevard Realty"/>
    <n v="700"/>
    <n v="14133"/>
    <n v="5929"/>
    <n v="8204"/>
  </r>
  <r>
    <s v="Retail"/>
    <x v="2"/>
    <x v="2"/>
    <s v="Jeffrey P. Coulson"/>
    <s v="Gizmo"/>
    <d v="2017-10-17T00:00:00"/>
    <s v="Hartville MarketPlace and Flea Market"/>
    <n v="300"/>
    <n v="6495"/>
    <n v="3066"/>
    <n v="3429"/>
  </r>
  <r>
    <s v="Training"/>
    <x v="1"/>
    <x v="1"/>
    <s v="Jade Miller"/>
    <s v="Widget"/>
    <d v="2017-10-18T00:00:00"/>
    <s v="MySpreadsheetLab"/>
    <n v="400"/>
    <n v="7520"/>
    <n v="3388"/>
    <n v="4132"/>
  </r>
  <r>
    <s v="Training"/>
    <x v="2"/>
    <x v="6"/>
    <s v="Michael Karpfen"/>
    <s v="Gizmo"/>
    <d v="2017-10-20T00:00:00"/>
    <s v="MyOnlineTrainingHub.com"/>
    <n v="900"/>
    <n v="21834"/>
    <n v="9198"/>
    <n v="12636"/>
  </r>
  <r>
    <s v="Training"/>
    <x v="1"/>
    <x v="1"/>
    <s v="Jade Miller"/>
    <s v="Widget"/>
    <d v="2017-10-20T00:00:00"/>
    <s v="MySpreadsheetLab"/>
    <n v="800"/>
    <n v="14136"/>
    <n v="6776"/>
    <n v="7360"/>
  </r>
  <r>
    <s v="Software"/>
    <x v="0"/>
    <x v="0"/>
    <s v="Anne Troy"/>
    <s v="Widget"/>
    <d v="2017-10-22T00:00:00"/>
    <s v="Excel4Apps"/>
    <n v="800"/>
    <n v="16008"/>
    <n v="6776"/>
    <n v="9232"/>
  </r>
  <r>
    <s v="Professional"/>
    <x v="2"/>
    <x v="6"/>
    <s v="Michael Karpfen"/>
    <s v="Gadget"/>
    <d v="2017-10-22T00:00:00"/>
    <s v="Juliet Babcock-Hyde CPA, PLLC"/>
    <n v="500"/>
    <n v="11220"/>
    <n v="4920"/>
    <n v="6300"/>
  </r>
  <r>
    <s v="Consultants"/>
    <x v="2"/>
    <x v="5"/>
    <s v="Larry Vance"/>
    <s v="Gadget"/>
    <d v="2017-10-23T00:00:00"/>
    <s v="Andrew Spain Consulting"/>
    <n v="1000"/>
    <n v="23040"/>
    <n v="9840"/>
    <n v="13200"/>
  </r>
  <r>
    <s v="Retail"/>
    <x v="2"/>
    <x v="2"/>
    <s v="Jeffrey P. Coulson"/>
    <s v="Gadget"/>
    <d v="2017-10-25T00:00:00"/>
    <s v="Hartville MarketPlace and Flea Market"/>
    <n v="500"/>
    <n v="10955"/>
    <n v="4920"/>
    <n v="6035"/>
  </r>
  <r>
    <s v="Retail"/>
    <x v="2"/>
    <x v="2"/>
    <s v="Jeffrey P. Coulson"/>
    <s v="Gizmo"/>
    <d v="2017-10-25T00:00:00"/>
    <s v="Hartville MarketPlace and Flea Market"/>
    <n v="900"/>
    <n v="21762"/>
    <n v="9198"/>
    <n v="12564"/>
  </r>
  <r>
    <s v="Retail"/>
    <x v="2"/>
    <x v="2"/>
    <s v="Jeffrey P. Coulson"/>
    <s v="Widget"/>
    <d v="2017-10-27T00:00:00"/>
    <s v="Hartville MarketPlace and Flea Market"/>
    <n v="800"/>
    <n v="15976"/>
    <n v="6776"/>
    <n v="9200"/>
  </r>
  <r>
    <s v="Training"/>
    <x v="1"/>
    <x v="1"/>
    <s v="Jade Miller"/>
    <s v="Gadget"/>
    <d v="2017-10-30T00:00:00"/>
    <s v="MySpreadsheetLab"/>
    <n v="1000"/>
    <n v="20540"/>
    <n v="9840"/>
    <n v="10700"/>
  </r>
  <r>
    <s v="Training"/>
    <x v="1"/>
    <x v="1"/>
    <s v="Jade Miller"/>
    <s v="Widget"/>
    <d v="2017-10-31T00:00:00"/>
    <s v="CPASelfStudy.com"/>
    <n v="500"/>
    <n v="9475"/>
    <n v="4235"/>
    <n v="5240"/>
  </r>
  <r>
    <s v="Software"/>
    <x v="0"/>
    <x v="0"/>
    <s v="Anne Troy"/>
    <s v="Gizmo"/>
    <d v="2017-11-01T00:00:00"/>
    <s v="Excel4Apps"/>
    <n v="100"/>
    <n v="2343"/>
    <n v="1022"/>
    <n v="1321"/>
  </r>
  <r>
    <s v="Training"/>
    <x v="1"/>
    <x v="1"/>
    <s v="Jade Miller"/>
    <s v="Gizmo"/>
    <d v="2017-11-04T00:00:00"/>
    <s v="CPASelfStudy.com"/>
    <n v="500"/>
    <n v="10645"/>
    <n v="5110"/>
    <n v="5535"/>
  </r>
  <r>
    <s v="Training"/>
    <x v="1"/>
    <x v="1"/>
    <s v="Jade Miller"/>
    <s v="Widget"/>
    <d v="2017-11-05T00:00:00"/>
    <s v="CPASelfStudy.com"/>
    <n v="400"/>
    <n v="8468"/>
    <n v="3388"/>
    <n v="5080"/>
  </r>
  <r>
    <s v="Training"/>
    <x v="1"/>
    <x v="1"/>
    <s v="Jade Miller"/>
    <s v="Widget"/>
    <d v="2017-11-08T00:00:00"/>
    <s v="MySpreadsheetLab"/>
    <n v="400"/>
    <n v="8196"/>
    <n v="3388"/>
    <n v="4808"/>
  </r>
  <r>
    <s v="Training"/>
    <x v="1"/>
    <x v="1"/>
    <s v="Jade Miller"/>
    <s v="Gadget"/>
    <d v="2017-11-11T00:00:00"/>
    <s v="MySpreadsheetLab"/>
    <n v="500"/>
    <n v="11295"/>
    <n v="4920"/>
    <n v="6375"/>
  </r>
  <r>
    <s v="Software"/>
    <x v="1"/>
    <x v="1"/>
    <s v="Jade Miller"/>
    <s v="Gizmo"/>
    <d v="2017-11-13T00:00:00"/>
    <s v="F-Keys Ltd."/>
    <n v="800"/>
    <n v="19376"/>
    <n v="8176"/>
    <n v="11200"/>
  </r>
  <r>
    <s v="Training"/>
    <x v="1"/>
    <x v="1"/>
    <s v="Jade Miller"/>
    <s v="Gadget"/>
    <d v="2017-11-13T00:00:00"/>
    <s v="CPASelfStudy.com"/>
    <n v="600"/>
    <n v="14466"/>
    <n v="5904"/>
    <n v="8562"/>
  </r>
  <r>
    <s v="Training"/>
    <x v="2"/>
    <x v="6"/>
    <s v="Michael Karpfen"/>
    <s v="Widget"/>
    <d v="2017-11-15T00:00:00"/>
    <s v="MyOnlineTrainingHub.com"/>
    <n v="900"/>
    <n v="15255"/>
    <n v="7623"/>
    <n v="7632"/>
  </r>
  <r>
    <s v="Professional"/>
    <x v="2"/>
    <x v="9"/>
    <s v="Ryan Wilson"/>
    <s v="Gadget"/>
    <d v="2017-11-15T00:00:00"/>
    <s v="Serving Brevard Realty"/>
    <n v="900"/>
    <n v="21033"/>
    <n v="8856"/>
    <n v="12177"/>
  </r>
  <r>
    <s v="Professional"/>
    <x v="3"/>
    <x v="11"/>
    <s v="Todd A Lesko"/>
    <s v="Widget"/>
    <d v="2017-11-16T00:00:00"/>
    <s v="WM Squared Inc."/>
    <n v="1000"/>
    <n v="17250"/>
    <n v="8470"/>
    <n v="8780"/>
  </r>
  <r>
    <s v="Software"/>
    <x v="0"/>
    <x v="0"/>
    <s v="Anne Troy"/>
    <s v="Gadget"/>
    <d v="2017-11-17T00:00:00"/>
    <s v="Excel4Apps"/>
    <n v="600"/>
    <n v="13200"/>
    <n v="5904"/>
    <n v="7296"/>
  </r>
  <r>
    <s v="Software"/>
    <x v="1"/>
    <x v="1"/>
    <s v="Jade Miller"/>
    <s v="Doodads"/>
    <d v="2017-11-20T00:00:00"/>
    <s v="Vertex42"/>
    <n v="1000"/>
    <n v="24420"/>
    <n v="10220"/>
    <n v="14200"/>
  </r>
  <r>
    <s v="Training"/>
    <x v="1"/>
    <x v="1"/>
    <s v="Jade Miller"/>
    <s v="Widget"/>
    <d v="2017-11-20T00:00:00"/>
    <s v="CPASelfStudy.com"/>
    <n v="200"/>
    <n v="3672"/>
    <n v="1694"/>
    <n v="1978"/>
  </r>
  <r>
    <s v="Training"/>
    <x v="1"/>
    <x v="1"/>
    <s v="Jade Miller"/>
    <s v="Gadget"/>
    <d v="2017-11-21T00:00:00"/>
    <s v="MySpreadsheetLab"/>
    <n v="300"/>
    <n v="7053"/>
    <n v="2952"/>
    <n v="4101"/>
  </r>
  <r>
    <s v="Software"/>
    <x v="1"/>
    <x v="1"/>
    <s v="Jade Miller"/>
    <s v="Widget"/>
    <d v="2017-11-23T00:00:00"/>
    <s v="F-Keys Ltd."/>
    <n v="900"/>
    <n v="17136"/>
    <n v="7623"/>
    <n v="9513"/>
  </r>
  <r>
    <s v="Training"/>
    <x v="1"/>
    <x v="1"/>
    <s v="Jade Miller"/>
    <s v="Gadget"/>
    <d v="2017-11-23T00:00:00"/>
    <s v="MySpreadsheetLab"/>
    <n v="100"/>
    <n v="2410"/>
    <n v="984"/>
    <n v="1426"/>
  </r>
  <r>
    <s v="Software"/>
    <x v="1"/>
    <x v="1"/>
    <s v="Jade Miller"/>
    <s v="Gadget"/>
    <d v="2017-11-24T00:00:00"/>
    <s v="F-Keys Ltd."/>
    <n v="300"/>
    <n v="6462"/>
    <n v="2952"/>
    <n v="3510"/>
  </r>
  <r>
    <s v="Consultants"/>
    <x v="0"/>
    <x v="8"/>
    <s v="Richard Oldcorn"/>
    <s v="Gizmo"/>
    <d v="2017-11-25T00:00:00"/>
    <s v="Excelerator BI"/>
    <n v="100"/>
    <n v="2538"/>
    <n v="1022"/>
    <n v="1516"/>
  </r>
  <r>
    <s v="Training"/>
    <x v="1"/>
    <x v="1"/>
    <s v="Jade Miller"/>
    <s v="Gadget"/>
    <d v="2017-11-28T00:00:00"/>
    <s v="CPASelfStudy.com"/>
    <n v="500"/>
    <n v="9890"/>
    <n v="4920"/>
    <n v="4970"/>
  </r>
  <r>
    <s v="Software"/>
    <x v="0"/>
    <x v="0"/>
    <s v="Anne Troy"/>
    <s v="Gadget"/>
    <d v="2017-11-28T00:00:00"/>
    <s v="Excel4Apps"/>
    <n v="100"/>
    <n v="2004"/>
    <n v="984"/>
    <n v="1020"/>
  </r>
  <r>
    <s v="Training"/>
    <x v="1"/>
    <x v="1"/>
    <s v="Jade Miller"/>
    <s v="Gizmo"/>
    <d v="2017-11-29T00:00:00"/>
    <s v="CPASelfStudy.com"/>
    <n v="300"/>
    <n v="7569"/>
    <n v="3066"/>
    <n v="4503"/>
  </r>
  <r>
    <s v="Software"/>
    <x v="1"/>
    <x v="1"/>
    <s v="Jade Miller"/>
    <s v="Widget"/>
    <d v="2017-11-30T00:00:00"/>
    <s v="F-Keys Ltd."/>
    <n v="300"/>
    <n v="5592"/>
    <n v="2541"/>
    <n v="3051"/>
  </r>
  <r>
    <s v="Training"/>
    <x v="1"/>
    <x v="1"/>
    <s v="Jade Miller"/>
    <s v="Gadget"/>
    <d v="2017-12-01T00:00:00"/>
    <s v="LearnExcelBooks.com"/>
    <n v="200"/>
    <n v="3942"/>
    <n v="1968"/>
    <n v="1974"/>
  </r>
  <r>
    <s v="Retail"/>
    <x v="0"/>
    <x v="7"/>
    <s v="Mike Mann"/>
    <s v="Gadget"/>
    <d v="2017-12-02T00:00:00"/>
    <s v="LaFrenier Sons Septic"/>
    <n v="800"/>
    <n v="19344"/>
    <n v="7872"/>
    <n v="11472"/>
  </r>
  <r>
    <s v="Training"/>
    <x v="2"/>
    <x v="6"/>
    <s v="Michael Karpfen"/>
    <s v="Gadget"/>
    <d v="2017-12-04T00:00:00"/>
    <s v="MyOnlineTrainingHub.com"/>
    <n v="900"/>
    <n v="21546"/>
    <n v="8856"/>
    <n v="12690"/>
  </r>
  <r>
    <s v="Retail"/>
    <x v="0"/>
    <x v="7"/>
    <s v="Mike Mann"/>
    <s v="Gadget"/>
    <d v="2017-12-05T00:00:00"/>
    <s v="LaFrenier Sons Septic"/>
    <n v="500"/>
    <n v="10760"/>
    <n v="4920"/>
    <n v="5840"/>
  </r>
  <r>
    <s v="Consultants"/>
    <x v="2"/>
    <x v="5"/>
    <s v="Larry Vance"/>
    <s v="Widget"/>
    <d v="2017-12-05T00:00:00"/>
    <s v="Andrew Spain Consulting"/>
    <n v="900"/>
    <n v="18243"/>
    <n v="7623"/>
    <n v="10620"/>
  </r>
  <r>
    <s v="Training"/>
    <x v="0"/>
    <x v="0"/>
    <s v="Anne Troy"/>
    <s v="Widget"/>
    <d v="2017-12-06T00:00:00"/>
    <s v="599CD.com"/>
    <n v="800"/>
    <n v="16856"/>
    <n v="6776"/>
    <n v="10080"/>
  </r>
  <r>
    <s v="Retail"/>
    <x v="2"/>
    <x v="2"/>
    <s v="Jeffrey P. Coulson"/>
    <s v="Widget"/>
    <d v="2017-12-08T00:00:00"/>
    <s v="Hartville MarketPlace and Flea Market"/>
    <n v="700"/>
    <n v="14105"/>
    <n v="5929"/>
    <n v="8176"/>
  </r>
  <r>
    <s v="Training"/>
    <x v="1"/>
    <x v="1"/>
    <s v="Jade Miller"/>
    <s v="Widget"/>
    <d v="2017-12-08T00:00:00"/>
    <s v="LearnExcelBooks.com"/>
    <n v="100"/>
    <n v="2111"/>
    <n v="847"/>
    <n v="1264"/>
  </r>
  <r>
    <s v="Training"/>
    <x v="0"/>
    <x v="8"/>
    <s v="Richard Oldcorn"/>
    <s v="Gizmo"/>
    <d v="2017-12-09T00:00:00"/>
    <s v="Profology.com"/>
    <n v="400"/>
    <n v="9660"/>
    <n v="4088"/>
    <n v="5572"/>
  </r>
  <r>
    <s v="Retail"/>
    <x v="2"/>
    <x v="2"/>
    <s v="Jeffrey P. Coulson"/>
    <s v="Widget"/>
    <d v="2017-12-10T00:00:00"/>
    <s v="Hartville MarketPlace and Flea Market"/>
    <n v="100"/>
    <n v="1878"/>
    <n v="847"/>
    <n v="1031"/>
  </r>
  <r>
    <s v="Training"/>
    <x v="1"/>
    <x v="1"/>
    <s v="Jade Miller"/>
    <s v="Gadget"/>
    <d v="2017-12-10T00:00:00"/>
    <s v="CPASelfStudy.com"/>
    <n v="600"/>
    <n v="12888"/>
    <n v="5904"/>
    <n v="6984"/>
  </r>
  <r>
    <s v="Training"/>
    <x v="1"/>
    <x v="1"/>
    <s v="Jade Miller"/>
    <s v="Widget"/>
    <d v="2017-12-12T00:00:00"/>
    <s v="LearnExcelBooks.com"/>
    <n v="100"/>
    <n v="2108"/>
    <n v="847"/>
    <n v="1261"/>
  </r>
  <r>
    <s v="Retail"/>
    <x v="2"/>
    <x v="2"/>
    <s v="Jeffrey P. Coulson"/>
    <s v="Widget"/>
    <d v="2017-12-14T00:00:00"/>
    <s v="Hartville MarketPlace and Flea Market"/>
    <n v="600"/>
    <n v="11964"/>
    <n v="5082"/>
    <n v="6882"/>
  </r>
  <r>
    <s v="Retail"/>
    <x v="2"/>
    <x v="2"/>
    <s v="Jeffrey P. Coulson"/>
    <s v="Gizmo"/>
    <d v="2017-12-15T00:00:00"/>
    <s v="Hartville MarketPlace and Flea Market"/>
    <n v="900"/>
    <n v="20664"/>
    <n v="9198"/>
    <n v="11466"/>
  </r>
  <r>
    <s v="Training"/>
    <x v="1"/>
    <x v="1"/>
    <s v="Jade Miller"/>
    <s v="Gizmo"/>
    <d v="2017-12-15T00:00:00"/>
    <s v="LearnExcelBooks.com"/>
    <n v="300"/>
    <n v="6732"/>
    <n v="3066"/>
    <n v="3666"/>
  </r>
  <r>
    <s v="Retail"/>
    <x v="2"/>
    <x v="2"/>
    <s v="Jeffrey P. Coulson"/>
    <s v="Widget"/>
    <d v="2017-12-18T00:00:00"/>
    <s v="Hartville MarketPlace and Flea Market"/>
    <n v="900"/>
    <n v="15651"/>
    <n v="7623"/>
    <n v="8028"/>
  </r>
  <r>
    <s v="Professional"/>
    <x v="2"/>
    <x v="9"/>
    <s v="Ryan Wilson"/>
    <s v="Widget"/>
    <d v="2017-12-19T00:00:00"/>
    <s v="Serving Brevard Realty"/>
    <n v="600"/>
    <n v="11274"/>
    <n v="5082"/>
    <n v="6192"/>
  </r>
  <r>
    <s v="Training"/>
    <x v="0"/>
    <x v="0"/>
    <s v="Anne Troy"/>
    <s v="Widget"/>
    <d v="2017-12-20T00:00:00"/>
    <s v="599CD.com"/>
    <n v="800"/>
    <n v="14408"/>
    <n v="6776"/>
    <n v="7632"/>
  </r>
  <r>
    <s v="Training"/>
    <x v="1"/>
    <x v="1"/>
    <s v="Jade Miller"/>
    <s v="Gizmo"/>
    <d v="2017-12-21T00:00:00"/>
    <s v="LearnExcelBooks.com"/>
    <n v="100"/>
    <n v="2213"/>
    <n v="1022"/>
    <n v="1191"/>
  </r>
  <r>
    <s v="Training"/>
    <x v="1"/>
    <x v="1"/>
    <s v="Jade Miller"/>
    <s v="Widget"/>
    <d v="2017-12-22T00:00:00"/>
    <s v="LearnExcelBooks.com"/>
    <n v="500"/>
    <n v="8725"/>
    <n v="4235"/>
    <n v="4490"/>
  </r>
  <r>
    <s v="Software"/>
    <x v="1"/>
    <x v="1"/>
    <s v="Jade Miller"/>
    <s v="Gizmo"/>
    <d v="2017-12-24T00:00:00"/>
    <s v="F-Keys Ltd."/>
    <n v="900"/>
    <n v="18666"/>
    <n v="9198"/>
    <n v="9468"/>
  </r>
  <r>
    <s v="Software"/>
    <x v="1"/>
    <x v="1"/>
    <s v="Jade Miller"/>
    <s v="Widget"/>
    <d v="2017-12-25T00:00:00"/>
    <s v="F-Keys Ltd."/>
    <n v="100"/>
    <n v="2055"/>
    <n v="847"/>
    <n v="1208"/>
  </r>
  <r>
    <s v="Training"/>
    <x v="1"/>
    <x v="1"/>
    <s v="Jade Miller"/>
    <s v="Gadget"/>
    <d v="2017-12-25T00:00:00"/>
    <s v="CPASelfStudy.com"/>
    <n v="500"/>
    <n v="10475"/>
    <n v="4920"/>
    <n v="5555"/>
  </r>
  <r>
    <s v="Retail"/>
    <x v="2"/>
    <x v="2"/>
    <s v="Jeffrey P. Coulson"/>
    <s v="Gizmo"/>
    <d v="2017-12-27T00:00:00"/>
    <s v="Hartville MarketPlace and Flea Market"/>
    <n v="600"/>
    <n v="14178"/>
    <n v="6132"/>
    <n v="8046"/>
  </r>
  <r>
    <s v="Training"/>
    <x v="1"/>
    <x v="1"/>
    <s v="Jade Miller"/>
    <s v="Widget"/>
    <d v="2017-12-27T00:00:00"/>
    <s v="CPASelfStudy.com"/>
    <n v="100"/>
    <n v="1861"/>
    <n v="847"/>
    <n v="1014"/>
  </r>
  <r>
    <s v="Training"/>
    <x v="2"/>
    <x v="6"/>
    <s v="Michael Karpfen"/>
    <s v="Widget"/>
    <d v="2017-12-28T00:00:00"/>
    <s v="MyOnlineTrainingHub.com"/>
    <n v="500"/>
    <n v="9460"/>
    <n v="4235"/>
    <n v="5225"/>
  </r>
  <r>
    <s v="Software"/>
    <x v="0"/>
    <x v="0"/>
    <s v="Anne Troy"/>
    <s v="Widget"/>
    <d v="2017-12-29T00:00:00"/>
    <s v="Excel4Apps"/>
    <n v="600"/>
    <n v="10290"/>
    <n v="5082"/>
    <n v="5208"/>
  </r>
  <r>
    <s v="Software"/>
    <x v="1"/>
    <x v="1"/>
    <s v="Jade Miller"/>
    <s v="Widget"/>
    <d v="2018-01-02T00:00:00"/>
    <s v="F-Keys Ltd."/>
    <n v="500"/>
    <n v="10245"/>
    <n v="4235"/>
    <n v="6010"/>
  </r>
  <r>
    <s v="Training"/>
    <x v="1"/>
    <x v="1"/>
    <s v="Jade Miller"/>
    <s v="Gizmo"/>
    <d v="2018-01-03T00:00:00"/>
    <s v="CPASelfStudy.com"/>
    <n v="500"/>
    <n v="11240"/>
    <n v="5110"/>
    <n v="6130"/>
  </r>
  <r>
    <s v="Training"/>
    <x v="1"/>
    <x v="1"/>
    <s v="Jade Miller"/>
    <s v="Gizmo"/>
    <d v="2018-01-04T00:00:00"/>
    <s v="CPASelfStudy.com"/>
    <n v="400"/>
    <n v="9204"/>
    <n v="4088"/>
    <n v="5116"/>
  </r>
  <r>
    <s v="Training"/>
    <x v="1"/>
    <x v="1"/>
    <s v="Jade Miller"/>
    <s v="Widget"/>
    <d v="2018-01-05T00:00:00"/>
    <s v="LearnExcelBooks.com"/>
    <n v="400"/>
    <n v="6860"/>
    <n v="3388"/>
    <n v="3472"/>
  </r>
  <r>
    <s v="Associations"/>
    <x v="2"/>
    <x v="2"/>
    <s v="Jeffrey P. Coulson"/>
    <s v="Gizmo"/>
    <d v="2018-01-07T00:00:00"/>
    <s v="Association for Computers &amp; Taxation"/>
    <n v="600"/>
    <n v="13806"/>
    <n v="6132"/>
    <n v="7674"/>
  </r>
  <r>
    <s v="Consultants"/>
    <x v="3"/>
    <x v="4"/>
    <s v="John Durran"/>
    <s v="Gizmo"/>
    <d v="2018-01-09T00:00:00"/>
    <s v="Fintega Financial Modelling"/>
    <n v="900"/>
    <n v="21015"/>
    <n v="9198"/>
    <n v="11817"/>
  </r>
  <r>
    <s v="Training"/>
    <x v="1"/>
    <x v="1"/>
    <s v="Jade Miller"/>
    <s v="Gizmo"/>
    <d v="2018-01-10T00:00:00"/>
    <s v="CPASelfStudy.com"/>
    <n v="900"/>
    <n v="21465"/>
    <n v="9198"/>
    <n v="12267"/>
  </r>
  <r>
    <s v="Training"/>
    <x v="1"/>
    <x v="1"/>
    <s v="Jade Miller"/>
    <s v="Gizmo"/>
    <d v="2018-01-12T00:00:00"/>
    <s v="CPASelfStudy.com"/>
    <n v="400"/>
    <n v="9144"/>
    <n v="4088"/>
    <n v="5056"/>
  </r>
  <r>
    <s v="Training"/>
    <x v="2"/>
    <x v="6"/>
    <s v="Michael Karpfen"/>
    <s v="Widget"/>
    <d v="2018-01-14T00:00:00"/>
    <s v="MyOnlineTrainingHub.com"/>
    <n v="100"/>
    <n v="1740"/>
    <n v="847"/>
    <n v="893"/>
  </r>
  <r>
    <s v="Consultants"/>
    <x v="2"/>
    <x v="5"/>
    <s v="Larry Vance"/>
    <s v="Widget"/>
    <d v="2018-01-14T00:00:00"/>
    <s v="Andrew Spain Consulting"/>
    <n v="1000"/>
    <n v="19110"/>
    <n v="8470"/>
    <n v="10640"/>
  </r>
  <r>
    <s v="Consultants"/>
    <x v="2"/>
    <x v="5"/>
    <s v="Larry Vance"/>
    <s v="Gizmo"/>
    <d v="2018-01-16T00:00:00"/>
    <s v="Andrew Spain Consulting"/>
    <n v="900"/>
    <n v="21888"/>
    <n v="9198"/>
    <n v="12690"/>
  </r>
  <r>
    <s v="Retail"/>
    <x v="2"/>
    <x v="2"/>
    <s v="Jeffrey P. Coulson"/>
    <s v="Gadget"/>
    <d v="2018-01-17T00:00:00"/>
    <s v="Hartville MarketPlace and Flea Market"/>
    <n v="300"/>
    <n v="5961"/>
    <n v="2952"/>
    <n v="3009"/>
  </r>
  <r>
    <s v="Training"/>
    <x v="1"/>
    <x v="1"/>
    <s v="Jade Miller"/>
    <s v="Widget"/>
    <d v="2018-01-20T00:00:00"/>
    <s v="MySpreadsheetLab"/>
    <n v="900"/>
    <n v="17505"/>
    <n v="7623"/>
    <n v="9882"/>
  </r>
  <r>
    <s v="Retail"/>
    <x v="2"/>
    <x v="2"/>
    <s v="Jeffrey P. Coulson"/>
    <s v="Gadget"/>
    <d v="2018-01-21T00:00:00"/>
    <s v="Hartville MarketPlace and Flea Market"/>
    <n v="300"/>
    <n v="7032"/>
    <n v="2952"/>
    <n v="4080"/>
  </r>
  <r>
    <s v="Retail"/>
    <x v="2"/>
    <x v="2"/>
    <s v="Jeffrey P. Coulson"/>
    <s v="Gadget"/>
    <d v="2018-01-22T00:00:00"/>
    <s v="Hartville MarketPlace and Flea Market"/>
    <n v="300"/>
    <n v="6735"/>
    <n v="2952"/>
    <n v="3783"/>
  </r>
  <r>
    <s v="Retail"/>
    <x v="2"/>
    <x v="2"/>
    <s v="Jeffrey P. Coulson"/>
    <s v="Widget"/>
    <d v="2018-01-23T00:00:00"/>
    <s v="Hartville MarketPlace and Flea Market"/>
    <n v="400"/>
    <n v="8164"/>
    <n v="3388"/>
    <n v="4776"/>
  </r>
  <r>
    <s v="Consultants"/>
    <x v="2"/>
    <x v="5"/>
    <s v="Larry Vance"/>
    <s v="Widget"/>
    <d v="2018-01-24T00:00:00"/>
    <s v="Andrew Spain Consulting"/>
    <n v="300"/>
    <n v="6207"/>
    <n v="2541"/>
    <n v="3666"/>
  </r>
  <r>
    <s v="Retail"/>
    <x v="2"/>
    <x v="2"/>
    <s v="Jeffrey P. Coulson"/>
    <s v="Gadget"/>
    <d v="2018-01-25T00:00:00"/>
    <s v="Hartville MarketPlace and Flea Market"/>
    <n v="300"/>
    <n v="6240"/>
    <n v="2952"/>
    <n v="3288"/>
  </r>
  <r>
    <s v="Training"/>
    <x v="1"/>
    <x v="1"/>
    <s v="Jade Miller"/>
    <s v="Widget"/>
    <d v="2018-01-27T00:00:00"/>
    <s v="CPASelfStudy.com"/>
    <n v="500"/>
    <n v="10445"/>
    <n v="4235"/>
    <n v="6210"/>
  </r>
  <r>
    <s v="Consultants"/>
    <x v="2"/>
    <x v="5"/>
    <s v="Larry Vance"/>
    <s v="Widget"/>
    <d v="2018-01-29T00:00:00"/>
    <s v="Andrew Spain Consulting"/>
    <n v="800"/>
    <n v="14224"/>
    <n v="6776"/>
    <n v="7448"/>
  </r>
  <r>
    <s v="Training"/>
    <x v="2"/>
    <x v="6"/>
    <s v="Michael Karpfen"/>
    <s v="Gizmo"/>
    <d v="2018-01-30T00:00:00"/>
    <s v="MyOnlineTrainingHub.com"/>
    <n v="400"/>
    <n v="10044"/>
    <n v="4088"/>
    <n v="5956"/>
  </r>
  <r>
    <s v="Training"/>
    <x v="1"/>
    <x v="1"/>
    <s v="Jade Miller"/>
    <s v="Widget"/>
    <d v="2018-01-31T00:00:00"/>
    <s v="MySpreadsheetLab"/>
    <n v="1000"/>
    <n v="19250"/>
    <n v="8470"/>
    <n v="10780"/>
  </r>
  <r>
    <s v="Retail"/>
    <x v="2"/>
    <x v="2"/>
    <s v="Jeffrey P. Coulson"/>
    <s v="Gadget"/>
    <d v="2018-02-01T00:00:00"/>
    <s v="Hartville MarketPlace and Flea Market"/>
    <n v="200"/>
    <n v="4740"/>
    <n v="1968"/>
    <n v="2772"/>
  </r>
  <r>
    <s v="Software"/>
    <x v="0"/>
    <x v="0"/>
    <s v="Anne Troy"/>
    <s v="Gadget"/>
    <d v="2018-02-01T00:00:00"/>
    <s v="Excel4Apps"/>
    <n v="600"/>
    <n v="12672"/>
    <n v="5904"/>
    <n v="6768"/>
  </r>
  <r>
    <s v="Retail"/>
    <x v="2"/>
    <x v="2"/>
    <s v="Jeffrey P. Coulson"/>
    <s v="Widget"/>
    <d v="2018-02-05T00:00:00"/>
    <s v="Hartville MarketPlace and Flea Market"/>
    <n v="700"/>
    <n v="13314"/>
    <n v="5929"/>
    <n v="7385"/>
  </r>
  <r>
    <s v="Training"/>
    <x v="1"/>
    <x v="1"/>
    <s v="Jade Miller"/>
    <s v="Gadget"/>
    <d v="2018-02-06T00:00:00"/>
    <s v="CPASelfStudy.com"/>
    <n v="200"/>
    <n v="4280"/>
    <n v="1968"/>
    <n v="2312"/>
  </r>
  <r>
    <s v="Software"/>
    <x v="1"/>
    <x v="1"/>
    <s v="Jade Miller"/>
    <s v="Widget"/>
    <d v="2018-02-08T00:00:00"/>
    <s v="F-Keys Ltd."/>
    <n v="300"/>
    <n v="6045"/>
    <n v="2541"/>
    <n v="3504"/>
  </r>
  <r>
    <s v="Consultants"/>
    <x v="2"/>
    <x v="5"/>
    <s v="Larry Vance"/>
    <s v="Widget"/>
    <d v="2018-02-09T00:00:00"/>
    <s v="Andrew Spain Consulting"/>
    <n v="400"/>
    <n v="7180"/>
    <n v="3388"/>
    <n v="3792"/>
  </r>
  <r>
    <s v="Training"/>
    <x v="1"/>
    <x v="1"/>
    <s v="Jade Miller"/>
    <s v="Gadget"/>
    <d v="2018-02-13T00:00:00"/>
    <s v="MySpreadsheetLab"/>
    <n v="600"/>
    <n v="12798"/>
    <n v="5904"/>
    <n v="6894"/>
  </r>
  <r>
    <s v="Consultants"/>
    <x v="2"/>
    <x v="5"/>
    <s v="Larry Vance"/>
    <s v="Widget"/>
    <d v="2018-02-15T00:00:00"/>
    <s v="Andrew Spain Consulting"/>
    <n v="100"/>
    <n v="2066"/>
    <n v="847"/>
    <n v="1219"/>
  </r>
  <r>
    <s v="Training"/>
    <x v="0"/>
    <x v="0"/>
    <s v="Anne Troy"/>
    <s v="Gadget"/>
    <d v="2018-02-16T00:00:00"/>
    <s v="599CD.com"/>
    <n v="200"/>
    <n v="4742"/>
    <n v="1968"/>
    <n v="2774"/>
  </r>
  <r>
    <s v="Software"/>
    <x v="0"/>
    <x v="0"/>
    <s v="Anne Troy"/>
    <s v="Widget"/>
    <d v="2018-02-17T00:00:00"/>
    <s v="Excel4Apps"/>
    <n v="200"/>
    <n v="3876"/>
    <n v="1694"/>
    <n v="2182"/>
  </r>
  <r>
    <s v="Training"/>
    <x v="1"/>
    <x v="1"/>
    <s v="Jade Miller"/>
    <s v="Gadget"/>
    <d v="2018-02-19T00:00:00"/>
    <s v="LearnExcelBooks.com"/>
    <n v="400"/>
    <n v="9088"/>
    <n v="3936"/>
    <n v="5152"/>
  </r>
  <r>
    <s v="Software"/>
    <x v="0"/>
    <x v="0"/>
    <s v="Anne Troy"/>
    <s v="Gizmo"/>
    <d v="2018-02-19T00:00:00"/>
    <s v="Excel4Apps"/>
    <n v="1000"/>
    <n v="25080"/>
    <n v="10220"/>
    <n v="14860"/>
  </r>
  <r>
    <s v="Professional"/>
    <x v="2"/>
    <x v="9"/>
    <s v="Ryan Wilson"/>
    <s v="Widget"/>
    <d v="2018-02-20T00:00:00"/>
    <s v="Serving Brevard Realty"/>
    <n v="400"/>
    <n v="7152"/>
    <n v="3388"/>
    <n v="3764"/>
  </r>
  <r>
    <s v="Training"/>
    <x v="1"/>
    <x v="1"/>
    <s v="Jade Miller"/>
    <s v="Gadget"/>
    <d v="2018-02-20T00:00:00"/>
    <s v="CPASelfStudy.com"/>
    <n v="800"/>
    <n v="18504"/>
    <n v="7872"/>
    <n v="10632"/>
  </r>
  <r>
    <s v="Training"/>
    <x v="0"/>
    <x v="0"/>
    <s v="Anne Troy"/>
    <s v="Gadget"/>
    <d v="2018-02-22T00:00:00"/>
    <s v="599CD.com"/>
    <n v="600"/>
    <n v="12282"/>
    <n v="5904"/>
    <n v="6378"/>
  </r>
  <r>
    <s v="Training"/>
    <x v="1"/>
    <x v="1"/>
    <s v="Jade Miller"/>
    <s v="Gizmo"/>
    <d v="2018-02-24T00:00:00"/>
    <s v="CPASelfStudy.com"/>
    <n v="1000"/>
    <n v="20940"/>
    <n v="10220"/>
    <n v="10720"/>
  </r>
  <r>
    <s v="Software"/>
    <x v="0"/>
    <x v="0"/>
    <s v="Anne Troy"/>
    <s v="Widget"/>
    <d v="2018-02-26T00:00:00"/>
    <s v="Excel4Apps"/>
    <n v="700"/>
    <n v="12145"/>
    <n v="5929"/>
    <n v="6216"/>
  </r>
  <r>
    <s v="Training"/>
    <x v="0"/>
    <x v="0"/>
    <s v="Anne Troy"/>
    <s v="Gizmo"/>
    <d v="2018-02-26T00:00:00"/>
    <s v="599CD.com"/>
    <n v="1000"/>
    <n v="22680"/>
    <n v="10220"/>
    <n v="12460"/>
  </r>
  <r>
    <s v="Training"/>
    <x v="1"/>
    <x v="1"/>
    <s v="Jade Miller"/>
    <s v="Gizmo"/>
    <d v="2018-02-26T00:00:00"/>
    <s v="LearnExcelBooks.com"/>
    <n v="700"/>
    <n v="17367"/>
    <n v="7154"/>
    <n v="10213"/>
  </r>
  <r>
    <s v="Software"/>
    <x v="1"/>
    <x v="1"/>
    <s v="Jade Miller"/>
    <s v="Widget"/>
    <d v="2018-02-27T00:00:00"/>
    <s v="F-Keys Ltd."/>
    <n v="600"/>
    <n v="11922"/>
    <n v="5082"/>
    <n v="6840"/>
  </r>
  <r>
    <s v="Retail"/>
    <x v="0"/>
    <x v="7"/>
    <s v="Mike Mann"/>
    <s v="Gizmo"/>
    <d v="2018-02-27T00:00:00"/>
    <s v="LaFrenier Sons Septic"/>
    <n v="200"/>
    <n v="4614"/>
    <n v="2044"/>
    <n v="2570"/>
  </r>
  <r>
    <s v="Software"/>
    <x v="1"/>
    <x v="1"/>
    <s v="Jade Miller"/>
    <s v="Gizmo"/>
    <d v="2018-02-28T00:00:00"/>
    <s v="F-Keys Ltd."/>
    <n v="1000"/>
    <n v="20490"/>
    <n v="10220"/>
    <n v="10270"/>
  </r>
  <r>
    <s v="Training"/>
    <x v="1"/>
    <x v="1"/>
    <s v="Jade Miller"/>
    <s v="Gizmo"/>
    <d v="2018-03-03T00:00:00"/>
    <s v="CPASelfStudy.com"/>
    <n v="400"/>
    <n v="8620"/>
    <n v="4088"/>
    <n v="4532"/>
  </r>
  <r>
    <s v="Training"/>
    <x v="1"/>
    <x v="1"/>
    <s v="Jade Miller"/>
    <s v="Gadget"/>
    <d v="2018-03-04T00:00:00"/>
    <s v="LearnExcelBooks.com"/>
    <n v="500"/>
    <n v="11860"/>
    <n v="4920"/>
    <n v="6940"/>
  </r>
  <r>
    <s v="Professional"/>
    <x v="2"/>
    <x v="9"/>
    <s v="Ryan Wilson"/>
    <s v="Widget"/>
    <d v="2018-03-06T00:00:00"/>
    <s v="Serving Brevard Realty"/>
    <n v="800"/>
    <n v="14984"/>
    <n v="6776"/>
    <n v="8208"/>
  </r>
  <r>
    <s v="Training"/>
    <x v="0"/>
    <x v="0"/>
    <s v="Anne Troy"/>
    <s v="Widget"/>
    <d v="2018-03-06T00:00:00"/>
    <s v="599CD.com"/>
    <n v="200"/>
    <n v="4010"/>
    <n v="1694"/>
    <n v="2316"/>
  </r>
  <r>
    <s v="Software"/>
    <x v="0"/>
    <x v="0"/>
    <s v="Anne Troy"/>
    <s v="Gizmo"/>
    <d v="2018-03-09T00:00:00"/>
    <s v="Excel4Apps"/>
    <n v="500"/>
    <n v="12505"/>
    <n v="5110"/>
    <n v="7395"/>
  </r>
  <r>
    <s v="Software"/>
    <x v="0"/>
    <x v="0"/>
    <s v="Anne Troy"/>
    <s v="Widget"/>
    <d v="2018-03-13T00:00:00"/>
    <s v="Excel4Apps"/>
    <n v="100"/>
    <n v="1704"/>
    <n v="847"/>
    <n v="857"/>
  </r>
  <r>
    <s v="Training"/>
    <x v="1"/>
    <x v="1"/>
    <s v="Jade Miller"/>
    <s v="Gizmo"/>
    <d v="2018-03-13T00:00:00"/>
    <s v="LearnExcelBooks.com"/>
    <n v="300"/>
    <n v="7305"/>
    <n v="3066"/>
    <n v="4239"/>
  </r>
  <r>
    <s v="Training"/>
    <x v="1"/>
    <x v="1"/>
    <s v="Jade Miller"/>
    <s v="Gizmo"/>
    <d v="2018-03-14T00:00:00"/>
    <s v="LearnExcelBooks.com"/>
    <n v="500"/>
    <n v="11965"/>
    <n v="5110"/>
    <n v="6855"/>
  </r>
  <r>
    <s v="Professional"/>
    <x v="2"/>
    <x v="9"/>
    <s v="Ryan Wilson"/>
    <s v="Gizmo"/>
    <d v="2018-03-16T00:00:00"/>
    <s v="Serving Brevard Realty"/>
    <n v="400"/>
    <n v="9240"/>
    <n v="4088"/>
    <n v="5152"/>
  </r>
  <r>
    <s v="Training"/>
    <x v="0"/>
    <x v="0"/>
    <s v="Anne Troy"/>
    <s v="Gadget"/>
    <d v="2018-03-16T00:00:00"/>
    <s v="599CD.com"/>
    <n v="200"/>
    <n v="4526"/>
    <n v="1968"/>
    <n v="2558"/>
  </r>
  <r>
    <s v="Training"/>
    <x v="1"/>
    <x v="1"/>
    <s v="Jade Miller"/>
    <s v="Gadget"/>
    <d v="2018-03-18T00:00:00"/>
    <s v="LearnExcelBooks.com"/>
    <n v="500"/>
    <n v="11695"/>
    <n v="4920"/>
    <n v="6775"/>
  </r>
  <r>
    <s v="Retail"/>
    <x v="2"/>
    <x v="2"/>
    <s v="Jeffrey P. Coulson"/>
    <s v="Gadget"/>
    <d v="2018-03-19T00:00:00"/>
    <s v="Hartville MarketPlace and Flea Market"/>
    <n v="100"/>
    <n v="2272"/>
    <n v="984"/>
    <n v="1288"/>
  </r>
  <r>
    <s v="Training"/>
    <x v="0"/>
    <x v="0"/>
    <s v="Anne Troy"/>
    <s v="Gadget"/>
    <d v="2018-03-20T00:00:00"/>
    <s v="599CD.com"/>
    <n v="100"/>
    <n v="2157"/>
    <n v="984"/>
    <n v="1173"/>
  </r>
  <r>
    <s v="Software"/>
    <x v="1"/>
    <x v="1"/>
    <s v="Jade Miller"/>
    <s v="Gizmo"/>
    <d v="2018-03-22T00:00:00"/>
    <s v="F-Keys Ltd."/>
    <n v="400"/>
    <n v="8732"/>
    <n v="4088"/>
    <n v="4644"/>
  </r>
  <r>
    <s v="Training"/>
    <x v="1"/>
    <x v="1"/>
    <s v="Jade Miller"/>
    <s v="Gadget"/>
    <d v="2018-03-23T00:00:00"/>
    <s v="MySpreadsheetLab"/>
    <n v="800"/>
    <n v="15856"/>
    <n v="7872"/>
    <n v="7984"/>
  </r>
  <r>
    <s v="Consultants"/>
    <x v="0"/>
    <x v="3"/>
    <s v="John Cockerill"/>
    <s v="Doodads"/>
    <d v="2018-03-24T00:00:00"/>
    <s v="Construction Intelligence &amp; Analytics, Inc."/>
    <n v="100"/>
    <n v="2484"/>
    <n v="1022"/>
    <n v="1462"/>
  </r>
  <r>
    <s v="Consultants"/>
    <x v="2"/>
    <x v="5"/>
    <s v="Larry Vance"/>
    <s v="Gadget"/>
    <d v="2018-03-24T00:00:00"/>
    <s v="Andrew Spain Consulting"/>
    <n v="1000"/>
    <n v="23820"/>
    <n v="9840"/>
    <n v="13980"/>
  </r>
  <r>
    <s v="Training"/>
    <x v="1"/>
    <x v="1"/>
    <s v="Jade Miller"/>
    <s v="Gadget"/>
    <d v="2018-03-25T00:00:00"/>
    <s v="CPASelfStudy.com"/>
    <n v="200"/>
    <n v="4472"/>
    <n v="1968"/>
    <n v="2504"/>
  </r>
  <r>
    <s v="Software"/>
    <x v="0"/>
    <x v="0"/>
    <s v="Anne Troy"/>
    <s v="Widget"/>
    <d v="2018-03-26T00:00:00"/>
    <s v="Excel4Apps"/>
    <n v="700"/>
    <n v="11858"/>
    <n v="5929"/>
    <n v="5929"/>
  </r>
  <r>
    <s v="Software"/>
    <x v="0"/>
    <x v="0"/>
    <s v="Anne Troy"/>
    <s v="Widget"/>
    <d v="2018-03-28T00:00:00"/>
    <s v="Excel4Apps"/>
    <n v="500"/>
    <n v="9855"/>
    <n v="4235"/>
    <n v="5620"/>
  </r>
  <r>
    <s v="Consultants"/>
    <x v="2"/>
    <x v="5"/>
    <s v="Larry Vance"/>
    <s v="Gadget"/>
    <d v="2018-03-30T00:00:00"/>
    <s v="Andrew Spain Consulting"/>
    <n v="800"/>
    <n v="17240"/>
    <n v="7872"/>
    <n v="9368"/>
  </r>
  <r>
    <s v="Training"/>
    <x v="0"/>
    <x v="0"/>
    <s v="Anne Troy"/>
    <s v="Gizmo"/>
    <d v="2018-03-31T00:00:00"/>
    <s v="599CD.com"/>
    <n v="600"/>
    <n v="13542"/>
    <n v="6132"/>
    <n v="7410"/>
  </r>
  <r>
    <s v="Retail"/>
    <x v="3"/>
    <x v="4"/>
    <s v="John Durran"/>
    <s v="Doodads"/>
    <d v="2018-04-01T00:00:00"/>
    <s v="Bits of Confetti"/>
    <n v="300"/>
    <n v="5859"/>
    <n v="2541"/>
    <n v="3318"/>
  </r>
  <r>
    <s v="Retail"/>
    <x v="2"/>
    <x v="2"/>
    <s v="Jeffrey P. Coulson"/>
    <s v="Gadget"/>
    <d v="2018-04-03T00:00:00"/>
    <s v="Hartville MarketPlace and Flea Market"/>
    <n v="300"/>
    <n v="7233"/>
    <n v="2952"/>
    <n v="4281"/>
  </r>
  <r>
    <s v="Training"/>
    <x v="0"/>
    <x v="0"/>
    <s v="Anne Troy"/>
    <s v="Widget"/>
    <d v="2018-04-04T00:00:00"/>
    <s v="599CD.com"/>
    <n v="400"/>
    <n v="7752"/>
    <n v="3388"/>
    <n v="4364"/>
  </r>
  <r>
    <s v="Software"/>
    <x v="0"/>
    <x v="0"/>
    <s v="Anne Troy"/>
    <s v="Gizmo"/>
    <d v="2018-04-04T00:00:00"/>
    <s v="Excel4Apps"/>
    <n v="700"/>
    <n v="15435"/>
    <n v="7154"/>
    <n v="8281"/>
  </r>
  <r>
    <s v="Retail"/>
    <x v="2"/>
    <x v="2"/>
    <s v="Jeffrey P. Coulson"/>
    <s v="Gizmo"/>
    <d v="2018-04-05T00:00:00"/>
    <s v="Hartville MarketPlace and Flea Market"/>
    <n v="100"/>
    <n v="2178"/>
    <n v="1022"/>
    <n v="1156"/>
  </r>
  <r>
    <s v="Training"/>
    <x v="1"/>
    <x v="1"/>
    <s v="Jade Miller"/>
    <s v="Widget"/>
    <d v="2018-04-05T00:00:00"/>
    <s v="MySpreadsheetLab"/>
    <n v="500"/>
    <n v="9575"/>
    <n v="4235"/>
    <n v="5340"/>
  </r>
  <r>
    <s v="Training"/>
    <x v="0"/>
    <x v="0"/>
    <s v="Anne Troy"/>
    <s v="Widget"/>
    <d v="2018-04-07T00:00:00"/>
    <s v="599CD.com"/>
    <n v="500"/>
    <n v="10460"/>
    <n v="4235"/>
    <n v="6225"/>
  </r>
  <r>
    <s v="Software"/>
    <x v="0"/>
    <x v="0"/>
    <s v="Anne Troy"/>
    <s v="Widget"/>
    <d v="2018-04-10T00:00:00"/>
    <s v="Excel4Apps"/>
    <n v="400"/>
    <n v="8132"/>
    <n v="3388"/>
    <n v="4744"/>
  </r>
  <r>
    <s v="Training"/>
    <x v="0"/>
    <x v="0"/>
    <s v="Anne Troy"/>
    <s v="Gizmo"/>
    <d v="2018-04-10T00:00:00"/>
    <s v="599CD.com"/>
    <n v="800"/>
    <n v="18344"/>
    <n v="8176"/>
    <n v="10168"/>
  </r>
  <r>
    <s v="Training"/>
    <x v="1"/>
    <x v="1"/>
    <s v="Jade Miller"/>
    <s v="Gadget"/>
    <d v="2018-04-12T00:00:00"/>
    <s v="CPASelfStudy.com"/>
    <n v="400"/>
    <n v="8776"/>
    <n v="3936"/>
    <n v="4840"/>
  </r>
  <r>
    <s v="Consultants"/>
    <x v="2"/>
    <x v="5"/>
    <s v="Larry Vance"/>
    <s v="Gadget"/>
    <d v="2018-04-13T00:00:00"/>
    <s v="Andrew Spain Consulting"/>
    <n v="900"/>
    <n v="20403"/>
    <n v="8856"/>
    <n v="11547"/>
  </r>
  <r>
    <s v="Associations"/>
    <x v="1"/>
    <x v="1"/>
    <s v="Jade Miller"/>
    <s v="Gadget"/>
    <d v="2018-04-14T00:00:00"/>
    <s v="IMA Houston Chapter"/>
    <n v="600"/>
    <n v="14004"/>
    <n v="5904"/>
    <n v="8100"/>
  </r>
  <r>
    <s v="Training"/>
    <x v="0"/>
    <x v="0"/>
    <s v="Anne Troy"/>
    <s v="Widget"/>
    <d v="2018-04-15T00:00:00"/>
    <s v="599CD.com"/>
    <n v="800"/>
    <n v="14216"/>
    <n v="6776"/>
    <n v="7440"/>
  </r>
  <r>
    <s v="Software"/>
    <x v="0"/>
    <x v="0"/>
    <s v="Anne Troy"/>
    <s v="Widget"/>
    <d v="2018-04-20T00:00:00"/>
    <s v="Excel4Apps"/>
    <n v="900"/>
    <n v="17172"/>
    <n v="7623"/>
    <n v="9549"/>
  </r>
  <r>
    <s v="Software"/>
    <x v="0"/>
    <x v="0"/>
    <s v="Anne Troy"/>
    <s v="Gizmo"/>
    <d v="2018-04-21T00:00:00"/>
    <s v="Excel4Apps"/>
    <n v="1000"/>
    <n v="20670"/>
    <n v="10220"/>
    <n v="10450"/>
  </r>
  <r>
    <s v="Consultants"/>
    <x v="2"/>
    <x v="5"/>
    <s v="Larry Vance"/>
    <s v="Widget"/>
    <d v="2018-04-22T00:00:00"/>
    <s v="Andrew Spain Consulting"/>
    <n v="400"/>
    <n v="7376"/>
    <n v="3388"/>
    <n v="3988"/>
  </r>
  <r>
    <s v="Consultants"/>
    <x v="0"/>
    <x v="3"/>
    <s v="John Cockerill"/>
    <s v="Gizmo"/>
    <d v="2018-04-24T00:00:00"/>
    <s v="Construction Intelligence &amp; Analytics, Inc."/>
    <n v="800"/>
    <n v="17728"/>
    <n v="8176"/>
    <n v="9552"/>
  </r>
  <r>
    <s v="Training"/>
    <x v="0"/>
    <x v="7"/>
    <s v="Mike Mann"/>
    <s v="Gadget"/>
    <d v="2018-04-25T00:00:00"/>
    <s v="ExcelTricks.de"/>
    <n v="1000"/>
    <n v="20950"/>
    <n v="9840"/>
    <n v="11110"/>
  </r>
  <r>
    <s v="Training"/>
    <x v="0"/>
    <x v="0"/>
    <s v="Anne Troy"/>
    <s v="Widget"/>
    <d v="2018-04-26T00:00:00"/>
    <s v="599CD.com"/>
    <n v="400"/>
    <n v="7852"/>
    <n v="3388"/>
    <n v="4464"/>
  </r>
  <r>
    <s v="Consultants"/>
    <x v="2"/>
    <x v="5"/>
    <s v="Larry Vance"/>
    <s v="Widget"/>
    <d v="2018-04-27T00:00:00"/>
    <s v="Andrew Spain Consulting"/>
    <n v="600"/>
    <n v="12360"/>
    <n v="5082"/>
    <n v="7278"/>
  </r>
  <r>
    <s v="Training"/>
    <x v="1"/>
    <x v="1"/>
    <s v="Jade Miller"/>
    <s v="Widget"/>
    <d v="2018-04-29T00:00:00"/>
    <s v="CPASelfStudy.com"/>
    <n v="300"/>
    <n v="6069"/>
    <n v="2541"/>
    <n v="3528"/>
  </r>
  <r>
    <s v="Training"/>
    <x v="0"/>
    <x v="0"/>
    <s v="Anne Troy"/>
    <s v="Gadget"/>
    <d v="2018-04-29T00:00:00"/>
    <s v="599CD.com"/>
    <n v="900"/>
    <n v="18990"/>
    <n v="8856"/>
    <n v="10134"/>
  </r>
  <r>
    <s v="Training"/>
    <x v="2"/>
    <x v="6"/>
    <s v="Michael Karpfen"/>
    <s v="Widget"/>
    <d v="2018-05-01T00:00:00"/>
    <s v="MyOnlineTrainingHub.com"/>
    <n v="1000"/>
    <n v="20310"/>
    <n v="8470"/>
    <n v="11840"/>
  </r>
  <r>
    <s v="Training"/>
    <x v="2"/>
    <x v="6"/>
    <s v="Michael Karpfen"/>
    <s v="Gadget"/>
    <d v="2018-05-01T00:00:00"/>
    <s v="MyOnlineTrainingHub.com"/>
    <n v="300"/>
    <n v="6018"/>
    <n v="2952"/>
    <n v="3066"/>
  </r>
  <r>
    <s v="Training"/>
    <x v="2"/>
    <x v="6"/>
    <s v="Michael Karpfen"/>
    <s v="Gizmo"/>
    <d v="2018-05-02T00:00:00"/>
    <s v="MyOnlineTrainingHub.com"/>
    <n v="1000"/>
    <n v="25310"/>
    <n v="10220"/>
    <n v="15090"/>
  </r>
  <r>
    <s v="Software"/>
    <x v="1"/>
    <x v="1"/>
    <s v="Jade Miller"/>
    <s v="Gadget"/>
    <d v="2018-05-03T00:00:00"/>
    <s v="F-Keys Ltd."/>
    <n v="200"/>
    <n v="4378"/>
    <n v="1968"/>
    <n v="2410"/>
  </r>
  <r>
    <s v="Software"/>
    <x v="0"/>
    <x v="0"/>
    <s v="Anne Troy"/>
    <s v="Gadget"/>
    <d v="2018-05-05T00:00:00"/>
    <s v="Excel4Apps"/>
    <n v="700"/>
    <n v="15407"/>
    <n v="6888"/>
    <n v="8519"/>
  </r>
  <r>
    <s v="Consultants"/>
    <x v="2"/>
    <x v="5"/>
    <s v="Larry Vance"/>
    <s v="Widget"/>
    <d v="2018-05-06T00:00:00"/>
    <s v="Andrew Spain Consulting"/>
    <n v="1000"/>
    <n v="18290"/>
    <n v="8470"/>
    <n v="9820"/>
  </r>
  <r>
    <s v="Training"/>
    <x v="2"/>
    <x v="6"/>
    <s v="Michael Karpfen"/>
    <s v="Widget"/>
    <d v="2018-05-07T00:00:00"/>
    <s v="MyOnlineTrainingHub.com"/>
    <n v="100"/>
    <n v="1842"/>
    <n v="847"/>
    <n v="995"/>
  </r>
  <r>
    <s v="Training"/>
    <x v="1"/>
    <x v="1"/>
    <s v="Jade Miller"/>
    <s v="Gizmo"/>
    <d v="2018-05-07T00:00:00"/>
    <s v="MySpreadsheetLab"/>
    <n v="500"/>
    <n v="10400"/>
    <n v="5110"/>
    <n v="5290"/>
  </r>
  <r>
    <s v="Training"/>
    <x v="0"/>
    <x v="0"/>
    <s v="Anne Troy"/>
    <s v="Widget"/>
    <d v="2018-05-08T00:00:00"/>
    <s v="599CD.com"/>
    <n v="100"/>
    <n v="1982"/>
    <n v="847"/>
    <n v="1135"/>
  </r>
  <r>
    <s v="Training"/>
    <x v="1"/>
    <x v="1"/>
    <s v="Jade Miller"/>
    <s v="Gizmo"/>
    <d v="2018-05-10T00:00:00"/>
    <s v="MySpreadsheetLab"/>
    <n v="300"/>
    <n v="6789"/>
    <n v="3066"/>
    <n v="3723"/>
  </r>
  <r>
    <s v="Professional"/>
    <x v="2"/>
    <x v="9"/>
    <s v="Ryan Wilson"/>
    <s v="Gadget"/>
    <d v="2018-05-11T00:00:00"/>
    <s v="Serving Brevard Realty"/>
    <n v="300"/>
    <n v="7245"/>
    <n v="2952"/>
    <n v="4293"/>
  </r>
  <r>
    <s v="Retail"/>
    <x v="2"/>
    <x v="2"/>
    <s v="Jeffrey P. Coulson"/>
    <s v="Gizmo"/>
    <d v="2018-05-12T00:00:00"/>
    <s v="Hartville MarketPlace and Flea Market"/>
    <n v="500"/>
    <n v="11000"/>
    <n v="5110"/>
    <n v="5890"/>
  </r>
  <r>
    <s v="Professional"/>
    <x v="2"/>
    <x v="9"/>
    <s v="Ryan Wilson"/>
    <s v="Widget"/>
    <d v="2018-05-13T00:00:00"/>
    <s v="Serving Brevard Realty"/>
    <n v="500"/>
    <n v="9155"/>
    <n v="4235"/>
    <n v="4920"/>
  </r>
  <r>
    <s v="Software"/>
    <x v="0"/>
    <x v="0"/>
    <s v="Anne Troy"/>
    <s v="Gadget"/>
    <d v="2018-05-13T00:00:00"/>
    <s v="Excel4Apps"/>
    <n v="400"/>
    <n v="9760"/>
    <n v="3936"/>
    <n v="5824"/>
  </r>
  <r>
    <s v="Training"/>
    <x v="0"/>
    <x v="0"/>
    <s v="Anne Troy"/>
    <s v="Gizmo"/>
    <d v="2018-05-15T00:00:00"/>
    <s v="599CD.com"/>
    <n v="400"/>
    <n v="9156"/>
    <n v="4088"/>
    <n v="5068"/>
  </r>
  <r>
    <s v="Training"/>
    <x v="1"/>
    <x v="1"/>
    <s v="Jade Miller"/>
    <s v="Gizmo"/>
    <d v="2018-05-18T00:00:00"/>
    <s v="CPASelfStudy.com"/>
    <n v="500"/>
    <n v="10385"/>
    <n v="5110"/>
    <n v="5275"/>
  </r>
  <r>
    <s v="Software"/>
    <x v="1"/>
    <x v="1"/>
    <s v="Jade Miller"/>
    <s v="Gadget"/>
    <d v="2018-05-20T00:00:00"/>
    <s v="F-Keys Ltd."/>
    <n v="700"/>
    <n v="14203"/>
    <n v="6888"/>
    <n v="7315"/>
  </r>
  <r>
    <s v="Training"/>
    <x v="1"/>
    <x v="1"/>
    <s v="Jade Miller"/>
    <s v="Gizmo"/>
    <d v="2018-05-21T00:00:00"/>
    <s v="MySpreadsheetLab"/>
    <n v="600"/>
    <n v="14634"/>
    <n v="6132"/>
    <n v="8502"/>
  </r>
  <r>
    <s v="Retail"/>
    <x v="2"/>
    <x v="2"/>
    <s v="Jeffrey P. Coulson"/>
    <s v="Gizmo"/>
    <d v="2018-05-22T00:00:00"/>
    <s v="Hartville MarketPlace and Flea Market"/>
    <n v="100"/>
    <n v="2149"/>
    <n v="1022"/>
    <n v="1127"/>
  </r>
  <r>
    <s v="Consultants"/>
    <x v="3"/>
    <x v="4"/>
    <s v="John Durran"/>
    <s v="Widget"/>
    <d v="2018-05-22T00:00:00"/>
    <s v="Data2Impact"/>
    <n v="700"/>
    <n v="13853"/>
    <n v="5929"/>
    <n v="7924"/>
  </r>
  <r>
    <s v="Training"/>
    <x v="0"/>
    <x v="0"/>
    <s v="Anne Troy"/>
    <s v="Gadget"/>
    <d v="2018-05-23T00:00:00"/>
    <s v="599CD.com"/>
    <n v="200"/>
    <n v="4474"/>
    <n v="1968"/>
    <n v="2506"/>
  </r>
  <r>
    <s v="Training"/>
    <x v="0"/>
    <x v="0"/>
    <s v="Anne Troy"/>
    <s v="Gizmo"/>
    <d v="2018-05-23T00:00:00"/>
    <s v="599CD.com"/>
    <n v="100"/>
    <n v="2487"/>
    <n v="1022"/>
    <n v="1465"/>
  </r>
  <r>
    <s v="Retail"/>
    <x v="2"/>
    <x v="2"/>
    <s v="Jeffrey P. Coulson"/>
    <s v="Gizmo"/>
    <d v="2018-05-24T00:00:00"/>
    <s v="Hartville MarketPlace and Flea Market"/>
    <n v="200"/>
    <n v="4388"/>
    <n v="2044"/>
    <n v="2344"/>
  </r>
  <r>
    <s v="Training"/>
    <x v="1"/>
    <x v="1"/>
    <s v="Jade Miller"/>
    <s v="Widget"/>
    <d v="2018-05-25T00:00:00"/>
    <s v="CPASelfStudy.com"/>
    <n v="300"/>
    <n v="5094"/>
    <n v="2541"/>
    <n v="2553"/>
  </r>
  <r>
    <s v="Software"/>
    <x v="0"/>
    <x v="0"/>
    <s v="Anne Troy"/>
    <s v="Widget"/>
    <d v="2018-05-28T00:00:00"/>
    <s v="Excel4Apps"/>
    <n v="200"/>
    <n v="3632"/>
    <n v="1694"/>
    <n v="1938"/>
  </r>
  <r>
    <s v="Training"/>
    <x v="0"/>
    <x v="0"/>
    <s v="Anne Troy"/>
    <s v="Gadget"/>
    <d v="2018-05-28T00:00:00"/>
    <s v="599CD.com"/>
    <n v="800"/>
    <n v="16264"/>
    <n v="7872"/>
    <n v="8392"/>
  </r>
  <r>
    <s v="Software"/>
    <x v="0"/>
    <x v="0"/>
    <s v="Anne Troy"/>
    <s v="Gadget"/>
    <d v="2018-05-30T00:00:00"/>
    <s v="Excel4Apps"/>
    <n v="700"/>
    <n v="16408"/>
    <n v="6888"/>
    <n v="9520"/>
  </r>
  <r>
    <s v="Training"/>
    <x v="0"/>
    <x v="0"/>
    <s v="Anne Troy"/>
    <s v="Gizmo"/>
    <d v="2018-05-30T00:00:00"/>
    <s v="599CD.com"/>
    <n v="500"/>
    <n v="12550"/>
    <n v="5110"/>
    <n v="7440"/>
  </r>
  <r>
    <s v="Training"/>
    <x v="2"/>
    <x v="6"/>
    <s v="Michael Karpfen"/>
    <s v="Gadget"/>
    <d v="2018-05-31T00:00:00"/>
    <s v="MyOnlineTrainingHub.com"/>
    <n v="800"/>
    <n v="17056"/>
    <n v="7872"/>
    <n v="9184"/>
  </r>
  <r>
    <s v="Consultants"/>
    <x v="2"/>
    <x v="5"/>
    <s v="Larry Vance"/>
    <s v="Gizmo"/>
    <d v="2018-05-31T00:00:00"/>
    <s v="Andrew Spain Consulting"/>
    <n v="800"/>
    <n v="19152"/>
    <n v="8176"/>
    <n v="10976"/>
  </r>
  <r>
    <s v="Professional"/>
    <x v="2"/>
    <x v="9"/>
    <s v="Ryan Wilson"/>
    <s v="Gizmo"/>
    <d v="2018-06-03T00:00:00"/>
    <s v="Serving Brevard Realty"/>
    <n v="1000"/>
    <n v="23990"/>
    <n v="10220"/>
    <n v="13770"/>
  </r>
  <r>
    <s v="Training"/>
    <x v="1"/>
    <x v="1"/>
    <s v="Jade Miller"/>
    <s v="Gizmo"/>
    <d v="2018-06-04T00:00:00"/>
    <s v="MySpreadsheetLab"/>
    <n v="1000"/>
    <n v="22020"/>
    <n v="10220"/>
    <n v="11800"/>
  </r>
  <r>
    <s v="Professional"/>
    <x v="3"/>
    <x v="11"/>
    <s v="Todd A Lesko"/>
    <s v="Gizmo"/>
    <d v="2018-06-07T00:00:00"/>
    <s v="WM Squared Inc."/>
    <n v="400"/>
    <n v="9064"/>
    <n v="4088"/>
    <n v="4976"/>
  </r>
  <r>
    <s v="Training"/>
    <x v="1"/>
    <x v="1"/>
    <s v="Jade Miller"/>
    <s v="Widget"/>
    <d v="2018-06-08T00:00:00"/>
    <s v="MySpreadsheetLab"/>
    <n v="900"/>
    <n v="18072"/>
    <n v="7623"/>
    <n v="10449"/>
  </r>
  <r>
    <s v="Training"/>
    <x v="2"/>
    <x v="6"/>
    <s v="Michael Karpfen"/>
    <s v="Widget"/>
    <d v="2018-06-09T00:00:00"/>
    <s v="MyOnlineTrainingHub.com"/>
    <n v="800"/>
    <n v="16288"/>
    <n v="6776"/>
    <n v="9512"/>
  </r>
  <r>
    <s v="Training"/>
    <x v="1"/>
    <x v="1"/>
    <s v="Jade Miller"/>
    <s v="Gadget"/>
    <d v="2018-06-11T00:00:00"/>
    <s v="LearnExcelBooks.com"/>
    <n v="800"/>
    <n v="17944"/>
    <n v="7872"/>
    <n v="10072"/>
  </r>
  <r>
    <s v="Consultants"/>
    <x v="2"/>
    <x v="5"/>
    <s v="Larry Vance"/>
    <s v="Gadget"/>
    <d v="2018-06-12T00:00:00"/>
    <s v="Andrew Spain Consulting"/>
    <n v="300"/>
    <n v="6477"/>
    <n v="2952"/>
    <n v="3525"/>
  </r>
  <r>
    <s v="Retail"/>
    <x v="2"/>
    <x v="2"/>
    <s v="Jeffrey P. Coulson"/>
    <s v="Widget"/>
    <d v="2018-06-13T00:00:00"/>
    <s v="Hartville MarketPlace and Flea Market"/>
    <n v="600"/>
    <n v="10404"/>
    <n v="5082"/>
    <n v="5322"/>
  </r>
  <r>
    <s v="Training"/>
    <x v="1"/>
    <x v="1"/>
    <s v="Jade Miller"/>
    <s v="Widget"/>
    <d v="2018-06-14T00:00:00"/>
    <s v="LearnExcelBooks.com"/>
    <n v="500"/>
    <n v="8780"/>
    <n v="4235"/>
    <n v="4545"/>
  </r>
  <r>
    <s v="Training"/>
    <x v="1"/>
    <x v="1"/>
    <s v="Jade Miller"/>
    <s v="Widget"/>
    <d v="2018-06-18T00:00:00"/>
    <s v="CPASelfStudy.com"/>
    <n v="700"/>
    <n v="13874"/>
    <n v="5929"/>
    <n v="7945"/>
  </r>
  <r>
    <s v="Software"/>
    <x v="1"/>
    <x v="1"/>
    <s v="Jade Miller"/>
    <s v="Gizmo"/>
    <d v="2018-06-21T00:00:00"/>
    <s v="F-Keys Ltd."/>
    <n v="700"/>
    <n v="15988"/>
    <n v="7154"/>
    <n v="8834"/>
  </r>
  <r>
    <s v="Training"/>
    <x v="2"/>
    <x v="6"/>
    <s v="Michael Karpfen"/>
    <s v="Gadget"/>
    <d v="2018-06-24T00:00:00"/>
    <s v="MyOnlineTrainingHub.com"/>
    <n v="1000"/>
    <n v="20020"/>
    <n v="9840"/>
    <n v="10180"/>
  </r>
  <r>
    <s v="Associations"/>
    <x v="1"/>
    <x v="1"/>
    <s v="Jade Miller"/>
    <s v="Gadget"/>
    <d v="2018-06-25T00:00:00"/>
    <s v="IMA Houston Chapter"/>
    <n v="200"/>
    <n v="4060"/>
    <n v="1968"/>
    <n v="2092"/>
  </r>
  <r>
    <s v="Training"/>
    <x v="1"/>
    <x v="1"/>
    <s v="Jade Miller"/>
    <s v="Widget"/>
    <d v="2018-06-26T00:00:00"/>
    <s v="CPASelfStudy.com"/>
    <n v="800"/>
    <n v="15400"/>
    <n v="6776"/>
    <n v="8624"/>
  </r>
  <r>
    <s v="Training"/>
    <x v="0"/>
    <x v="0"/>
    <s v="Anne Troy"/>
    <s v="Gadget"/>
    <d v="2018-06-26T00:00:00"/>
    <s v="599CD.com"/>
    <n v="700"/>
    <n v="16219"/>
    <n v="6888"/>
    <n v="9331"/>
  </r>
  <r>
    <s v="Retail"/>
    <x v="2"/>
    <x v="2"/>
    <s v="Jeffrey P. Coulson"/>
    <s v="Gizmo"/>
    <d v="2018-06-27T00:00:00"/>
    <s v="Hartville MarketPlace and Flea Market"/>
    <n v="400"/>
    <n v="8804"/>
    <n v="4088"/>
    <n v="4716"/>
  </r>
  <r>
    <s v="Retail"/>
    <x v="2"/>
    <x v="2"/>
    <s v="Jeffrey P. Coulson"/>
    <s v="Gizmo"/>
    <d v="2018-06-30T00:00:00"/>
    <s v="Hartville MarketPlace and Flea Market"/>
    <n v="500"/>
    <n v="12425"/>
    <n v="5110"/>
    <n v="7315"/>
  </r>
  <r>
    <s v="Software"/>
    <x v="1"/>
    <x v="1"/>
    <s v="Jade Miller"/>
    <s v="Gadget"/>
    <d v="2018-07-01T00:00:00"/>
    <s v="F-Keys Ltd."/>
    <n v="100"/>
    <n v="2054"/>
    <n v="984"/>
    <n v="1070"/>
  </r>
  <r>
    <s v="Training"/>
    <x v="1"/>
    <x v="1"/>
    <s v="Jade Miller"/>
    <s v="Gizmo"/>
    <d v="2018-07-02T00:00:00"/>
    <s v="LearnExcelBooks.com"/>
    <n v="400"/>
    <n v="9816"/>
    <n v="4088"/>
    <n v="5728"/>
  </r>
  <r>
    <s v="Training"/>
    <x v="2"/>
    <x v="6"/>
    <s v="Michael Karpfen"/>
    <s v="Widget"/>
    <d v="2018-07-03T00:00:00"/>
    <s v="MyOnlineTrainingHub.com"/>
    <n v="200"/>
    <n v="4192"/>
    <n v="1694"/>
    <n v="2498"/>
  </r>
  <r>
    <s v="Consultants"/>
    <x v="2"/>
    <x v="5"/>
    <s v="Larry Vance"/>
    <s v="Gadget"/>
    <d v="2018-07-03T00:00:00"/>
    <s v="Andrew Spain Consulting"/>
    <n v="900"/>
    <n v="18099"/>
    <n v="8856"/>
    <n v="9243"/>
  </r>
  <r>
    <s v="Retail"/>
    <x v="2"/>
    <x v="2"/>
    <s v="Jeffrey P. Coulson"/>
    <s v="Gadget"/>
    <d v="2018-07-05T00:00:00"/>
    <s v="Hartville MarketPlace and Flea Market"/>
    <n v="700"/>
    <n v="16303"/>
    <n v="6888"/>
    <n v="9415"/>
  </r>
  <r>
    <s v="Consultants"/>
    <x v="2"/>
    <x v="5"/>
    <s v="Larry Vance"/>
    <s v="Gizmo"/>
    <d v="2018-07-07T00:00:00"/>
    <s v="Andrew Spain Consulting"/>
    <n v="400"/>
    <n v="8580"/>
    <n v="4088"/>
    <n v="4492"/>
  </r>
  <r>
    <s v="Software"/>
    <x v="0"/>
    <x v="0"/>
    <s v="Anne Troy"/>
    <s v="Gadget"/>
    <d v="2018-07-08T00:00:00"/>
    <s v="Excel4Apps"/>
    <n v="500"/>
    <n v="12270"/>
    <n v="4920"/>
    <n v="7350"/>
  </r>
  <r>
    <s v="Consultants"/>
    <x v="2"/>
    <x v="5"/>
    <s v="Larry Vance"/>
    <s v="Widget"/>
    <d v="2018-07-11T00:00:00"/>
    <s v="Andrew Spain Consulting"/>
    <n v="900"/>
    <n v="17883"/>
    <n v="7623"/>
    <n v="10260"/>
  </r>
  <r>
    <s v="Training"/>
    <x v="1"/>
    <x v="1"/>
    <s v="Jade Miller"/>
    <s v="Gadget"/>
    <d v="2018-07-13T00:00:00"/>
    <s v="LearnExcelBooks.com"/>
    <n v="500"/>
    <n v="11725"/>
    <n v="4920"/>
    <n v="6805"/>
  </r>
  <r>
    <s v="Training"/>
    <x v="1"/>
    <x v="1"/>
    <s v="Jade Miller"/>
    <s v="Gizmo"/>
    <d v="2018-07-14T00:00:00"/>
    <s v="LearnExcelBooks.com"/>
    <n v="900"/>
    <n v="21366"/>
    <n v="9198"/>
    <n v="12168"/>
  </r>
  <r>
    <s v="Software"/>
    <x v="0"/>
    <x v="7"/>
    <s v="Mike Mann"/>
    <s v="Gadget"/>
    <d v="2018-07-15T00:00:00"/>
    <s v="Frontline Systems"/>
    <n v="700"/>
    <n v="14497"/>
    <n v="6888"/>
    <n v="7609"/>
  </r>
  <r>
    <s v="Training"/>
    <x v="0"/>
    <x v="0"/>
    <s v="Anne Troy"/>
    <s v="Gadget"/>
    <d v="2018-07-16T00:00:00"/>
    <s v="599CD.com"/>
    <n v="800"/>
    <n v="17416"/>
    <n v="7872"/>
    <n v="9544"/>
  </r>
  <r>
    <s v="Training"/>
    <x v="0"/>
    <x v="0"/>
    <s v="Anne Troy"/>
    <s v="Widget"/>
    <d v="2018-07-18T00:00:00"/>
    <s v="599CD.com"/>
    <n v="700"/>
    <n v="13804"/>
    <n v="5929"/>
    <n v="7875"/>
  </r>
  <r>
    <s v="Training"/>
    <x v="1"/>
    <x v="1"/>
    <s v="Jade Miller"/>
    <s v="Gizmo"/>
    <d v="2018-07-18T00:00:00"/>
    <s v="LearnExcelBooks.com"/>
    <n v="200"/>
    <n v="4902"/>
    <n v="2044"/>
    <n v="2858"/>
  </r>
  <r>
    <s v="Consultants"/>
    <x v="2"/>
    <x v="5"/>
    <s v="Larry Vance"/>
    <s v="Gadget"/>
    <d v="2018-07-19T00:00:00"/>
    <s v="Andrew Spain Consulting"/>
    <n v="500"/>
    <n v="11235"/>
    <n v="4920"/>
    <n v="6315"/>
  </r>
  <r>
    <s v="Consultants"/>
    <x v="0"/>
    <x v="8"/>
    <s v="Richard Oldcorn"/>
    <s v="Gizmo"/>
    <d v="2018-07-21T00:00:00"/>
    <s v="Excelerator BI"/>
    <n v="1000"/>
    <n v="22840"/>
    <n v="10220"/>
    <n v="12620"/>
  </r>
  <r>
    <s v="Retail"/>
    <x v="2"/>
    <x v="2"/>
    <s v="Jeffrey P. Coulson"/>
    <s v="Widget"/>
    <d v="2018-07-22T00:00:00"/>
    <s v="Hartville MarketPlace and Flea Market"/>
    <n v="200"/>
    <n v="3390"/>
    <n v="1694"/>
    <n v="1696"/>
  </r>
  <r>
    <s v="Software"/>
    <x v="1"/>
    <x v="1"/>
    <s v="Jade Miller"/>
    <s v="Gadget"/>
    <d v="2018-07-23T00:00:00"/>
    <s v="F-Keys Ltd."/>
    <n v="300"/>
    <n v="6228"/>
    <n v="2952"/>
    <n v="3276"/>
  </r>
  <r>
    <s v="Training"/>
    <x v="0"/>
    <x v="0"/>
    <s v="Anne Troy"/>
    <s v="Gadget"/>
    <d v="2018-07-26T00:00:00"/>
    <s v="599CD.com"/>
    <n v="600"/>
    <n v="13332"/>
    <n v="5904"/>
    <n v="7428"/>
  </r>
  <r>
    <s v="Consultants"/>
    <x v="2"/>
    <x v="5"/>
    <s v="Larry Vance"/>
    <s v="Gadget"/>
    <d v="2018-07-27T00:00:00"/>
    <s v="Andrew Spain Consulting"/>
    <n v="200"/>
    <n v="4132"/>
    <n v="1968"/>
    <n v="2164"/>
  </r>
  <r>
    <s v="Retail"/>
    <x v="2"/>
    <x v="2"/>
    <s v="Jeffrey P. Coulson"/>
    <s v="Gizmo"/>
    <d v="2018-07-28T00:00:00"/>
    <s v="Hartville MarketPlace and Flea Market"/>
    <n v="200"/>
    <n v="4722"/>
    <n v="2044"/>
    <n v="2678"/>
  </r>
  <r>
    <s v="Software"/>
    <x v="0"/>
    <x v="0"/>
    <s v="Anne Troy"/>
    <s v="Gadget"/>
    <d v="2018-07-29T00:00:00"/>
    <s v="Excel4Apps"/>
    <n v="700"/>
    <n v="16170"/>
    <n v="6888"/>
    <n v="9282"/>
  </r>
  <r>
    <s v="Software"/>
    <x v="1"/>
    <x v="1"/>
    <s v="Jade Miller"/>
    <s v="Gadget"/>
    <d v="2018-07-30T00:00:00"/>
    <s v="F-Keys Ltd."/>
    <n v="300"/>
    <n v="6159"/>
    <n v="2952"/>
    <n v="3207"/>
  </r>
  <r>
    <s v="Training"/>
    <x v="3"/>
    <x v="4"/>
    <s v="John Durran"/>
    <s v="Widget"/>
    <d v="2018-07-30T00:00:00"/>
    <s v="Lake Local School District"/>
    <n v="1000"/>
    <n v="18290"/>
    <n v="8470"/>
    <n v="9820"/>
  </r>
  <r>
    <s v="Retail"/>
    <x v="2"/>
    <x v="2"/>
    <s v="Jeffrey P. Coulson"/>
    <s v="Widget"/>
    <d v="2018-07-31T00:00:00"/>
    <s v="Hartville MarketPlace and Flea Market"/>
    <n v="1000"/>
    <n v="18500"/>
    <n v="8470"/>
    <n v="10030"/>
  </r>
  <r>
    <s v="Retail"/>
    <x v="2"/>
    <x v="2"/>
    <s v="Jeffrey P. Coulson"/>
    <s v="Gizmo"/>
    <d v="2018-08-03T00:00:00"/>
    <s v="Hartville MarketPlace and Flea Market"/>
    <n v="900"/>
    <n v="21159"/>
    <n v="9198"/>
    <n v="11961"/>
  </r>
  <r>
    <s v="Training"/>
    <x v="2"/>
    <x v="6"/>
    <s v="Michael Karpfen"/>
    <s v="Widget"/>
    <d v="2018-08-04T00:00:00"/>
    <s v="MyOnlineTrainingHub.com"/>
    <n v="800"/>
    <n v="15488"/>
    <n v="6776"/>
    <n v="8712"/>
  </r>
  <r>
    <s v="Training"/>
    <x v="0"/>
    <x v="0"/>
    <s v="Anne Troy"/>
    <s v="Gizmo"/>
    <d v="2018-08-04T00:00:00"/>
    <s v="599CD.com"/>
    <n v="100"/>
    <n v="2547"/>
    <n v="1022"/>
    <n v="1525"/>
  </r>
  <r>
    <s v="Consultants"/>
    <x v="2"/>
    <x v="5"/>
    <s v="Larry Vance"/>
    <s v="Widget"/>
    <d v="2018-08-05T00:00:00"/>
    <s v="Andrew Spain Consulting"/>
    <n v="200"/>
    <n v="3418"/>
    <n v="1694"/>
    <n v="1724"/>
  </r>
  <r>
    <s v="Software"/>
    <x v="0"/>
    <x v="0"/>
    <s v="Anne Troy"/>
    <s v="Widget"/>
    <d v="2018-08-06T00:00:00"/>
    <s v="Excel4Apps"/>
    <n v="1000"/>
    <n v="19530"/>
    <n v="8470"/>
    <n v="11060"/>
  </r>
  <r>
    <s v="Professional"/>
    <x v="3"/>
    <x v="11"/>
    <s v="Todd A Lesko"/>
    <s v="Gadget"/>
    <d v="2018-08-07T00:00:00"/>
    <s v="WM Squared Inc."/>
    <n v="200"/>
    <n v="4380"/>
    <n v="1968"/>
    <n v="2412"/>
  </r>
  <r>
    <s v="Consultants"/>
    <x v="2"/>
    <x v="5"/>
    <s v="Larry Vance"/>
    <s v="Gadget"/>
    <d v="2018-08-11T00:00:00"/>
    <s v="Andrew Spain Consulting"/>
    <n v="600"/>
    <n v="13368"/>
    <n v="5904"/>
    <n v="7464"/>
  </r>
  <r>
    <s v="Training"/>
    <x v="0"/>
    <x v="0"/>
    <s v="Anne Troy"/>
    <s v="Gizmo"/>
    <d v="2018-08-12T00:00:00"/>
    <s v="599CD.com"/>
    <n v="200"/>
    <n v="4550"/>
    <n v="2044"/>
    <n v="2506"/>
  </r>
  <r>
    <s v="Training"/>
    <x v="2"/>
    <x v="6"/>
    <s v="Michael Karpfen"/>
    <s v="Gadget"/>
    <d v="2018-08-14T00:00:00"/>
    <s v="MyOnlineTrainingHub.com"/>
    <n v="300"/>
    <n v="6522"/>
    <n v="2952"/>
    <n v="3570"/>
  </r>
  <r>
    <s v="Associations"/>
    <x v="2"/>
    <x v="2"/>
    <s v="Jeffrey P. Coulson"/>
    <s v="Gadget"/>
    <d v="2018-08-16T00:00:00"/>
    <s v="Association for Computers &amp; Taxation"/>
    <n v="200"/>
    <n v="4270"/>
    <n v="1968"/>
    <n v="2302"/>
  </r>
  <r>
    <s v="Professional"/>
    <x v="2"/>
    <x v="9"/>
    <s v="Ryan Wilson"/>
    <s v="Gadget"/>
    <d v="2018-08-16T00:00:00"/>
    <s v="Serving Brevard Realty"/>
    <n v="700"/>
    <n v="17213"/>
    <n v="6888"/>
    <n v="10325"/>
  </r>
  <r>
    <s v="Retail"/>
    <x v="2"/>
    <x v="2"/>
    <s v="Jeffrey P. Coulson"/>
    <s v="Gadget"/>
    <d v="2018-08-18T00:00:00"/>
    <s v="Hartville MarketPlace and Flea Market"/>
    <n v="800"/>
    <n v="16232"/>
    <n v="7872"/>
    <n v="8360"/>
  </r>
  <r>
    <s v="Training"/>
    <x v="0"/>
    <x v="0"/>
    <s v="Anne Troy"/>
    <s v="Gizmo"/>
    <d v="2018-08-19T00:00:00"/>
    <s v="599CD.com"/>
    <n v="500"/>
    <n v="12755"/>
    <n v="5110"/>
    <n v="7645"/>
  </r>
  <r>
    <s v="Software"/>
    <x v="0"/>
    <x v="0"/>
    <s v="Anne Troy"/>
    <s v="Gadget"/>
    <d v="2018-08-20T00:00:00"/>
    <s v="Excel4Apps"/>
    <n v="200"/>
    <n v="4470"/>
    <n v="1968"/>
    <n v="2502"/>
  </r>
  <r>
    <s v="Training"/>
    <x v="0"/>
    <x v="0"/>
    <s v="Anne Troy"/>
    <s v="Widget"/>
    <d v="2018-08-21T00:00:00"/>
    <s v="599CD.com"/>
    <n v="300"/>
    <n v="6156"/>
    <n v="2541"/>
    <n v="3615"/>
  </r>
  <r>
    <s v="Training"/>
    <x v="1"/>
    <x v="1"/>
    <s v="Jade Miller"/>
    <s v="Widget"/>
    <d v="2018-08-22T00:00:00"/>
    <s v="CPASelfStudy.com"/>
    <n v="800"/>
    <n v="15544"/>
    <n v="6776"/>
    <n v="8768"/>
  </r>
  <r>
    <s v="Training"/>
    <x v="0"/>
    <x v="0"/>
    <s v="Anne Troy"/>
    <s v="Gadget"/>
    <d v="2018-08-24T00:00:00"/>
    <s v="599CD.com"/>
    <n v="100"/>
    <n v="2409"/>
    <n v="984"/>
    <n v="1425"/>
  </r>
  <r>
    <s v="Professional"/>
    <x v="2"/>
    <x v="9"/>
    <s v="Ryan Wilson"/>
    <s v="Gizmo"/>
    <d v="2018-08-25T00:00:00"/>
    <s v="Serving Brevard Realty"/>
    <n v="600"/>
    <n v="12570"/>
    <n v="6132"/>
    <n v="6438"/>
  </r>
  <r>
    <s v="Training"/>
    <x v="1"/>
    <x v="1"/>
    <s v="Jade Miller"/>
    <s v="Gizmo"/>
    <d v="2018-08-25T00:00:00"/>
    <s v="LearnExcelBooks.com"/>
    <n v="300"/>
    <n v="6438"/>
    <n v="3066"/>
    <n v="3372"/>
  </r>
  <r>
    <s v="Training"/>
    <x v="0"/>
    <x v="0"/>
    <s v="Anne Troy"/>
    <s v="Gizmo"/>
    <d v="2018-08-26T00:00:00"/>
    <s v="599CD.com"/>
    <n v="900"/>
    <n v="19593"/>
    <n v="9198"/>
    <n v="10395"/>
  </r>
  <r>
    <s v="Software"/>
    <x v="1"/>
    <x v="1"/>
    <s v="Jade Miller"/>
    <s v="Widget"/>
    <d v="2018-08-27T00:00:00"/>
    <s v="F-Keys Ltd."/>
    <n v="900"/>
    <n v="18981"/>
    <n v="7623"/>
    <n v="11358"/>
  </r>
  <r>
    <s v="Retail"/>
    <x v="2"/>
    <x v="2"/>
    <s v="Jeffrey P. Coulson"/>
    <s v="Gizmo"/>
    <d v="2018-08-28T00:00:00"/>
    <s v="Hartville MarketPlace and Flea Market"/>
    <n v="800"/>
    <n v="17160"/>
    <n v="8176"/>
    <n v="8984"/>
  </r>
  <r>
    <s v="Training"/>
    <x v="1"/>
    <x v="1"/>
    <s v="Jade Miller"/>
    <s v="Widget"/>
    <d v="2018-08-28T00:00:00"/>
    <s v="LearnExcelBooks.com"/>
    <n v="100"/>
    <n v="2028"/>
    <n v="847"/>
    <n v="1181"/>
  </r>
  <r>
    <s v="Consultants"/>
    <x v="2"/>
    <x v="5"/>
    <s v="Larry Vance"/>
    <s v="Widget"/>
    <d v="2018-08-28T00:00:00"/>
    <s v="Andrew Spain Consulting"/>
    <n v="300"/>
    <n v="5859"/>
    <n v="2541"/>
    <n v="3318"/>
  </r>
  <r>
    <s v="Consultants"/>
    <x v="2"/>
    <x v="2"/>
    <s v="Jeffrey P. Coulson"/>
    <s v="Widget"/>
    <d v="2018-08-29T00:00:00"/>
    <s v="Cambia Factor"/>
    <n v="300"/>
    <n v="5532"/>
    <n v="2541"/>
    <n v="2991"/>
  </r>
  <r>
    <s v="Training"/>
    <x v="0"/>
    <x v="0"/>
    <s v="Anne Troy"/>
    <s v="Gizmo"/>
    <d v="2018-08-30T00:00:00"/>
    <s v="599CD.com"/>
    <n v="500"/>
    <n v="12575"/>
    <n v="5110"/>
    <n v="7465"/>
  </r>
  <r>
    <s v="Training"/>
    <x v="1"/>
    <x v="1"/>
    <s v="Jade Miller"/>
    <s v="Widget"/>
    <d v="2018-09-01T00:00:00"/>
    <s v="MySpreadsheetLab"/>
    <n v="800"/>
    <n v="16144"/>
    <n v="6776"/>
    <n v="9368"/>
  </r>
  <r>
    <s v="Software"/>
    <x v="0"/>
    <x v="0"/>
    <s v="Anne Troy"/>
    <s v="Gadget"/>
    <d v="2018-09-03T00:00:00"/>
    <s v="Excel4Apps"/>
    <n v="900"/>
    <n v="18486"/>
    <n v="8856"/>
    <n v="9630"/>
  </r>
  <r>
    <s v="Retail"/>
    <x v="2"/>
    <x v="2"/>
    <s v="Jeffrey P. Coulson"/>
    <s v="Widget"/>
    <d v="2018-09-05T00:00:00"/>
    <s v="Hartville MarketPlace and Flea Market"/>
    <n v="900"/>
    <n v="17289"/>
    <n v="7623"/>
    <n v="9666"/>
  </r>
  <r>
    <s v="Software"/>
    <x v="0"/>
    <x v="0"/>
    <s v="Anne Troy"/>
    <s v="Gadget"/>
    <d v="2018-09-05T00:00:00"/>
    <s v="Excel4Apps"/>
    <n v="100"/>
    <n v="2106"/>
    <n v="984"/>
    <n v="1122"/>
  </r>
  <r>
    <s v="Professional"/>
    <x v="2"/>
    <x v="6"/>
    <s v="Michael Karpfen"/>
    <s v="Gadget"/>
    <d v="2018-09-09T00:00:00"/>
    <s v="Juliet Babcock-Hyde CPA, PLLC"/>
    <n v="100"/>
    <n v="2029"/>
    <n v="984"/>
    <n v="1045"/>
  </r>
  <r>
    <s v="Software"/>
    <x v="1"/>
    <x v="1"/>
    <s v="Jade Miller"/>
    <s v="Gizmo"/>
    <d v="2018-09-10T00:00:00"/>
    <s v="F-Keys Ltd."/>
    <n v="600"/>
    <n v="12936"/>
    <n v="6132"/>
    <n v="6804"/>
  </r>
  <r>
    <s v="Consultants"/>
    <x v="3"/>
    <x v="4"/>
    <s v="John Durran"/>
    <s v="Gadget"/>
    <d v="2018-09-10T00:00:00"/>
    <s v="Fintega Financial Modelling"/>
    <n v="500"/>
    <n v="11550"/>
    <n v="4920"/>
    <n v="6630"/>
  </r>
  <r>
    <s v="Professional"/>
    <x v="2"/>
    <x v="9"/>
    <s v="Ryan Wilson"/>
    <s v="Gadget"/>
    <d v="2018-09-12T00:00:00"/>
    <s v="Serving Brevard Realty"/>
    <n v="600"/>
    <n v="14580"/>
    <n v="5904"/>
    <n v="8676"/>
  </r>
  <r>
    <s v="Training"/>
    <x v="1"/>
    <x v="1"/>
    <s v="Jade Miller"/>
    <s v="Gizmo"/>
    <d v="2018-09-14T00:00:00"/>
    <s v="MySpreadsheetLab"/>
    <n v="100"/>
    <n v="2058"/>
    <n v="1022"/>
    <n v="1036"/>
  </r>
  <r>
    <s v="Training"/>
    <x v="0"/>
    <x v="0"/>
    <s v="Anne Troy"/>
    <s v="Gadget"/>
    <d v="2018-09-14T00:00:00"/>
    <s v="599CD.com"/>
    <n v="600"/>
    <n v="13566"/>
    <n v="5904"/>
    <n v="7662"/>
  </r>
  <r>
    <s v="Training"/>
    <x v="1"/>
    <x v="1"/>
    <s v="Jade Miller"/>
    <s v="Widget"/>
    <d v="2018-09-17T00:00:00"/>
    <s v="CPASelfStudy.com"/>
    <n v="100"/>
    <n v="1741"/>
    <n v="847"/>
    <n v="894"/>
  </r>
  <r>
    <s v="Retail"/>
    <x v="2"/>
    <x v="2"/>
    <s v="Jeffrey P. Coulson"/>
    <s v="Gizmo"/>
    <d v="2018-09-18T00:00:00"/>
    <s v="Hartville MarketPlace and Flea Market"/>
    <n v="200"/>
    <n v="5002"/>
    <n v="2044"/>
    <n v="2958"/>
  </r>
  <r>
    <s v="Training"/>
    <x v="2"/>
    <x v="6"/>
    <s v="Michael Karpfen"/>
    <s v="Widget"/>
    <d v="2018-09-19T00:00:00"/>
    <s v="MyOnlineTrainingHub.com"/>
    <n v="100"/>
    <n v="1795"/>
    <n v="847"/>
    <n v="948"/>
  </r>
  <r>
    <s v="Training"/>
    <x v="1"/>
    <x v="1"/>
    <s v="Jade Miller"/>
    <s v="Gadget"/>
    <d v="2018-09-22T00:00:00"/>
    <s v="LearnExcelBooks.com"/>
    <n v="400"/>
    <n v="8592"/>
    <n v="3936"/>
    <n v="4656"/>
  </r>
  <r>
    <s v="Training"/>
    <x v="2"/>
    <x v="6"/>
    <s v="Michael Karpfen"/>
    <s v="Gadget"/>
    <d v="2018-09-25T00:00:00"/>
    <s v="MyOnlineTrainingHub.com"/>
    <n v="600"/>
    <n v="12690"/>
    <n v="5904"/>
    <n v="6786"/>
  </r>
  <r>
    <s v="Training"/>
    <x v="1"/>
    <x v="1"/>
    <s v="Jade Miller"/>
    <s v="Gadget"/>
    <d v="2018-09-25T00:00:00"/>
    <s v="LearnExcelBooks.com"/>
    <n v="300"/>
    <n v="6582"/>
    <n v="2952"/>
    <n v="3630"/>
  </r>
  <r>
    <s v="Training"/>
    <x v="1"/>
    <x v="1"/>
    <s v="Jade Miller"/>
    <s v="Gadget"/>
    <d v="2018-09-26T00:00:00"/>
    <s v="CPASelfStudy.com"/>
    <n v="400"/>
    <n v="9672"/>
    <n v="3936"/>
    <n v="5736"/>
  </r>
  <r>
    <s v="Training"/>
    <x v="1"/>
    <x v="1"/>
    <s v="Jade Miller"/>
    <s v="Gizmo"/>
    <d v="2018-09-26T00:00:00"/>
    <s v="CPASelfStudy.com"/>
    <n v="900"/>
    <n v="22014"/>
    <n v="9198"/>
    <n v="12816"/>
  </r>
  <r>
    <s v="Retail"/>
    <x v="2"/>
    <x v="2"/>
    <s v="Jeffrey P. Coulson"/>
    <s v="Widget"/>
    <d v="2018-09-27T00:00:00"/>
    <s v="Hartville MarketPlace and Flea Market"/>
    <n v="1000"/>
    <n v="18530"/>
    <n v="8470"/>
    <n v="10060"/>
  </r>
  <r>
    <s v="Consultants"/>
    <x v="2"/>
    <x v="5"/>
    <s v="Larry Vance"/>
    <s v="Gadget"/>
    <d v="2018-09-27T00:00:00"/>
    <s v="Andrew Spain Consulting"/>
    <n v="600"/>
    <n v="14004"/>
    <n v="5904"/>
    <n v="8100"/>
  </r>
  <r>
    <s v="Consultants"/>
    <x v="2"/>
    <x v="5"/>
    <s v="Larry Vance"/>
    <s v="Widget"/>
    <d v="2018-09-28T00:00:00"/>
    <s v="Andrew Spain Consulting"/>
    <n v="700"/>
    <n v="13139"/>
    <n v="5929"/>
    <n v="7210"/>
  </r>
  <r>
    <s v="Professional"/>
    <x v="2"/>
    <x v="9"/>
    <s v="Ryan Wilson"/>
    <s v="Widget"/>
    <d v="2018-09-29T00:00:00"/>
    <s v="Serving Brevard Realty"/>
    <n v="500"/>
    <n v="8715"/>
    <n v="4235"/>
    <n v="4480"/>
  </r>
  <r>
    <s v="Training"/>
    <x v="1"/>
    <x v="1"/>
    <s v="Jade Miller"/>
    <s v="Widget"/>
    <d v="2018-10-02T00:00:00"/>
    <s v="MySpreadsheetLab"/>
    <n v="400"/>
    <n v="6944"/>
    <n v="3388"/>
    <n v="3556"/>
  </r>
  <r>
    <s v="Consultants"/>
    <x v="2"/>
    <x v="5"/>
    <s v="Larry Vance"/>
    <s v="Gizmo"/>
    <d v="2018-10-03T00:00:00"/>
    <s v="Andrew Spain Consulting"/>
    <n v="500"/>
    <n v="12760"/>
    <n v="5110"/>
    <n v="7650"/>
  </r>
  <r>
    <s v="Consultants"/>
    <x v="2"/>
    <x v="5"/>
    <s v="Larry Vance"/>
    <s v="Gizmo"/>
    <d v="2018-10-05T00:00:00"/>
    <s v="Andrew Spain Consulting"/>
    <n v="1000"/>
    <n v="24070"/>
    <n v="10220"/>
    <n v="13850"/>
  </r>
  <r>
    <s v="Software"/>
    <x v="0"/>
    <x v="0"/>
    <s v="Anne Troy"/>
    <s v="Gadget"/>
    <d v="2018-10-06T00:00:00"/>
    <s v="Excel4Apps"/>
    <n v="200"/>
    <n v="4186"/>
    <n v="1968"/>
    <n v="2218"/>
  </r>
  <r>
    <s v="Software"/>
    <x v="1"/>
    <x v="1"/>
    <s v="Jade Miller"/>
    <s v="Widget"/>
    <d v="2018-10-07T00:00:00"/>
    <s v="F-Keys Ltd."/>
    <n v="700"/>
    <n v="13195"/>
    <n v="5929"/>
    <n v="7266"/>
  </r>
  <r>
    <s v="Training"/>
    <x v="1"/>
    <x v="1"/>
    <s v="Jade Miller"/>
    <s v="Widget"/>
    <d v="2018-10-08T00:00:00"/>
    <s v="CPASelfStudy.com"/>
    <n v="200"/>
    <n v="3922"/>
    <n v="1694"/>
    <n v="2228"/>
  </r>
  <r>
    <s v="Professional"/>
    <x v="2"/>
    <x v="9"/>
    <s v="Ryan Wilson"/>
    <s v="Gadget"/>
    <d v="2018-10-09T00:00:00"/>
    <s v="Serving Brevard Realty"/>
    <n v="1000"/>
    <n v="23970"/>
    <n v="9840"/>
    <n v="14130"/>
  </r>
  <r>
    <s v="Retail"/>
    <x v="0"/>
    <x v="10"/>
    <s v="Sabine Hanschitz"/>
    <s v="Widget"/>
    <d v="2018-10-11T00:00:00"/>
    <s v="New Hope Laundry"/>
    <n v="500"/>
    <n v="8940"/>
    <n v="4235"/>
    <n v="4705"/>
  </r>
  <r>
    <s v="Retail"/>
    <x v="2"/>
    <x v="2"/>
    <s v="Jeffrey P. Coulson"/>
    <s v="Gizmo"/>
    <d v="2018-10-12T00:00:00"/>
    <s v="Hartville MarketPlace and Flea Market"/>
    <n v="200"/>
    <n v="5002"/>
    <n v="2044"/>
    <n v="2958"/>
  </r>
  <r>
    <s v="Software"/>
    <x v="0"/>
    <x v="7"/>
    <s v="Mike Mann"/>
    <s v="Widget"/>
    <d v="2018-10-14T00:00:00"/>
    <s v="Frontline Systems"/>
    <n v="1000"/>
    <n v="17190"/>
    <n v="8470"/>
    <n v="8720"/>
  </r>
  <r>
    <s v="Training"/>
    <x v="2"/>
    <x v="6"/>
    <s v="Michael Karpfen"/>
    <s v="Gizmo"/>
    <d v="2018-10-16T00:00:00"/>
    <s v="MyOnlineTrainingHub.com"/>
    <n v="900"/>
    <n v="21042"/>
    <n v="9198"/>
    <n v="11844"/>
  </r>
  <r>
    <s v="Training"/>
    <x v="1"/>
    <x v="1"/>
    <s v="Jade Miller"/>
    <s v="Gadget"/>
    <d v="2018-10-16T00:00:00"/>
    <s v="LearnExcelBooks.com"/>
    <n v="500"/>
    <n v="11530"/>
    <n v="4920"/>
    <n v="6610"/>
  </r>
  <r>
    <s v="Retail"/>
    <x v="0"/>
    <x v="7"/>
    <s v="Mike Mann"/>
    <s v="Widget"/>
    <d v="2018-10-17T00:00:00"/>
    <s v="LaFrenier Sons Septic"/>
    <n v="800"/>
    <n v="15312"/>
    <n v="6776"/>
    <n v="8536"/>
  </r>
  <r>
    <s v="Software"/>
    <x v="1"/>
    <x v="1"/>
    <s v="Jade Miller"/>
    <s v="Gizmo"/>
    <d v="2018-10-18T00:00:00"/>
    <s v="F-Keys Ltd."/>
    <n v="900"/>
    <n v="19161"/>
    <n v="9198"/>
    <n v="9963"/>
  </r>
  <r>
    <s v="Training"/>
    <x v="1"/>
    <x v="1"/>
    <s v="Jade Miller"/>
    <s v="Gizmo"/>
    <d v="2018-10-19T00:00:00"/>
    <s v="MySpreadsheetLab"/>
    <n v="500"/>
    <n v="10940"/>
    <n v="5110"/>
    <n v="5830"/>
  </r>
  <r>
    <s v="Training"/>
    <x v="0"/>
    <x v="0"/>
    <s v="Anne Troy"/>
    <s v="Widget"/>
    <d v="2018-10-20T00:00:00"/>
    <s v="599CD.com"/>
    <n v="1000"/>
    <n v="21010"/>
    <n v="8470"/>
    <n v="12540"/>
  </r>
  <r>
    <s v="Professional"/>
    <x v="2"/>
    <x v="9"/>
    <s v="Ryan Wilson"/>
    <s v="Widget"/>
    <d v="2018-10-22T00:00:00"/>
    <s v="Serving Brevard Realty"/>
    <n v="900"/>
    <n v="18576"/>
    <n v="7623"/>
    <n v="10953"/>
  </r>
  <r>
    <s v="Training"/>
    <x v="1"/>
    <x v="1"/>
    <s v="Jade Miller"/>
    <s v="Gadget"/>
    <d v="2018-10-22T00:00:00"/>
    <s v="MySpreadsheetLab"/>
    <n v="200"/>
    <n v="4484"/>
    <n v="1968"/>
    <n v="2516"/>
  </r>
  <r>
    <s v="Training"/>
    <x v="1"/>
    <x v="1"/>
    <s v="Jade Miller"/>
    <s v="Gadget"/>
    <d v="2018-10-22T00:00:00"/>
    <s v="CPASelfStudy.com"/>
    <n v="700"/>
    <n v="13797"/>
    <n v="6888"/>
    <n v="6909"/>
  </r>
  <r>
    <s v="Training"/>
    <x v="1"/>
    <x v="1"/>
    <s v="Jade Miller"/>
    <s v="Widget"/>
    <d v="2018-10-23T00:00:00"/>
    <s v="MySpreadsheetLab"/>
    <n v="700"/>
    <n v="12131"/>
    <n v="5929"/>
    <n v="6202"/>
  </r>
  <r>
    <s v="Retail"/>
    <x v="2"/>
    <x v="2"/>
    <s v="Jeffrey P. Coulson"/>
    <s v="Gadget"/>
    <d v="2018-10-25T00:00:00"/>
    <s v="Hartville MarketPlace and Flea Market"/>
    <n v="500"/>
    <n v="11250"/>
    <n v="4920"/>
    <n v="6330"/>
  </r>
  <r>
    <s v="Training"/>
    <x v="1"/>
    <x v="1"/>
    <s v="Jade Miller"/>
    <s v="Gadget"/>
    <d v="2018-10-26T00:00:00"/>
    <s v="MySpreadsheetLab"/>
    <n v="500"/>
    <n v="11430"/>
    <n v="4920"/>
    <n v="6510"/>
  </r>
  <r>
    <s v="Software"/>
    <x v="0"/>
    <x v="0"/>
    <s v="Anne Troy"/>
    <s v="Gizmo"/>
    <d v="2018-10-29T00:00:00"/>
    <s v="Excel4Apps"/>
    <n v="100"/>
    <n v="2234"/>
    <n v="1022"/>
    <n v="1212"/>
  </r>
  <r>
    <s v="Software"/>
    <x v="1"/>
    <x v="1"/>
    <s v="Jade Miller"/>
    <s v="Gizmo"/>
    <d v="2018-10-31T00:00:00"/>
    <s v="F-Keys Ltd."/>
    <n v="100"/>
    <n v="2092"/>
    <n v="1022"/>
    <n v="1070"/>
  </r>
  <r>
    <s v="Retail"/>
    <x v="2"/>
    <x v="2"/>
    <s v="Jeffrey P. Coulson"/>
    <s v="Gizmo"/>
    <d v="2018-10-31T00:00:00"/>
    <s v="Hartville MarketPlace and Flea Market"/>
    <n v="600"/>
    <n v="13818"/>
    <n v="6132"/>
    <n v="7686"/>
  </r>
  <r>
    <s v="Retail"/>
    <x v="0"/>
    <x v="10"/>
    <s v="Sabine Hanschitz"/>
    <s v="Gizmo"/>
    <d v="2018-11-04T00:00:00"/>
    <s v="New Hope Laundry"/>
    <n v="600"/>
    <n v="12612"/>
    <n v="6132"/>
    <n v="6480"/>
  </r>
  <r>
    <s v="Associations"/>
    <x v="1"/>
    <x v="1"/>
    <s v="Jade Miller"/>
    <s v="Widget"/>
    <d v="2018-11-05T00:00:00"/>
    <s v="IMA Houston Chapter"/>
    <n v="800"/>
    <n v="15104"/>
    <n v="6776"/>
    <n v="8328"/>
  </r>
  <r>
    <s v="Retail"/>
    <x v="2"/>
    <x v="2"/>
    <s v="Jeffrey P. Coulson"/>
    <s v="Gizmo"/>
    <d v="2018-11-08T00:00:00"/>
    <s v="Hartville MarketPlace and Flea Market"/>
    <n v="700"/>
    <n v="16576"/>
    <n v="7154"/>
    <n v="9422"/>
  </r>
  <r>
    <s v="Software"/>
    <x v="0"/>
    <x v="0"/>
    <s v="Anne Troy"/>
    <s v="Gizmo"/>
    <d v="2018-11-09T00:00:00"/>
    <s v="Excel4Apps"/>
    <n v="700"/>
    <n v="17059"/>
    <n v="7154"/>
    <n v="9905"/>
  </r>
  <r>
    <s v="Training"/>
    <x v="1"/>
    <x v="1"/>
    <s v="Jade Miller"/>
    <s v="Gadget"/>
    <d v="2018-11-13T00:00:00"/>
    <s v="MySpreadsheetLab"/>
    <n v="800"/>
    <n v="19424"/>
    <n v="7872"/>
    <n v="11552"/>
  </r>
  <r>
    <s v="Consultants"/>
    <x v="2"/>
    <x v="5"/>
    <s v="Larry Vance"/>
    <s v="Gadget"/>
    <d v="2018-11-13T00:00:00"/>
    <s v="Andrew Spain Consulting"/>
    <n v="700"/>
    <n v="14784"/>
    <n v="6888"/>
    <n v="7896"/>
  </r>
  <r>
    <s v="Training"/>
    <x v="0"/>
    <x v="0"/>
    <s v="Anne Troy"/>
    <s v="Gadget"/>
    <d v="2018-11-14T00:00:00"/>
    <s v="599CD.com"/>
    <n v="1000"/>
    <n v="21740"/>
    <n v="9840"/>
    <n v="11900"/>
  </r>
  <r>
    <s v="Training"/>
    <x v="0"/>
    <x v="0"/>
    <s v="Anne Troy"/>
    <s v="Gadget"/>
    <d v="2018-11-15T00:00:00"/>
    <s v="599CD.com"/>
    <n v="900"/>
    <n v="19674"/>
    <n v="8856"/>
    <n v="10818"/>
  </r>
  <r>
    <s v="Consultants"/>
    <x v="2"/>
    <x v="5"/>
    <s v="Larry Vance"/>
    <s v="Widget"/>
    <d v="2018-11-15T00:00:00"/>
    <s v="Andrew Spain Consulting"/>
    <n v="500"/>
    <n v="8970"/>
    <n v="4235"/>
    <n v="4735"/>
  </r>
  <r>
    <s v="Software"/>
    <x v="0"/>
    <x v="0"/>
    <s v="Anne Troy"/>
    <s v="Gizmo"/>
    <d v="2018-11-17T00:00:00"/>
    <s v="Excel4Apps"/>
    <n v="600"/>
    <n v="13680"/>
    <n v="6132"/>
    <n v="7548"/>
  </r>
  <r>
    <s v="Training"/>
    <x v="1"/>
    <x v="1"/>
    <s v="Jade Miller"/>
    <s v="Gadget"/>
    <d v="2018-11-19T00:00:00"/>
    <s v="MySpreadsheetLab"/>
    <n v="800"/>
    <n v="17136"/>
    <n v="7872"/>
    <n v="9264"/>
  </r>
  <r>
    <s v="Consultants"/>
    <x v="2"/>
    <x v="5"/>
    <s v="Larry Vance"/>
    <s v="Widget"/>
    <d v="2018-11-20T00:00:00"/>
    <s v="Andrew Spain Consulting"/>
    <n v="400"/>
    <n v="6880"/>
    <n v="3388"/>
    <n v="3492"/>
  </r>
  <r>
    <s v="Software"/>
    <x v="0"/>
    <x v="0"/>
    <s v="Anne Troy"/>
    <s v="Gadget"/>
    <d v="2018-11-21T00:00:00"/>
    <s v="Excel4Apps"/>
    <n v="500"/>
    <n v="11330"/>
    <n v="4920"/>
    <n v="6410"/>
  </r>
  <r>
    <s v="Retail"/>
    <x v="2"/>
    <x v="2"/>
    <s v="Jeffrey P. Coulson"/>
    <s v="Gadget"/>
    <d v="2018-11-22T00:00:00"/>
    <s v="Hartville MarketPlace and Flea Market"/>
    <n v="200"/>
    <n v="4412"/>
    <n v="1968"/>
    <n v="2444"/>
  </r>
  <r>
    <s v="Training"/>
    <x v="1"/>
    <x v="1"/>
    <s v="Jade Miller"/>
    <s v="Gadget"/>
    <d v="2018-11-23T00:00:00"/>
    <s v="MySpreadsheetLab"/>
    <n v="400"/>
    <n v="9484"/>
    <n v="3936"/>
    <n v="5548"/>
  </r>
  <r>
    <s v="Training"/>
    <x v="1"/>
    <x v="1"/>
    <s v="Jade Miller"/>
    <s v="Gadget"/>
    <d v="2018-11-24T00:00:00"/>
    <s v="MySpreadsheetLab"/>
    <n v="400"/>
    <n v="8204"/>
    <n v="3936"/>
    <n v="4268"/>
  </r>
  <r>
    <s v="Professional"/>
    <x v="3"/>
    <x v="11"/>
    <s v="Todd A Lesko"/>
    <s v="Gizmo"/>
    <d v="2018-11-25T00:00:00"/>
    <s v="WM Squared Inc."/>
    <n v="400"/>
    <n v="8556"/>
    <n v="4088"/>
    <n v="4468"/>
  </r>
  <r>
    <s v="Training"/>
    <x v="1"/>
    <x v="1"/>
    <s v="Jade Miller"/>
    <s v="Gadget"/>
    <d v="2018-11-28T00:00:00"/>
    <s v="MySpreadsheetLab"/>
    <n v="400"/>
    <n v="8464"/>
    <n v="3936"/>
    <n v="4528"/>
  </r>
  <r>
    <s v="Software"/>
    <x v="0"/>
    <x v="0"/>
    <s v="Anne Troy"/>
    <s v="Gizmo"/>
    <d v="2018-11-28T00:00:00"/>
    <s v="Excel4Apps"/>
    <n v="500"/>
    <n v="11470"/>
    <n v="5110"/>
    <n v="6360"/>
  </r>
  <r>
    <s v="Training"/>
    <x v="2"/>
    <x v="6"/>
    <s v="Michael Karpfen"/>
    <s v="Gadget"/>
    <d v="2018-11-29T00:00:00"/>
    <s v="MyOnlineTrainingHub.com"/>
    <n v="600"/>
    <n v="14154"/>
    <n v="5904"/>
    <n v="8250"/>
  </r>
  <r>
    <s v="Consultants"/>
    <x v="2"/>
    <x v="5"/>
    <s v="Larry Vance"/>
    <s v="Gadget"/>
    <d v="2018-11-30T00:00:00"/>
    <s v="Andrew Spain Consulting"/>
    <n v="800"/>
    <n v="19280"/>
    <n v="7872"/>
    <n v="11408"/>
  </r>
  <r>
    <s v="Software"/>
    <x v="0"/>
    <x v="0"/>
    <s v="Anne Troy"/>
    <s v="Gizmo"/>
    <d v="2018-12-01T00:00:00"/>
    <s v="Excel4Apps"/>
    <n v="900"/>
    <n v="22887"/>
    <n v="9198"/>
    <n v="13689"/>
  </r>
  <r>
    <s v="Software"/>
    <x v="1"/>
    <x v="1"/>
    <s v="Jade Miller"/>
    <s v="Gizmo"/>
    <d v="2018-12-02T00:00:00"/>
    <s v="F-Keys Ltd."/>
    <n v="600"/>
    <n v="13290"/>
    <n v="6132"/>
    <n v="7158"/>
  </r>
  <r>
    <s v="Retail"/>
    <x v="2"/>
    <x v="2"/>
    <s v="Jeffrey P. Coulson"/>
    <s v="Gadget"/>
    <d v="2018-12-02T00:00:00"/>
    <s v="Hartville MarketPlace and Flea Market"/>
    <n v="1000"/>
    <n v="20840"/>
    <n v="9840"/>
    <n v="11000"/>
  </r>
  <r>
    <s v="Consultants"/>
    <x v="3"/>
    <x v="4"/>
    <s v="John Durran"/>
    <s v="Gizmo"/>
    <d v="2018-12-05T00:00:00"/>
    <s v="Data2Impact"/>
    <n v="800"/>
    <n v="19544"/>
    <n v="8176"/>
    <n v="11368"/>
  </r>
  <r>
    <s v="Training"/>
    <x v="1"/>
    <x v="1"/>
    <s v="Jade Miller"/>
    <s v="Gizmo"/>
    <d v="2018-12-05T00:00:00"/>
    <s v="MySpreadsheetLab"/>
    <n v="400"/>
    <n v="8284"/>
    <n v="4088"/>
    <n v="4196"/>
  </r>
  <r>
    <s v="Training"/>
    <x v="0"/>
    <x v="0"/>
    <s v="Anne Troy"/>
    <s v="Gizmo"/>
    <d v="2018-12-05T00:00:00"/>
    <s v="599CD.com"/>
    <n v="800"/>
    <n v="17496"/>
    <n v="8176"/>
    <n v="9320"/>
  </r>
  <r>
    <s v="Software"/>
    <x v="0"/>
    <x v="0"/>
    <s v="Anne Troy"/>
    <s v="Gadget"/>
    <d v="2018-12-07T00:00:00"/>
    <s v="Excel4Apps"/>
    <n v="1000"/>
    <n v="23690"/>
    <n v="9840"/>
    <n v="13850"/>
  </r>
  <r>
    <s v="Training"/>
    <x v="1"/>
    <x v="1"/>
    <s v="Jade Miller"/>
    <s v="Gizmo"/>
    <d v="2018-12-08T00:00:00"/>
    <s v="MySpreadsheetLab"/>
    <n v="100"/>
    <n v="2309"/>
    <n v="1022"/>
    <n v="1287"/>
  </r>
  <r>
    <s v="Professional"/>
    <x v="2"/>
    <x v="9"/>
    <s v="Ryan Wilson"/>
    <s v="Gizmo"/>
    <d v="2018-12-09T00:00:00"/>
    <s v="Serving Brevard Realty"/>
    <n v="900"/>
    <n v="18756"/>
    <n v="9198"/>
    <n v="9558"/>
  </r>
  <r>
    <s v="Software"/>
    <x v="0"/>
    <x v="0"/>
    <s v="Anne Troy"/>
    <s v="Widget"/>
    <d v="2018-12-10T00:00:00"/>
    <s v="Excel4Apps"/>
    <n v="1000"/>
    <n v="17410"/>
    <n v="8470"/>
    <n v="8940"/>
  </r>
  <r>
    <s v="Software"/>
    <x v="0"/>
    <x v="0"/>
    <s v="Anne Troy"/>
    <s v="Gadget"/>
    <d v="2018-12-10T00:00:00"/>
    <s v="Excel4Apps"/>
    <n v="200"/>
    <n v="4492"/>
    <n v="1968"/>
    <n v="2524"/>
  </r>
  <r>
    <s v="Training"/>
    <x v="1"/>
    <x v="1"/>
    <s v="Jade Miller"/>
    <s v="Gadget"/>
    <d v="2018-12-11T00:00:00"/>
    <s v="CPASelfStudy.com"/>
    <n v="200"/>
    <n v="4696"/>
    <n v="1968"/>
    <n v="2728"/>
  </r>
  <r>
    <s v="Software"/>
    <x v="1"/>
    <x v="1"/>
    <s v="Jade Miller"/>
    <s v="Gadget"/>
    <d v="2018-12-13T00:00:00"/>
    <s v="F-Keys Ltd."/>
    <n v="500"/>
    <n v="10295"/>
    <n v="4920"/>
    <n v="5375"/>
  </r>
  <r>
    <s v="Training"/>
    <x v="1"/>
    <x v="1"/>
    <s v="Jade Miller"/>
    <s v="Gizmo"/>
    <d v="2018-12-15T00:00:00"/>
    <s v="MySpreadsheetLab"/>
    <n v="1000"/>
    <n v="25010"/>
    <n v="10220"/>
    <n v="14790"/>
  </r>
  <r>
    <s v="Training"/>
    <x v="0"/>
    <x v="0"/>
    <s v="Anne Troy"/>
    <s v="Gizmo"/>
    <d v="2018-12-15T00:00:00"/>
    <s v="599CD.com"/>
    <n v="500"/>
    <n v="10380"/>
    <n v="5110"/>
    <n v="5270"/>
  </r>
  <r>
    <s v="Training"/>
    <x v="1"/>
    <x v="1"/>
    <s v="Jade Miller"/>
    <s v="Gizmo"/>
    <d v="2018-12-16T00:00:00"/>
    <s v="LearnExcelBooks.com"/>
    <n v="300"/>
    <n v="6744"/>
    <n v="3066"/>
    <n v="3678"/>
  </r>
  <r>
    <s v="Training"/>
    <x v="0"/>
    <x v="0"/>
    <s v="Anne Troy"/>
    <s v="Widget"/>
    <d v="2018-12-18T00:00:00"/>
    <s v="599CD.com"/>
    <n v="700"/>
    <n v="13552"/>
    <n v="5929"/>
    <n v="7623"/>
  </r>
  <r>
    <s v="Consultants"/>
    <x v="2"/>
    <x v="5"/>
    <s v="Larry Vance"/>
    <s v="Gizmo"/>
    <d v="2018-12-20T00:00:00"/>
    <s v="Andrew Spain Consulting"/>
    <n v="800"/>
    <n v="18560"/>
    <n v="8176"/>
    <n v="10384"/>
  </r>
  <r>
    <s v="Retail"/>
    <x v="2"/>
    <x v="2"/>
    <s v="Jeffrey P. Coulson"/>
    <s v="Widget"/>
    <d v="2018-12-21T00:00:00"/>
    <s v="Hartville MarketPlace and Flea Market"/>
    <n v="300"/>
    <n v="5847"/>
    <n v="2541"/>
    <n v="3306"/>
  </r>
  <r>
    <s v="Training"/>
    <x v="2"/>
    <x v="6"/>
    <s v="Michael Karpfen"/>
    <s v="Gizmo"/>
    <d v="2018-12-22T00:00:00"/>
    <s v="MyOnlineTrainingHub.com"/>
    <n v="800"/>
    <n v="18304"/>
    <n v="8176"/>
    <n v="10128"/>
  </r>
  <r>
    <s v="Retail"/>
    <x v="2"/>
    <x v="2"/>
    <s v="Jeffrey P. Coulson"/>
    <s v="Gizmo"/>
    <d v="2018-12-23T00:00:00"/>
    <s v="Hartville MarketPlace and Flea Market"/>
    <n v="700"/>
    <n v="17199"/>
    <n v="7154"/>
    <n v="10045"/>
  </r>
  <r>
    <s v="Training"/>
    <x v="1"/>
    <x v="1"/>
    <s v="Jade Miller"/>
    <s v="Widget"/>
    <d v="2018-12-24T00:00:00"/>
    <s v="LearnExcelBooks.com"/>
    <n v="100"/>
    <n v="1968"/>
    <n v="847"/>
    <n v="1121"/>
  </r>
  <r>
    <s v="Consultants"/>
    <x v="2"/>
    <x v="5"/>
    <s v="Larry Vance"/>
    <s v="Gizmo"/>
    <d v="2018-12-25T00:00:00"/>
    <s v="Andrew Spain Consulting"/>
    <n v="200"/>
    <n v="4690"/>
    <n v="2044"/>
    <n v="2646"/>
  </r>
  <r>
    <s v="Software"/>
    <x v="1"/>
    <x v="1"/>
    <s v="Jade Miller"/>
    <s v="Gizmo"/>
    <d v="2018-12-27T00:00:00"/>
    <s v="Vertex42"/>
    <n v="500"/>
    <n v="11680"/>
    <n v="5110"/>
    <n v="6570"/>
  </r>
  <r>
    <s v="Consultants"/>
    <x v="2"/>
    <x v="5"/>
    <s v="Larry Vance"/>
    <s v="Gadget"/>
    <d v="2018-12-27T00:00:00"/>
    <s v="Andrew Spain Consulting"/>
    <n v="700"/>
    <n v="14560"/>
    <n v="6888"/>
    <n v="7672"/>
  </r>
  <r>
    <s v="Professional"/>
    <x v="2"/>
    <x v="9"/>
    <s v="Ryan Wilson"/>
    <s v="Gizmo"/>
    <d v="2018-12-28T00:00:00"/>
    <s v="Serving Brevard Realty"/>
    <n v="700"/>
    <n v="15225"/>
    <n v="7154"/>
    <n v="8071"/>
  </r>
  <r>
    <s v="Software"/>
    <x v="0"/>
    <x v="0"/>
    <s v="Anne Troy"/>
    <s v="Widget"/>
    <d v="2018-12-29T00:00:00"/>
    <s v="Excel4Apps"/>
    <n v="900"/>
    <n v="15363"/>
    <n v="7623"/>
    <n v="77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6" applyNumberFormats="0" applyBorderFormats="0" applyFontFormats="0" applyPatternFormats="0" applyAlignmentFormats="0" applyWidthHeightFormats="1" dataCaption="Values" missingCaption="0" updatedVersion="6" minRefreshableVersion="3" useAutoFormatting="1" itemPrintTitles="1" createdVersion="6" indent="0" compact="0" compactData="0" multipleFieldFilters="0">
  <location ref="A3:E37" firstHeaderRow="0" firstDataRow="1" firstDataCol="2"/>
  <pivotFields count="9">
    <pivotField axis="axisRow" compact="0" outline="0" showAll="0">
      <items count="7">
        <item x="2"/>
        <item x="3"/>
        <item x="5"/>
        <item x="4"/>
        <item x="1"/>
        <item x="0"/>
        <item t="default"/>
      </items>
      <extLst>
        <ext xmlns:x14="http://schemas.microsoft.com/office/spreadsheetml/2009/9/main" uri="{2946ED86-A175-432a-8AC1-64E0C546D7DE}">
          <x14:pivotField fillDownLabels="1"/>
        </ext>
      </extLst>
    </pivotField>
    <pivotField compact="0" outline="0" showAll="0">
      <items count="5">
        <item x="0"/>
        <item x="1"/>
        <item x="2"/>
        <item x="3"/>
        <item t="default"/>
      </items>
      <extLst>
        <ext xmlns:x14="http://schemas.microsoft.com/office/spreadsheetml/2009/9/main" uri="{2946ED86-A175-432a-8AC1-64E0C546D7DE}">
          <x14:pivotField fillDownLabels="1"/>
        </ext>
      </extLst>
    </pivotField>
    <pivotField compact="0" outline="0" showAll="0">
      <items count="5">
        <item x="3"/>
        <item x="1"/>
        <item x="0"/>
        <item x="2"/>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axis="axisRow" compact="0" outline="0" showAll="0" sortType="descending">
      <items count="28">
        <item x="0"/>
        <item x="6"/>
        <item x="2"/>
        <item x="17"/>
        <item x="18"/>
        <item x="3"/>
        <item x="11"/>
        <item x="4"/>
        <item x="5"/>
        <item x="19"/>
        <item x="12"/>
        <item x="20"/>
        <item x="1"/>
        <item x="22"/>
        <item x="13"/>
        <item x="24"/>
        <item x="23"/>
        <item x="26"/>
        <item x="14"/>
        <item x="7"/>
        <item x="8"/>
        <item x="9"/>
        <item x="21"/>
        <item x="15"/>
        <item x="16"/>
        <item x="10"/>
        <item x="25"/>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4"/>
  </rowFields>
  <rowItems count="34">
    <i>
      <x/>
      <x v="15"/>
    </i>
    <i r="1">
      <x v="2"/>
    </i>
    <i t="default">
      <x/>
    </i>
    <i>
      <x v="1"/>
      <x v="1"/>
    </i>
    <i r="1">
      <x v="7"/>
    </i>
    <i r="1">
      <x v="4"/>
    </i>
    <i r="1">
      <x v="11"/>
    </i>
    <i r="1">
      <x v="9"/>
    </i>
    <i r="1">
      <x v="5"/>
    </i>
    <i t="default">
      <x v="1"/>
    </i>
    <i>
      <x v="2"/>
      <x v="24"/>
    </i>
    <i r="1">
      <x v="26"/>
    </i>
    <i r="1">
      <x v="16"/>
    </i>
    <i t="default">
      <x v="2"/>
    </i>
    <i>
      <x v="3"/>
      <x v="14"/>
    </i>
    <i r="1">
      <x v="17"/>
    </i>
    <i r="1">
      <x v="22"/>
    </i>
    <i r="1">
      <x v="3"/>
    </i>
    <i t="default">
      <x v="3"/>
    </i>
    <i>
      <x v="4"/>
      <x v="8"/>
    </i>
    <i r="1">
      <x v="12"/>
    </i>
    <i r="1">
      <x v="25"/>
    </i>
    <i r="1">
      <x v="13"/>
    </i>
    <i t="default">
      <x v="4"/>
    </i>
    <i>
      <x v="5"/>
      <x/>
    </i>
    <i r="1">
      <x v="21"/>
    </i>
    <i r="1">
      <x v="6"/>
    </i>
    <i r="1">
      <x v="20"/>
    </i>
    <i r="1">
      <x v="19"/>
    </i>
    <i r="1">
      <x v="10"/>
    </i>
    <i r="1">
      <x v="23"/>
    </i>
    <i r="1">
      <x v="18"/>
    </i>
    <i t="default">
      <x v="5"/>
    </i>
    <i t="grand">
      <x/>
    </i>
  </rowItems>
  <colFields count="1">
    <field x="-2"/>
  </colFields>
  <colItems count="3">
    <i>
      <x/>
    </i>
    <i i="1">
      <x v="1"/>
    </i>
    <i i="2">
      <x v="2"/>
    </i>
  </colItems>
  <dataFields count="3">
    <dataField name="Revenue " fld="6" baseField="0" baseItem="0" numFmtId="164"/>
    <dataField name="Sum of Profit" fld="7" baseField="0" baseItem="0"/>
    <dataField name="Sum of Cost" fld="8" baseField="0" baseItem="0"/>
  </dataFields>
  <formats count="2">
    <format dxfId="126">
      <pivotArea outline="0" collapsedLevelsAreSubtotals="1" fieldPosition="0"/>
    </format>
    <format dxfId="125">
      <pivotArea outline="0" fieldPosition="0">
        <references count="1">
          <reference field="4294967294" count="1">
            <x v="0"/>
          </reference>
        </references>
      </pivotArea>
    </format>
  </formats>
  <pivotTableStyleInfo showRowHeaders="1"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343EC2-1ACE-4B1B-AAA3-93D747CF5D47}" name="PivotTable1" cacheId="6" applyNumberFormats="0" applyBorderFormats="0" applyFontFormats="0" applyPatternFormats="0" applyAlignmentFormats="0" applyWidthHeightFormats="1" dataCaption="Values" missingCaption="0" updatedVersion="8" minRefreshableVersion="3" useAutoFormatting="1" rowGrandTotals="0" colGrandTotals="0" itemPrintTitles="1" createdVersion="6" indent="0" compact="0" outline="1" outlineData="1" compactData="0" multipleFieldFilters="0">
  <location ref="A3:N44" firstHeaderRow="1" firstDataRow="3" firstDataCol="2"/>
  <pivotFields count="9">
    <pivotField axis="axisRow" compact="0" showAll="0" insertBlankRow="1" defaultSubtotal="0">
      <items count="6">
        <item x="2"/>
        <item x="3"/>
        <item x="5"/>
        <item x="4"/>
        <item x="1"/>
        <item x="0"/>
      </items>
    </pivotField>
    <pivotField compact="0" showAll="0" insertBlankRow="1" defaultSubtotal="0">
      <items count="4">
        <item x="0"/>
        <item x="1"/>
        <item x="2"/>
        <item x="3"/>
      </items>
    </pivotField>
    <pivotField axis="axisCol" compact="0" showAll="0" insertBlankRow="1" defaultSubtotal="0">
      <items count="4">
        <item x="3"/>
        <item x="1"/>
        <item x="0"/>
        <item x="2"/>
      </items>
    </pivotField>
    <pivotField compact="0" numFmtId="14" showAll="0" insertBlankRow="1" defaultSubtotal="0"/>
    <pivotField axis="axisRow" compact="0" showAll="0" insertBlankRow="1" defaultSubtotal="0">
      <items count="27">
        <item x="0"/>
        <item x="6"/>
        <item x="2"/>
        <item x="17"/>
        <item x="18"/>
        <item x="3"/>
        <item x="11"/>
        <item x="4"/>
        <item x="5"/>
        <item x="19"/>
        <item x="12"/>
        <item x="20"/>
        <item x="1"/>
        <item x="22"/>
        <item x="13"/>
        <item x="24"/>
        <item x="23"/>
        <item x="26"/>
        <item x="14"/>
        <item x="7"/>
        <item x="8"/>
        <item x="9"/>
        <item x="21"/>
        <item x="15"/>
        <item x="16"/>
        <item x="10"/>
        <item x="25"/>
      </items>
    </pivotField>
    <pivotField compact="0" showAll="0" insertBlankRow="1" defaultSubtotal="0"/>
    <pivotField dataField="1" compact="0" showAll="0" insertBlankRow="1" defaultSubtotal="0"/>
    <pivotField dataField="1" compact="0" showAll="0" insertBlankRow="1" defaultSubtotal="0"/>
    <pivotField dataField="1" compact="0" showAll="0" insertBlankRow="1" defaultSubtotal="0"/>
  </pivotFields>
  <rowFields count="2">
    <field x="0"/>
    <field x="4"/>
  </rowFields>
  <rowItems count="39">
    <i>
      <x/>
    </i>
    <i r="1">
      <x v="2"/>
    </i>
    <i r="1">
      <x v="15"/>
    </i>
    <i t="blank">
      <x/>
    </i>
    <i>
      <x v="1"/>
    </i>
    <i r="1">
      <x v="1"/>
    </i>
    <i r="1">
      <x v="4"/>
    </i>
    <i r="1">
      <x v="5"/>
    </i>
    <i r="1">
      <x v="7"/>
    </i>
    <i r="1">
      <x v="9"/>
    </i>
    <i r="1">
      <x v="11"/>
    </i>
    <i t="blank">
      <x v="1"/>
    </i>
    <i>
      <x v="2"/>
    </i>
    <i r="1">
      <x v="16"/>
    </i>
    <i r="1">
      <x v="24"/>
    </i>
    <i r="1">
      <x v="26"/>
    </i>
    <i t="blank">
      <x v="2"/>
    </i>
    <i>
      <x v="3"/>
    </i>
    <i r="1">
      <x v="3"/>
    </i>
    <i r="1">
      <x v="14"/>
    </i>
    <i r="1">
      <x v="17"/>
    </i>
    <i r="1">
      <x v="22"/>
    </i>
    <i t="blank">
      <x v="3"/>
    </i>
    <i>
      <x v="4"/>
    </i>
    <i r="1">
      <x v="8"/>
    </i>
    <i r="1">
      <x v="12"/>
    </i>
    <i r="1">
      <x v="13"/>
    </i>
    <i r="1">
      <x v="25"/>
    </i>
    <i t="blank">
      <x v="4"/>
    </i>
    <i>
      <x v="5"/>
    </i>
    <i r="1">
      <x/>
    </i>
    <i r="1">
      <x v="6"/>
    </i>
    <i r="1">
      <x v="10"/>
    </i>
    <i r="1">
      <x v="18"/>
    </i>
    <i r="1">
      <x v="19"/>
    </i>
    <i r="1">
      <x v="20"/>
    </i>
    <i r="1">
      <x v="21"/>
    </i>
    <i r="1">
      <x v="23"/>
    </i>
    <i t="blank">
      <x v="5"/>
    </i>
  </rowItems>
  <colFields count="2">
    <field x="2"/>
    <field x="-2"/>
  </colFields>
  <colItems count="12">
    <i>
      <x/>
      <x/>
    </i>
    <i r="1" i="1">
      <x v="1"/>
    </i>
    <i r="1" i="2">
      <x v="2"/>
    </i>
    <i>
      <x v="1"/>
      <x/>
    </i>
    <i r="1" i="1">
      <x v="1"/>
    </i>
    <i r="1" i="2">
      <x v="2"/>
    </i>
    <i>
      <x v="2"/>
      <x/>
    </i>
    <i r="1" i="1">
      <x v="1"/>
    </i>
    <i r="1" i="2">
      <x v="2"/>
    </i>
    <i>
      <x v="3"/>
      <x/>
    </i>
    <i r="1" i="1">
      <x v="1"/>
    </i>
    <i r="1" i="2">
      <x v="2"/>
    </i>
  </colItems>
  <dataFields count="3">
    <dataField name="Total Revenue" fld="6" baseField="0" baseItem="0" numFmtId="3"/>
    <dataField name="Total Profit" fld="7" baseField="4" baseItem="15"/>
    <dataField name="Total Cost" fld="8" baseField="4" baseItem="15"/>
  </dataFields>
  <formats count="1">
    <format dxfId="110">
      <pivotArea outline="0" collapsedLevelsAreSubtotals="1" fieldPosition="0"/>
    </format>
  </formats>
  <pivotTableStyleInfo name="PivotStyleDark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477FE9-2AD7-4EAA-9BC3-DB15F09DFE9A}" name="PivotTable1" cacheId="6" applyNumberFormats="0" applyBorderFormats="0" applyFontFormats="0" applyPatternFormats="0" applyAlignmentFormats="0" applyWidthHeightFormats="1" dataCaption="Values" missingCaption="0" updatedVersion="8" minRefreshableVersion="3" useAutoFormatting="1" rowGrandTotals="0" itemPrintTitles="1" createdVersion="6" indent="0" showHeaders="0" compact="0" outline="1" outlineData="1" compactData="0" multipleFieldFilters="0">
  <location ref="A3:G49" firstHeaderRow="1" firstDataRow="2" firstDataCol="2"/>
  <pivotFields count="9">
    <pivotField axis="axisRow" compact="0" subtotalTop="0" showAll="0" insertBlankRow="1">
      <items count="7">
        <item x="2"/>
        <item x="3"/>
        <item x="5"/>
        <item x="4"/>
        <item x="1"/>
        <item x="0"/>
        <item t="default"/>
      </items>
    </pivotField>
    <pivotField compact="0" subtotalTop="0" showAll="0" insertBlankRow="1">
      <items count="5">
        <item x="0"/>
        <item x="1"/>
        <item x="2"/>
        <item x="3"/>
        <item t="default"/>
      </items>
    </pivotField>
    <pivotField axis="axisCol" compact="0" subtotalTop="0" showAll="0" insertBlankRow="1">
      <items count="5">
        <item x="3"/>
        <item x="1"/>
        <item x="0"/>
        <item x="2"/>
        <item t="default"/>
      </items>
    </pivotField>
    <pivotField compact="0" numFmtId="14" subtotalTop="0" showAll="0" insertBlankRow="1"/>
    <pivotField axis="axisRow" compact="0" subtotalTop="0" showAll="0" insertBlankRow="1">
      <items count="28">
        <item x="0"/>
        <item x="6"/>
        <item x="2"/>
        <item x="17"/>
        <item x="18"/>
        <item x="3"/>
        <item x="11"/>
        <item x="4"/>
        <item x="5"/>
        <item x="19"/>
        <item x="12"/>
        <item x="20"/>
        <item x="1"/>
        <item x="22"/>
        <item x="13"/>
        <item x="24"/>
        <item x="23"/>
        <item x="26"/>
        <item x="14"/>
        <item x="7"/>
        <item x="8"/>
        <item x="9"/>
        <item x="21"/>
        <item x="15"/>
        <item x="16"/>
        <item x="10"/>
        <item x="25"/>
        <item t="default"/>
      </items>
    </pivotField>
    <pivotField compact="0" subtotalTop="0" showAll="0" insertBlankRow="1"/>
    <pivotField dataField="1" compact="0" subtotalTop="0" showAll="0" insertBlankRow="1"/>
    <pivotField compact="0" subtotalTop="0" showAll="0" insertBlankRow="1"/>
    <pivotField compact="0" subtotalTop="0" showAll="0" insertBlankRow="1"/>
  </pivotFields>
  <rowFields count="2">
    <field x="0"/>
    <field x="4"/>
  </rowFields>
  <rowItems count="45">
    <i>
      <x/>
    </i>
    <i r="1">
      <x v="2"/>
    </i>
    <i r="1">
      <x v="15"/>
    </i>
    <i t="default">
      <x/>
    </i>
    <i t="blank">
      <x/>
    </i>
    <i>
      <x v="1"/>
    </i>
    <i r="1">
      <x v="1"/>
    </i>
    <i r="1">
      <x v="4"/>
    </i>
    <i r="1">
      <x v="5"/>
    </i>
    <i r="1">
      <x v="7"/>
    </i>
    <i r="1">
      <x v="9"/>
    </i>
    <i r="1">
      <x v="11"/>
    </i>
    <i t="default">
      <x v="1"/>
    </i>
    <i t="blank">
      <x v="1"/>
    </i>
    <i>
      <x v="2"/>
    </i>
    <i r="1">
      <x v="16"/>
    </i>
    <i r="1">
      <x v="24"/>
    </i>
    <i r="1">
      <x v="26"/>
    </i>
    <i t="default">
      <x v="2"/>
    </i>
    <i t="blank">
      <x v="2"/>
    </i>
    <i>
      <x v="3"/>
    </i>
    <i r="1">
      <x v="3"/>
    </i>
    <i r="1">
      <x v="14"/>
    </i>
    <i r="1">
      <x v="17"/>
    </i>
    <i r="1">
      <x v="22"/>
    </i>
    <i t="default">
      <x v="3"/>
    </i>
    <i t="blank">
      <x v="3"/>
    </i>
    <i>
      <x v="4"/>
    </i>
    <i r="1">
      <x v="8"/>
    </i>
    <i r="1">
      <x v="12"/>
    </i>
    <i r="1">
      <x v="13"/>
    </i>
    <i r="1">
      <x v="25"/>
    </i>
    <i t="default">
      <x v="4"/>
    </i>
    <i t="blank">
      <x v="4"/>
    </i>
    <i>
      <x v="5"/>
    </i>
    <i r="1">
      <x/>
    </i>
    <i r="1">
      <x v="6"/>
    </i>
    <i r="1">
      <x v="10"/>
    </i>
    <i r="1">
      <x v="18"/>
    </i>
    <i r="1">
      <x v="19"/>
    </i>
    <i r="1">
      <x v="20"/>
    </i>
    <i r="1">
      <x v="21"/>
    </i>
    <i r="1">
      <x v="23"/>
    </i>
    <i t="default">
      <x v="5"/>
    </i>
    <i t="blank">
      <x v="5"/>
    </i>
  </rowItems>
  <colFields count="1">
    <field x="2"/>
  </colFields>
  <colItems count="5">
    <i>
      <x/>
    </i>
    <i>
      <x v="1"/>
    </i>
    <i>
      <x v="2"/>
    </i>
    <i>
      <x v="3"/>
    </i>
    <i t="grand">
      <x/>
    </i>
  </colItems>
  <dataFields count="1">
    <dataField name="Total Revenue" fld="6" baseField="0" baseItem="0" numFmtId="3"/>
  </dataFields>
  <formats count="1">
    <format dxfId="109">
      <pivotArea outline="0" collapsedLevelsAreSubtotals="1" fieldPosition="0"/>
    </format>
  </formats>
  <pivotTableStyleInfo name="PivotStyleDark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00F26B-A501-4903-ADEE-9BCE08EBB441}" name="PivotTable1" cacheId="6" applyNumberFormats="0" applyBorderFormats="0" applyFontFormats="0" applyPatternFormats="0" applyAlignmentFormats="0" applyWidthHeightFormats="1" dataCaption="Values" missingCaption="0" updatedVersion="8" minRefreshableVersion="3" useAutoFormatting="1" rowGrandTotals="0" itemPrintTitles="1" createdVersion="6" indent="0" showHeaders="0" compact="0" outline="1" outlineData="1" compactData="0" multipleFieldFilters="0">
  <location ref="A3:D48" firstHeaderRow="0" firstDataRow="1" firstDataCol="2"/>
  <pivotFields count="9">
    <pivotField axis="axisRow" compact="0" subtotalTop="0" showAll="0" insertBlankRow="1">
      <items count="7">
        <item x="2"/>
        <item x="3"/>
        <item x="5"/>
        <item x="4"/>
        <item x="1"/>
        <item x="0"/>
        <item t="default"/>
      </items>
    </pivotField>
    <pivotField compact="0" subtotalTop="0" showAll="0" insertBlankRow="1">
      <items count="5">
        <item x="0"/>
        <item x="1"/>
        <item x="2"/>
        <item x="3"/>
        <item t="default"/>
      </items>
    </pivotField>
    <pivotField compact="0" subtotalTop="0" showAll="0" insertBlankRow="1">
      <items count="5">
        <item x="3"/>
        <item x="1"/>
        <item x="0"/>
        <item x="2"/>
        <item t="default"/>
      </items>
    </pivotField>
    <pivotField compact="0" numFmtId="14" subtotalTop="0" showAll="0" insertBlankRow="1"/>
    <pivotField axis="axisRow" compact="0" subtotalTop="0" showAll="0" insertBlankRow="1">
      <items count="28">
        <item x="0"/>
        <item x="6"/>
        <item x="2"/>
        <item x="17"/>
        <item x="18"/>
        <item x="3"/>
        <item x="11"/>
        <item x="4"/>
        <item x="5"/>
        <item x="19"/>
        <item x="12"/>
        <item x="20"/>
        <item x="1"/>
        <item x="22"/>
        <item x="13"/>
        <item x="24"/>
        <item x="23"/>
        <item x="26"/>
        <item x="14"/>
        <item x="7"/>
        <item x="8"/>
        <item x="9"/>
        <item x="21"/>
        <item x="15"/>
        <item x="16"/>
        <item x="10"/>
        <item x="25"/>
        <item t="default"/>
      </items>
    </pivotField>
    <pivotField compact="0" subtotalTop="0" showAll="0" insertBlankRow="1"/>
    <pivotField dataField="1" compact="0" subtotalTop="0" showAll="0" insertBlankRow="1"/>
    <pivotField compact="0" subtotalTop="0" showAll="0" insertBlankRow="1"/>
    <pivotField compact="0" subtotalTop="0" showAll="0" insertBlankRow="1"/>
  </pivotFields>
  <rowFields count="2">
    <field x="0"/>
    <field x="4"/>
  </rowFields>
  <rowItems count="45">
    <i>
      <x/>
    </i>
    <i r="1">
      <x v="2"/>
    </i>
    <i r="1">
      <x v="15"/>
    </i>
    <i t="default">
      <x/>
    </i>
    <i t="blank">
      <x/>
    </i>
    <i>
      <x v="1"/>
    </i>
    <i r="1">
      <x v="1"/>
    </i>
    <i r="1">
      <x v="4"/>
    </i>
    <i r="1">
      <x v="5"/>
    </i>
    <i r="1">
      <x v="7"/>
    </i>
    <i r="1">
      <x v="9"/>
    </i>
    <i r="1">
      <x v="11"/>
    </i>
    <i t="default">
      <x v="1"/>
    </i>
    <i t="blank">
      <x v="1"/>
    </i>
    <i>
      <x v="2"/>
    </i>
    <i r="1">
      <x v="16"/>
    </i>
    <i r="1">
      <x v="24"/>
    </i>
    <i r="1">
      <x v="26"/>
    </i>
    <i t="default">
      <x v="2"/>
    </i>
    <i t="blank">
      <x v="2"/>
    </i>
    <i>
      <x v="3"/>
    </i>
    <i r="1">
      <x v="3"/>
    </i>
    <i r="1">
      <x v="14"/>
    </i>
    <i r="1">
      <x v="17"/>
    </i>
    <i r="1">
      <x v="22"/>
    </i>
    <i t="default">
      <x v="3"/>
    </i>
    <i t="blank">
      <x v="3"/>
    </i>
    <i>
      <x v="4"/>
    </i>
    <i r="1">
      <x v="8"/>
    </i>
    <i r="1">
      <x v="12"/>
    </i>
    <i r="1">
      <x v="13"/>
    </i>
    <i r="1">
      <x v="25"/>
    </i>
    <i t="default">
      <x v="4"/>
    </i>
    <i t="blank">
      <x v="4"/>
    </i>
    <i>
      <x v="5"/>
    </i>
    <i r="1">
      <x/>
    </i>
    <i r="1">
      <x v="6"/>
    </i>
    <i r="1">
      <x v="10"/>
    </i>
    <i r="1">
      <x v="18"/>
    </i>
    <i r="1">
      <x v="19"/>
    </i>
    <i r="1">
      <x v="20"/>
    </i>
    <i r="1">
      <x v="21"/>
    </i>
    <i r="1">
      <x v="23"/>
    </i>
    <i t="default">
      <x v="5"/>
    </i>
    <i t="blank">
      <x v="5"/>
    </i>
  </rowItems>
  <colFields count="1">
    <field x="-2"/>
  </colFields>
  <colItems count="2">
    <i>
      <x/>
    </i>
    <i i="1">
      <x v="1"/>
    </i>
  </colItems>
  <dataFields count="2">
    <dataField name="Total Revenue" fld="6" baseField="0" baseItem="0" numFmtId="3"/>
    <dataField name="% of Parent" fld="6" baseField="0" baseItem="0" numFmtId="10">
      <extLst>
        <ext xmlns:x14="http://schemas.microsoft.com/office/spreadsheetml/2009/9/main" uri="{E15A36E0-9728-4e99-A89B-3F7291B0FE68}">
          <x14:dataField pivotShowAs="percentOfParentRow"/>
        </ext>
      </extLst>
    </dataField>
  </dataFields>
  <formats count="3">
    <format dxfId="108">
      <pivotArea outline="0" collapsedLevelsAreSubtotals="1" fieldPosition="0"/>
    </format>
    <format dxfId="5">
      <pivotArea outline="0" fieldPosition="0">
        <references count="1">
          <reference field="4294967294" count="1">
            <x v="1"/>
          </reference>
        </references>
      </pivotArea>
    </format>
    <format dxfId="0">
      <pivotArea fieldPosition="0">
        <references count="3">
          <reference field="4294967294" count="1" selected="0">
            <x v="0"/>
          </reference>
          <reference field="0" count="1" selected="0">
            <x v="1"/>
          </reference>
          <reference field="4" count="1">
            <x v="5"/>
          </reference>
        </references>
      </pivotArea>
    </format>
  </formats>
  <pivotTableStyleInfo name="PivotStyleDark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1" cacheId="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location ref="A4:I17" firstHeaderRow="0" firstDataRow="1" firstDataCol="1"/>
  <pivotFields count="11">
    <pivotField compact="0" outline="0" subtotalTop="0" showAll="0"/>
    <pivotField compact="0" outline="0" subtotalTop="0" showAll="0" sumSubtotal="1" countASubtotal="1" avgSubtotal="1" maxSubtotal="1" minSubtotal="1"/>
    <pivotField compact="0" outline="0" subtotalTop="0" showAll="0" sortType="ascending"/>
    <pivotField axis="axisRow" compact="0" outline="0" subtotalTop="0" showAll="0" sortType="descending" rankBy="0">
      <items count="25">
        <item m="1" x="12"/>
        <item m="1" x="18"/>
        <item m="1" x="21"/>
        <item m="1" x="22"/>
        <item m="1" x="16"/>
        <item m="1" x="13"/>
        <item m="1" x="23"/>
        <item m="1" x="19"/>
        <item m="1" x="17"/>
        <item m="1" x="20"/>
        <item m="1" x="14"/>
        <item m="1" x="15"/>
        <item x="0"/>
        <item x="1"/>
        <item x="2"/>
        <item x="3"/>
        <item x="4"/>
        <item x="5"/>
        <item x="6"/>
        <item x="7"/>
        <item x="8"/>
        <item x="9"/>
        <item x="10"/>
        <item x="11"/>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s>
  <rowFields count="1">
    <field x="3"/>
  </rowFields>
  <rowItems count="13">
    <i>
      <x v="13"/>
    </i>
    <i>
      <x v="12"/>
    </i>
    <i>
      <x v="17"/>
    </i>
    <i>
      <x v="14"/>
    </i>
    <i>
      <x v="18"/>
    </i>
    <i>
      <x v="21"/>
    </i>
    <i>
      <x v="16"/>
    </i>
    <i>
      <x v="19"/>
    </i>
    <i>
      <x v="20"/>
    </i>
    <i>
      <x v="15"/>
    </i>
    <i>
      <x v="23"/>
    </i>
    <i>
      <x v="22"/>
    </i>
    <i t="grand">
      <x/>
    </i>
  </rowItems>
  <colFields count="1">
    <field x="-2"/>
  </colFields>
  <colItems count="8">
    <i>
      <x/>
    </i>
    <i i="1">
      <x v="1"/>
    </i>
    <i i="2">
      <x v="2"/>
    </i>
    <i i="3">
      <x v="3"/>
    </i>
    <i i="4">
      <x v="4"/>
    </i>
    <i i="5">
      <x v="5"/>
    </i>
    <i i="6">
      <x v="6"/>
    </i>
    <i i="7">
      <x v="7"/>
    </i>
  </colItems>
  <dataFields count="8">
    <dataField name="Total" fld="8" baseField="3" baseItem="12" numFmtId="164"/>
    <dataField name="Average" fld="8" subtotal="average" baseField="3" baseItem="12" numFmtId="164"/>
    <dataField name="# of Orders" fld="8" subtotal="count" baseField="3" baseItem="12" numFmtId="3"/>
    <dataField name="% of Total" fld="8" showDataAs="percentOfCol" baseField="3" baseItem="12" numFmtId="10"/>
    <dataField name="% of Anne" fld="8" showDataAs="percent" baseField="3" baseItem="12" numFmtId="10"/>
    <dataField name="Rank" fld="8" baseField="3" baseItem="12">
      <extLst>
        <ext xmlns:x14="http://schemas.microsoft.com/office/spreadsheetml/2009/9/main" uri="{E15A36E0-9728-4e99-A89B-3F7291B0FE68}">
          <x14:dataField pivotShowAs="rankDescending"/>
        </ext>
      </extLst>
    </dataField>
    <dataField name="RunTotal" fld="8" showDataAs="runTotal" baseField="3" baseItem="12" numFmtId="164"/>
    <dataField name="% RunTot" fld="8" baseField="3" baseItem="12" numFmtId="10">
      <extLst>
        <ext xmlns:x14="http://schemas.microsoft.com/office/spreadsheetml/2009/9/main" uri="{E15A36E0-9728-4e99-A89B-3F7291B0FE68}">
          <x14:dataField pivotShowAs="percentOfRunningTotal"/>
        </ext>
      </extLst>
    </dataField>
  </dataFields>
  <formats count="3">
    <format dxfId="124">
      <pivotArea dataOnly="0" labelOnly="1" outline="0" fieldPosition="0">
        <references count="1">
          <reference field="4294967294" count="1">
            <x v="5"/>
          </reference>
        </references>
      </pivotArea>
    </format>
    <format dxfId="123">
      <pivotArea outline="0" fieldPosition="0">
        <references count="1">
          <reference field="4294967294" count="1">
            <x v="7"/>
          </reference>
        </references>
      </pivotArea>
    </format>
    <format dxfId="122">
      <pivotArea outline="0" fieldPosition="0">
        <references count="1">
          <reference field="4294967294" count="1">
            <x v="6"/>
          </reference>
        </references>
      </pivotArea>
    </format>
  </formats>
  <pivotTableStyleInfo name="PivotStyleMedium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2" cacheId="5" applyNumberFormats="0" applyBorderFormats="0" applyFontFormats="0" applyPatternFormats="0" applyAlignmentFormats="0" applyWidthHeightFormats="1" dataCaption="Values" updatedVersion="6" minRefreshableVersion="3" itemPrintTitles="1" createdVersion="5" indent="0" compact="0" compactData="0" multipleFieldFilters="0">
  <location ref="A3:E20" firstHeaderRow="0" firstDataRow="1" firstDataCol="2"/>
  <pivotFields count="11">
    <pivotField compact="0" outline="0" showAll="0"/>
    <pivotField axis="axisRow" compact="0" outline="0" showAll="0">
      <items count="5">
        <item x="0"/>
        <item x="1"/>
        <item x="2"/>
        <item x="3"/>
        <item t="default"/>
      </items>
    </pivotField>
    <pivotField axis="axisRow" compact="0" outline="0" showAll="0">
      <items count="13">
        <item x="5"/>
        <item x="6"/>
        <item x="9"/>
        <item x="7"/>
        <item x="8"/>
        <item x="0"/>
        <item x="2"/>
        <item x="3"/>
        <item x="10"/>
        <item x="1"/>
        <item x="4"/>
        <item x="11"/>
        <item t="default"/>
      </items>
    </pivotField>
    <pivotField compact="0" outline="0" showAll="0"/>
    <pivotField compact="0" outline="0" showAll="0"/>
    <pivotField compact="0" numFmtId="14" outline="0" showAll="0"/>
    <pivotField compact="0" outline="0" showAll="0"/>
    <pivotField compact="0" outline="0" showAll="0"/>
    <pivotField dataField="1" compact="0" outline="0" showAll="0"/>
    <pivotField compact="0" outline="0" showAll="0"/>
    <pivotField compact="0" outline="0" showAll="0"/>
  </pivotFields>
  <rowFields count="2">
    <field x="1"/>
    <field x="2"/>
  </rowFields>
  <rowItems count="17">
    <i>
      <x/>
      <x v="3"/>
    </i>
    <i r="1">
      <x v="4"/>
    </i>
    <i r="1">
      <x v="5"/>
    </i>
    <i r="1">
      <x v="7"/>
    </i>
    <i r="1">
      <x v="8"/>
    </i>
    <i t="default">
      <x/>
    </i>
    <i>
      <x v="1"/>
      <x v="9"/>
    </i>
    <i t="default">
      <x v="1"/>
    </i>
    <i>
      <x v="2"/>
      <x/>
    </i>
    <i r="1">
      <x v="1"/>
    </i>
    <i r="1">
      <x v="2"/>
    </i>
    <i r="1">
      <x v="6"/>
    </i>
    <i t="default">
      <x v="2"/>
    </i>
    <i>
      <x v="3"/>
      <x v="10"/>
    </i>
    <i r="1">
      <x v="11"/>
    </i>
    <i t="default">
      <x v="3"/>
    </i>
    <i t="grand">
      <x/>
    </i>
  </rowItems>
  <colFields count="1">
    <field x="-2"/>
  </colFields>
  <colItems count="3">
    <i>
      <x/>
    </i>
    <i i="1">
      <x v="1"/>
    </i>
    <i i="2">
      <x v="2"/>
    </i>
  </colItems>
  <dataFields count="3">
    <dataField name="Total Revenue" fld="8" baseField="2" baseItem="3" numFmtId="164"/>
    <dataField name="% of Parent" fld="8" baseField="2" baseItem="3" numFmtId="10">
      <extLst>
        <ext xmlns:x14="http://schemas.microsoft.com/office/spreadsheetml/2009/9/main" uri="{E15A36E0-9728-4e99-A89B-3F7291B0FE68}">
          <x14:dataField pivotShowAs="percentOfParentRow"/>
        </ext>
      </extLst>
    </dataField>
    <dataField name="% of Total" fld="8" showDataAs="percentOfCol" baseField="2" baseItem="3" numFmtId="10"/>
  </dataFields>
  <formats count="4">
    <format dxfId="121">
      <pivotArea dataOnly="0" labelOnly="1" outline="0" fieldPosition="0">
        <references count="1">
          <reference field="4294967294" count="1">
            <x v="1"/>
          </reference>
        </references>
      </pivotArea>
    </format>
    <format dxfId="120">
      <pivotArea outline="0" fieldPosition="0">
        <references count="1">
          <reference field="4294967294" count="1">
            <x v="2"/>
          </reference>
        </references>
      </pivotArea>
    </format>
    <format dxfId="119">
      <pivotArea dataOnly="0" labelOnly="1" outline="0" fieldPosition="0">
        <references count="1">
          <reference field="4294967294" count="1">
            <x v="2"/>
          </reference>
        </references>
      </pivotArea>
    </format>
    <format dxfId="11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4EE93E8-7677-4F60-B797-DA48F0BAC869}" name="PivotTable4" cacheId="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3:J16" firstHeaderRow="0" firstDataRow="1" firstDataCol="1"/>
  <pivotFields count="11">
    <pivotField showAll="0"/>
    <pivotField showAll="0"/>
    <pivotField showAll="0"/>
    <pivotField axis="axisRow" showAll="0">
      <items count="25">
        <item x="0"/>
        <item m="1" x="12"/>
        <item m="1" x="18"/>
        <item m="1" x="21"/>
        <item x="1"/>
        <item x="2"/>
        <item x="3"/>
        <item x="4"/>
        <item m="1" x="22"/>
        <item x="5"/>
        <item m="1" x="16"/>
        <item m="1" x="13"/>
        <item x="6"/>
        <item m="1" x="23"/>
        <item x="7"/>
        <item m="1" x="19"/>
        <item x="8"/>
        <item m="1" x="17"/>
        <item m="1" x="20"/>
        <item x="9"/>
        <item x="10"/>
        <item m="1" x="14"/>
        <item m="1" x="15"/>
        <item x="11"/>
        <item t="default"/>
      </items>
    </pivotField>
    <pivotField showAll="0"/>
    <pivotField dataField="1" numFmtId="14" showAll="0"/>
    <pivotField showAll="0"/>
    <pivotField showAll="0"/>
    <pivotField dataField="1" showAll="0"/>
    <pivotField showAll="0"/>
    <pivotField showAll="0"/>
  </pivotFields>
  <rowFields count="1">
    <field x="3"/>
  </rowFields>
  <rowItems count="13">
    <i>
      <x/>
    </i>
    <i>
      <x v="4"/>
    </i>
    <i>
      <x v="5"/>
    </i>
    <i>
      <x v="6"/>
    </i>
    <i>
      <x v="7"/>
    </i>
    <i>
      <x v="9"/>
    </i>
    <i>
      <x v="12"/>
    </i>
    <i>
      <x v="14"/>
    </i>
    <i>
      <x v="16"/>
    </i>
    <i>
      <x v="19"/>
    </i>
    <i>
      <x v="20"/>
    </i>
    <i>
      <x v="23"/>
    </i>
    <i t="grand">
      <x/>
    </i>
  </rowItems>
  <colFields count="1">
    <field x="-2"/>
  </colFields>
  <colItems count="9">
    <i>
      <x/>
    </i>
    <i i="1">
      <x v="1"/>
    </i>
    <i i="2">
      <x v="2"/>
    </i>
    <i i="3">
      <x v="3"/>
    </i>
    <i i="4">
      <x v="4"/>
    </i>
    <i i="5">
      <x v="5"/>
    </i>
    <i i="6">
      <x v="6"/>
    </i>
    <i i="7">
      <x v="7"/>
    </i>
    <i i="8">
      <x v="8"/>
    </i>
  </colItems>
  <dataFields count="9">
    <dataField name="Total Revenue" fld="8" baseField="3" baseItem="0" numFmtId="164"/>
    <dataField name="Average" fld="8" subtotal="average" baseField="3" baseItem="0" numFmtId="164"/>
    <dataField name="# of Orders" fld="5" subtotal="count" baseField="3" baseItem="0"/>
    <dataField name="% of Total" fld="8" showDataAs="percentOfCol" baseField="3" baseItem="0" numFmtId="10"/>
    <dataField name="% of Anne" fld="8" showDataAs="percent" baseField="3" baseItem="0" numFmtId="10"/>
    <dataField name="Rank" fld="8" baseField="3" baseItem="0">
      <extLst>
        <ext xmlns:x14="http://schemas.microsoft.com/office/spreadsheetml/2009/9/main" uri="{E15A36E0-9728-4e99-A89B-3F7291B0FE68}">
          <x14:dataField pivotShowAs="rankDescending"/>
        </ext>
      </extLst>
    </dataField>
    <dataField name="Running Total" fld="8" showDataAs="runTotal" baseField="3" baseItem="0"/>
    <dataField name="% Running Total" fld="8" baseField="3" baseItem="0" numFmtId="10">
      <extLst>
        <ext xmlns:x14="http://schemas.microsoft.com/office/spreadsheetml/2009/9/main" uri="{E15A36E0-9728-4e99-A89B-3F7291B0FE68}">
          <x14:dataField pivotShowAs="percentOfRunningTotal"/>
        </ext>
      </extLst>
    </dataField>
    <dataField name="Change from Previous Row" fld="8" showDataAs="percentDiff" baseField="3" baseItem="1048828" numFmtId="10"/>
  </dataFields>
  <formats count="6">
    <format dxfId="107">
      <pivotArea outline="0" collapsedLevelsAreSubtotals="1" fieldPosition="0">
        <references count="1">
          <reference field="4294967294" count="1" selected="0">
            <x v="0"/>
          </reference>
        </references>
      </pivotArea>
    </format>
    <format dxfId="105">
      <pivotArea outline="0" collapsedLevelsAreSubtotals="1" fieldPosition="0">
        <references count="1">
          <reference field="4294967294" count="1" selected="0">
            <x v="1"/>
          </reference>
        </references>
      </pivotArea>
    </format>
    <format dxfId="96">
      <pivotArea outline="0" fieldPosition="0">
        <references count="1">
          <reference field="4294967294" count="1">
            <x v="3"/>
          </reference>
        </references>
      </pivotArea>
    </format>
    <format dxfId="86">
      <pivotArea outline="0" fieldPosition="0">
        <references count="1">
          <reference field="4294967294" count="1">
            <x v="4"/>
          </reference>
        </references>
      </pivotArea>
    </format>
    <format dxfId="41">
      <pivotArea outline="0" fieldPosition="0">
        <references count="1">
          <reference field="4294967294" count="1">
            <x v="7"/>
          </reference>
        </references>
      </pivotArea>
    </format>
    <format dxfId="20">
      <pivotArea outline="0" fieldPosition="0">
        <references count="1">
          <reference field="4294967294" count="1">
            <x v="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6"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10:E16" firstHeaderRow="1" firstDataRow="2" firstDataCol="1"/>
  <pivotFields count="3">
    <pivotField axis="axisRow" compact="0" outline="0" showAll="0">
      <items count="5">
        <item x="0"/>
        <item x="1"/>
        <item x="2"/>
        <item x="3"/>
        <item t="default"/>
      </items>
    </pivotField>
    <pivotField axis="axisCol" compact="0" outline="0" showAll="0">
      <items count="4">
        <item x="0"/>
        <item x="1"/>
        <item x="2"/>
        <item t="default"/>
      </items>
    </pivotField>
    <pivotField dataField="1" compact="0" outline="0" showAll="0"/>
  </pivotFields>
  <rowFields count="1">
    <field x="0"/>
  </rowFields>
  <rowItems count="5">
    <i>
      <x/>
    </i>
    <i>
      <x v="1"/>
    </i>
    <i>
      <x v="2"/>
    </i>
    <i>
      <x v="3"/>
    </i>
    <i t="grand">
      <x/>
    </i>
  </rowItems>
  <colFields count="1">
    <field x="1"/>
  </colFields>
  <colItems count="4">
    <i>
      <x/>
    </i>
    <i>
      <x v="1"/>
    </i>
    <i>
      <x v="2"/>
    </i>
    <i t="grand">
      <x/>
    </i>
  </colItems>
  <dataFields count="1">
    <dataField name="Index" fld="2" showDataAs="index" baseField="0" baseItem="0" numFmtId="2"/>
  </dataFields>
  <formats count="2">
    <format dxfId="116">
      <pivotArea outline="0" collapsedLevelsAreSubtotals="1" fieldPosition="0">
        <references count="2">
          <reference field="0" count="1" selected="0">
            <x v="3"/>
          </reference>
          <reference field="1" count="1" selected="0">
            <x v="1"/>
          </reference>
        </references>
      </pivotArea>
    </format>
    <format dxfId="115">
      <pivotArea dataOnly="0" labelOnly="1" outline="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5"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1:E7" firstHeaderRow="1" firstDataRow="2" firstDataCol="1"/>
  <pivotFields count="3">
    <pivotField axis="axisRow" compact="0" outline="0" showAll="0">
      <items count="5">
        <item x="0"/>
        <item x="1"/>
        <item x="2"/>
        <item x="3"/>
        <item t="default"/>
      </items>
    </pivotField>
    <pivotField axis="axisCol" compact="0" outline="0" showAll="0">
      <items count="4">
        <item x="0"/>
        <item x="1"/>
        <item x="2"/>
        <item t="default"/>
      </items>
    </pivotField>
    <pivotField dataField="1" compact="0" outline="0" showAll="0"/>
  </pivotFields>
  <rowFields count="1">
    <field x="0"/>
  </rowFields>
  <rowItems count="5">
    <i>
      <x/>
    </i>
    <i>
      <x v="1"/>
    </i>
    <i>
      <x v="2"/>
    </i>
    <i>
      <x v="3"/>
    </i>
    <i t="grand">
      <x/>
    </i>
  </rowItems>
  <colFields count="1">
    <field x="1"/>
  </colFields>
  <colItems count="4">
    <i>
      <x/>
    </i>
    <i>
      <x v="1"/>
    </i>
    <i>
      <x v="2"/>
    </i>
    <i t="grand">
      <x/>
    </i>
  </colItems>
  <dataFields count="1">
    <dataField name="Sum of Sales" fld="2" baseField="0" baseItem="0"/>
  </dataFields>
  <formats count="1">
    <format dxfId="117">
      <pivotArea dataOnly="0" labelOnly="1" outline="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F9448D-DFAC-4F89-9716-F324330EFED9}" name="PivotTable7" cacheId="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location ref="A3:D32" firstHeaderRow="1" firstDataRow="1" firstDataCol="3"/>
  <pivotFields count="11">
    <pivotField compact="0" outline="0" subtotalTop="0" showAll="0"/>
    <pivotField axis="axisRow" compact="0" outline="0" subtotalTop="0" showAll="0">
      <items count="5">
        <item x="0"/>
        <item x="1"/>
        <item x="2"/>
        <item x="3"/>
        <item t="default"/>
      </items>
    </pivotField>
    <pivotField axis="axisRow" compact="0" outline="0" subtotalTop="0" showAll="0">
      <items count="13">
        <item x="5"/>
        <item x="6"/>
        <item x="9"/>
        <item x="7"/>
        <item x="8"/>
        <item x="0"/>
        <item x="2"/>
        <item x="3"/>
        <item x="10"/>
        <item x="1"/>
        <item x="4"/>
        <item x="11"/>
        <item t="default"/>
      </items>
    </pivotField>
    <pivotField axis="axisRow" compact="0" outline="0" subtotalTop="0" showAll="0">
      <items count="25">
        <item x="0"/>
        <item m="1" x="12"/>
        <item m="1" x="18"/>
        <item m="1" x="21"/>
        <item x="1"/>
        <item x="2"/>
        <item x="3"/>
        <item x="4"/>
        <item m="1" x="22"/>
        <item x="5"/>
        <item m="1" x="16"/>
        <item m="1" x="13"/>
        <item x="6"/>
        <item m="1" x="23"/>
        <item x="7"/>
        <item m="1" x="19"/>
        <item x="8"/>
        <item m="1" x="17"/>
        <item m="1" x="20"/>
        <item x="9"/>
        <item x="10"/>
        <item m="1" x="14"/>
        <item m="1" x="15"/>
        <item x="11"/>
        <item t="default"/>
      </items>
    </pivotField>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s>
  <rowFields count="3">
    <field x="1"/>
    <field x="2"/>
    <field x="3"/>
  </rowFields>
  <rowItems count="29">
    <i>
      <x/>
      <x v="3"/>
      <x v="14"/>
    </i>
    <i t="default" r="1">
      <x v="3"/>
    </i>
    <i r="1">
      <x v="4"/>
      <x v="16"/>
    </i>
    <i t="default" r="1">
      <x v="4"/>
    </i>
    <i r="1">
      <x v="5"/>
      <x/>
    </i>
    <i t="default" r="1">
      <x v="5"/>
    </i>
    <i r="1">
      <x v="7"/>
      <x v="6"/>
    </i>
    <i t="default" r="1">
      <x v="7"/>
    </i>
    <i r="1">
      <x v="8"/>
      <x v="20"/>
    </i>
    <i t="default" r="1">
      <x v="8"/>
    </i>
    <i t="default">
      <x/>
    </i>
    <i>
      <x v="1"/>
      <x v="9"/>
      <x v="4"/>
    </i>
    <i t="default" r="1">
      <x v="9"/>
    </i>
    <i t="default">
      <x v="1"/>
    </i>
    <i>
      <x v="2"/>
      <x/>
      <x v="9"/>
    </i>
    <i t="default" r="1">
      <x/>
    </i>
    <i r="1">
      <x v="1"/>
      <x v="12"/>
    </i>
    <i t="default" r="1">
      <x v="1"/>
    </i>
    <i r="1">
      <x v="2"/>
      <x v="19"/>
    </i>
    <i t="default" r="1">
      <x v="2"/>
    </i>
    <i r="1">
      <x v="6"/>
      <x v="5"/>
    </i>
    <i t="default" r="1">
      <x v="6"/>
    </i>
    <i t="default">
      <x v="2"/>
    </i>
    <i>
      <x v="3"/>
      <x v="10"/>
      <x v="7"/>
    </i>
    <i t="default" r="1">
      <x v="10"/>
    </i>
    <i r="1">
      <x v="11"/>
      <x v="23"/>
    </i>
    <i t="default" r="1">
      <x v="11"/>
    </i>
    <i t="default">
      <x v="3"/>
    </i>
    <i t="grand">
      <x/>
    </i>
  </rowItems>
  <colItems count="1">
    <i/>
  </colItems>
  <dataFields count="1">
    <dataField name="Sum of Revenue" fld="8" baseField="3" baseItem="14" numFmtId="164"/>
  </dataField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BC2E2BF-BE87-457B-A8CF-A1F8C4EBEF46}" name="PivotTable4" cacheId="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location ref="K3:N16" firstHeaderRow="1" firstDataRow="1" firstDataCol="3"/>
  <pivotFields count="11">
    <pivotField compact="0" outline="0" subtotalTop="0" showAll="0" defaultSubtotal="0"/>
    <pivotField axis="axisRow" compact="0" outline="0" subtotalTop="0" showAll="0" defaultSubtotal="0">
      <items count="4">
        <item x="0"/>
        <item x="1"/>
        <item x="2"/>
        <item x="3"/>
      </items>
    </pivotField>
    <pivotField axis="axisRow" compact="0" outline="0" subtotalTop="0" showAll="0" defaultSubtotal="0">
      <items count="12">
        <item x="5"/>
        <item x="6"/>
        <item x="9"/>
        <item x="7"/>
        <item x="8"/>
        <item x="0"/>
        <item x="2"/>
        <item x="3"/>
        <item x="10"/>
        <item x="1"/>
        <item x="4"/>
        <item x="11"/>
      </items>
    </pivotField>
    <pivotField axis="axisRow" compact="0" outline="0" subtotalTop="0" showAll="0" defaultSubtotal="0">
      <items count="24">
        <item x="0"/>
        <item m="1" x="12"/>
        <item m="1" x="18"/>
        <item m="1" x="21"/>
        <item x="1"/>
        <item x="2"/>
        <item x="3"/>
        <item x="4"/>
        <item m="1" x="22"/>
        <item x="5"/>
        <item m="1" x="16"/>
        <item m="1" x="13"/>
        <item x="6"/>
        <item m="1" x="23"/>
        <item x="7"/>
        <item m="1" x="19"/>
        <item x="8"/>
        <item m="1" x="17"/>
        <item m="1" x="20"/>
        <item x="9"/>
        <item x="10"/>
        <item m="1" x="14"/>
        <item m="1" x="15"/>
        <item x="11"/>
      </items>
    </pivotField>
    <pivotField compact="0" outline="0" subtotalTop="0" showAll="0" defaultSubtotal="0"/>
    <pivotField compact="0" numFmtId="14"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s>
  <rowFields count="3">
    <field x="1"/>
    <field x="2"/>
    <field x="3"/>
  </rowFields>
  <rowItems count="13">
    <i>
      <x/>
      <x v="3"/>
      <x v="14"/>
    </i>
    <i r="1">
      <x v="4"/>
      <x v="16"/>
    </i>
    <i r="1">
      <x v="5"/>
      <x/>
    </i>
    <i r="1">
      <x v="7"/>
      <x v="6"/>
    </i>
    <i r="1">
      <x v="8"/>
      <x v="20"/>
    </i>
    <i>
      <x v="1"/>
      <x v="9"/>
      <x v="4"/>
    </i>
    <i>
      <x v="2"/>
      <x/>
      <x v="9"/>
    </i>
    <i r="1">
      <x v="1"/>
      <x v="12"/>
    </i>
    <i r="1">
      <x v="2"/>
      <x v="19"/>
    </i>
    <i r="1">
      <x v="6"/>
      <x v="5"/>
    </i>
    <i>
      <x v="3"/>
      <x v="10"/>
      <x v="7"/>
    </i>
    <i r="1">
      <x v="11"/>
      <x v="23"/>
    </i>
    <i t="grand">
      <x/>
    </i>
  </rowItems>
  <colItems count="1">
    <i/>
  </colItems>
  <dataFields count="1">
    <dataField name="Sum of Revenue" fld="8" baseField="3" baseItem="14" numFmtId="164"/>
  </dataField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94D4F7E-261F-4DA1-BE60-14D3710CB2A4}" name="PivotTable3" cacheId="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location ref="F3:I16" firstHeaderRow="1" firstDataRow="1" firstDataCol="3"/>
  <pivotFields count="11">
    <pivotField compact="0" outline="0" subtotalTop="0" showAll="0" defaultSubtotal="0"/>
    <pivotField axis="axisRow" compact="0" outline="0" subtotalTop="0" showAll="0" defaultSubtotal="0">
      <items count="4">
        <item x="0"/>
        <item x="1"/>
        <item x="2"/>
        <item x="3"/>
      </items>
    </pivotField>
    <pivotField axis="axisRow" compact="0" outline="0" subtotalTop="0" showAll="0" defaultSubtotal="0">
      <items count="12">
        <item x="5"/>
        <item x="6"/>
        <item x="9"/>
        <item x="7"/>
        <item x="8"/>
        <item x="0"/>
        <item x="2"/>
        <item x="3"/>
        <item x="10"/>
        <item x="1"/>
        <item x="4"/>
        <item x="11"/>
      </items>
    </pivotField>
    <pivotField axis="axisRow" compact="0" outline="0" subtotalTop="0" showAll="0" defaultSubtotal="0">
      <items count="24">
        <item x="0"/>
        <item m="1" x="12"/>
        <item m="1" x="18"/>
        <item m="1" x="21"/>
        <item x="1"/>
        <item x="2"/>
        <item x="3"/>
        <item x="4"/>
        <item m="1" x="22"/>
        <item x="5"/>
        <item m="1" x="16"/>
        <item m="1" x="13"/>
        <item x="6"/>
        <item m="1" x="23"/>
        <item x="7"/>
        <item m="1" x="19"/>
        <item x="8"/>
        <item m="1" x="17"/>
        <item m="1" x="20"/>
        <item x="9"/>
        <item x="10"/>
        <item m="1" x="14"/>
        <item m="1" x="15"/>
        <item x="11"/>
      </items>
    </pivotField>
    <pivotField compact="0" outline="0" subtotalTop="0" showAll="0" defaultSubtotal="0"/>
    <pivotField compact="0" numFmtId="14"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s>
  <rowFields count="3">
    <field x="1"/>
    <field x="2"/>
    <field x="3"/>
  </rowFields>
  <rowItems count="13">
    <i>
      <x/>
      <x v="3"/>
      <x v="14"/>
    </i>
    <i r="1">
      <x v="4"/>
      <x v="16"/>
    </i>
    <i r="1">
      <x v="5"/>
      <x/>
    </i>
    <i r="1">
      <x v="7"/>
      <x v="6"/>
    </i>
    <i r="1">
      <x v="8"/>
      <x v="20"/>
    </i>
    <i>
      <x v="1"/>
      <x v="9"/>
      <x v="4"/>
    </i>
    <i>
      <x v="2"/>
      <x/>
      <x v="9"/>
    </i>
    <i r="1">
      <x v="1"/>
      <x v="12"/>
    </i>
    <i r="1">
      <x v="2"/>
      <x v="19"/>
    </i>
    <i r="1">
      <x v="6"/>
      <x v="5"/>
    </i>
    <i>
      <x v="3"/>
      <x v="10"/>
      <x v="7"/>
    </i>
    <i r="1">
      <x v="11"/>
      <x v="23"/>
    </i>
    <i t="grand">
      <x/>
    </i>
  </rowItems>
  <colItems count="1">
    <i/>
  </colItems>
  <dataFields count="1">
    <dataField name="Sum of Revenue" fld="8" baseField="3" baseItem="14" numFmtId="164"/>
  </dataField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7" cacheId="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location ref="A3:D36" firstHeaderRow="1" firstDataRow="1" firstDataCol="3"/>
  <pivotFields count="11">
    <pivotField compact="0" outline="0" subtotalTop="0" showAll="0"/>
    <pivotField axis="axisRow" compact="0" outline="0" subtotalTop="0" showAll="0" sumSubtotal="1" countASubtotal="1" avgSubtotal="1" maxSubtotal="1" minSubtotal="1">
      <items count="9">
        <item x="0"/>
        <item x="1"/>
        <item x="2"/>
        <item x="3"/>
        <item t="sum"/>
        <item t="countA"/>
        <item t="avg"/>
        <item t="max"/>
        <item t="min"/>
      </items>
    </pivotField>
    <pivotField axis="axisRow" compact="0" outline="0" subtotalTop="0" showAll="0" defaultSubtotal="0">
      <items count="12">
        <item x="5"/>
        <item x="6"/>
        <item x="9"/>
        <item x="7"/>
        <item x="8"/>
        <item x="0"/>
        <item x="2"/>
        <item x="3"/>
        <item x="10"/>
        <item x="1"/>
        <item x="4"/>
        <item x="11"/>
      </items>
    </pivotField>
    <pivotField axis="axisRow" compact="0" outline="0" subtotalTop="0" showAll="0">
      <items count="25">
        <item x="0"/>
        <item m="1" x="12"/>
        <item m="1" x="18"/>
        <item m="1" x="21"/>
        <item x="1"/>
        <item x="2"/>
        <item x="3"/>
        <item x="4"/>
        <item m="1" x="22"/>
        <item x="5"/>
        <item m="1" x="16"/>
        <item m="1" x="13"/>
        <item x="6"/>
        <item m="1" x="23"/>
        <item x="7"/>
        <item m="1" x="19"/>
        <item x="8"/>
        <item m="1" x="17"/>
        <item m="1" x="20"/>
        <item x="9"/>
        <item x="10"/>
        <item m="1" x="14"/>
        <item m="1" x="15"/>
        <item x="11"/>
        <item t="default"/>
      </items>
    </pivotField>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s>
  <rowFields count="3">
    <field x="1"/>
    <field x="2"/>
    <field x="3"/>
  </rowFields>
  <rowItems count="33">
    <i>
      <x/>
      <x v="3"/>
      <x v="14"/>
    </i>
    <i r="1">
      <x v="4"/>
      <x v="16"/>
    </i>
    <i r="1">
      <x v="5"/>
      <x/>
    </i>
    <i r="1">
      <x v="7"/>
      <x v="6"/>
    </i>
    <i r="1">
      <x v="8"/>
      <x v="20"/>
    </i>
    <i t="sum">
      <x/>
    </i>
    <i t="countA">
      <x/>
    </i>
    <i t="avg">
      <x/>
    </i>
    <i t="max">
      <x/>
    </i>
    <i t="min">
      <x/>
    </i>
    <i>
      <x v="1"/>
      <x v="9"/>
      <x v="4"/>
    </i>
    <i t="sum">
      <x v="1"/>
    </i>
    <i t="countA">
      <x v="1"/>
    </i>
    <i t="avg">
      <x v="1"/>
    </i>
    <i t="max">
      <x v="1"/>
    </i>
    <i t="min">
      <x v="1"/>
    </i>
    <i>
      <x v="2"/>
      <x/>
      <x v="9"/>
    </i>
    <i r="1">
      <x v="1"/>
      <x v="12"/>
    </i>
    <i r="1">
      <x v="2"/>
      <x v="19"/>
    </i>
    <i r="1">
      <x v="6"/>
      <x v="5"/>
    </i>
    <i t="sum">
      <x v="2"/>
    </i>
    <i t="countA">
      <x v="2"/>
    </i>
    <i t="avg">
      <x v="2"/>
    </i>
    <i t="max">
      <x v="2"/>
    </i>
    <i t="min">
      <x v="2"/>
    </i>
    <i>
      <x v="3"/>
      <x v="10"/>
      <x v="7"/>
    </i>
    <i r="1">
      <x v="11"/>
      <x v="23"/>
    </i>
    <i t="sum">
      <x v="3"/>
    </i>
    <i t="countA">
      <x v="3"/>
    </i>
    <i t="avg">
      <x v="3"/>
    </i>
    <i t="max">
      <x v="3"/>
    </i>
    <i t="min">
      <x v="3"/>
    </i>
    <i t="grand">
      <x/>
    </i>
  </rowItems>
  <colItems count="1">
    <i/>
  </colItems>
  <dataFields count="1">
    <dataField name="Sum of Revenue" fld="8" baseField="3" baseItem="14" numFmtId="164"/>
  </dataFields>
  <pivotTableStyleInfo name="PivotStyleMedium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EB2F37A-B87A-430E-90BA-902ABC9176DE}" name="PivotTable1" cacheId="6" applyNumberFormats="0" applyBorderFormats="0" applyFontFormats="0" applyPatternFormats="0" applyAlignmentFormats="0" applyWidthHeightFormats="1" dataCaption="Values" missingCaption="0" updatedVersion="6" minRefreshableVersion="3" useAutoFormatting="1" itemPrintTitles="1" createdVersion="6" indent="0" compact="0" compactData="0" multipleFieldFilters="0">
  <location ref="A3:F11" firstHeaderRow="1" firstDataRow="2" firstDataCol="1"/>
  <pivotFields count="9">
    <pivotField axis="axisRow" compact="0" outline="0" showAll="0">
      <items count="7">
        <item x="2"/>
        <item x="3"/>
        <item x="5"/>
        <item x="4"/>
        <item x="1"/>
        <item x="0"/>
        <item t="default"/>
      </items>
      <extLst>
        <ext xmlns:x14="http://schemas.microsoft.com/office/spreadsheetml/2009/9/main" uri="{2946ED86-A175-432a-8AC1-64E0C546D7DE}">
          <x14:pivotField fillDownLabels="1"/>
        </ext>
      </extLst>
    </pivotField>
    <pivotField compact="0" outline="0" showAll="0">
      <items count="5">
        <item x="0"/>
        <item x="1"/>
        <item x="2"/>
        <item x="3"/>
        <item t="default"/>
      </items>
      <extLst>
        <ext xmlns:x14="http://schemas.microsoft.com/office/spreadsheetml/2009/9/main" uri="{2946ED86-A175-432a-8AC1-64E0C546D7DE}">
          <x14:pivotField fillDownLabels="1"/>
        </ext>
      </extLst>
    </pivotField>
    <pivotField axis="axisCol" compact="0" outline="0" showAll="0">
      <items count="5">
        <item x="3"/>
        <item x="1"/>
        <item x="0"/>
        <item x="2"/>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outline="0" showAll="0" sortType="descending">
      <items count="28">
        <item x="0"/>
        <item x="6"/>
        <item x="2"/>
        <item x="17"/>
        <item x="18"/>
        <item x="3"/>
        <item x="11"/>
        <item x="4"/>
        <item x="5"/>
        <item x="19"/>
        <item x="12"/>
        <item x="20"/>
        <item x="1"/>
        <item x="22"/>
        <item x="13"/>
        <item x="24"/>
        <item x="23"/>
        <item x="26"/>
        <item x="14"/>
        <item x="7"/>
        <item x="8"/>
        <item x="9"/>
        <item x="21"/>
        <item x="15"/>
        <item x="16"/>
        <item x="10"/>
        <item x="25"/>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0"/>
  </rowFields>
  <rowItems count="7">
    <i>
      <x/>
    </i>
    <i>
      <x v="1"/>
    </i>
    <i>
      <x v="2"/>
    </i>
    <i>
      <x v="3"/>
    </i>
    <i>
      <x v="4"/>
    </i>
    <i>
      <x v="5"/>
    </i>
    <i t="grand">
      <x/>
    </i>
  </rowItems>
  <colFields count="1">
    <field x="2"/>
  </colFields>
  <colItems count="5">
    <i>
      <x/>
    </i>
    <i>
      <x v="1"/>
    </i>
    <i>
      <x v="2"/>
    </i>
    <i>
      <x v="3"/>
    </i>
    <i t="grand">
      <x/>
    </i>
  </colItems>
  <dataFields count="1">
    <dataField name="Revenue " fld="6" baseField="0" baseItem="0" numFmtId="164"/>
  </dataFields>
  <formats count="4">
    <format dxfId="114">
      <pivotArea outline="0" collapsedLevelsAreSubtotals="1" fieldPosition="0"/>
    </format>
    <format dxfId="113">
      <pivotArea outline="0" fieldPosition="0">
        <references count="1">
          <reference field="4294967294" count="1">
            <x v="0"/>
          </reference>
        </references>
      </pivotArea>
    </format>
    <format dxfId="112">
      <pivotArea outline="0" fieldPosition="0">
        <references count="2">
          <reference field="0" count="1" selected="0">
            <x v="4"/>
          </reference>
          <reference field="2" count="1" selected="0">
            <x v="0"/>
          </reference>
        </references>
      </pivotArea>
    </format>
    <format dxfId="111">
      <pivotArea outline="0" fieldPosition="0">
        <references count="2">
          <reference field="0" count="1" selected="0">
            <x v="4"/>
          </reference>
          <reference field="2" count="1" selected="0">
            <x v="3"/>
          </reference>
        </references>
      </pivotArea>
    </format>
  </formats>
  <pivotTableStyleInfo showRowHeaders="1"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L2:M7" firstHeaderRow="1" firstDataRow="1" firstDataCol="1"/>
  <pivotFields count="9">
    <pivotField showAll="0"/>
    <pivotField showAll="0"/>
    <pivotField axis="axisRow" showAll="0">
      <items count="5">
        <item x="3"/>
        <item x="1"/>
        <item x="0"/>
        <item x="2"/>
        <item t="default"/>
      </items>
    </pivotField>
    <pivotField numFmtId="14" showAll="0"/>
    <pivotField showAll="0"/>
    <pivotField showAll="0"/>
    <pivotField dataField="1" showAll="0"/>
    <pivotField showAll="0"/>
    <pivotField showAll="0"/>
  </pivotFields>
  <rowFields count="1">
    <field x="2"/>
  </rowFields>
  <rowItems count="5">
    <i>
      <x/>
    </i>
    <i>
      <x v="1"/>
    </i>
    <i>
      <x v="2"/>
    </i>
    <i>
      <x v="3"/>
    </i>
    <i t="grand">
      <x/>
    </i>
  </rowItems>
  <colItems count="1">
    <i/>
  </colItems>
  <dataFields count="1">
    <dataField name="Sum of Revenue" fld="6" baseField="2"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E4:G17" firstHeaderRow="0" firstDataRow="1" firstDataCol="1"/>
  <pivotFields count="2">
    <pivotField axis="axisRow" showAll="0" sortType="descending">
      <items count="13">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3">
    <i>
      <x/>
    </i>
    <i>
      <x v="11"/>
    </i>
    <i>
      <x v="10"/>
    </i>
    <i>
      <x v="6"/>
    </i>
    <i>
      <x v="9"/>
    </i>
    <i>
      <x v="7"/>
    </i>
    <i>
      <x v="3"/>
    </i>
    <i>
      <x v="2"/>
    </i>
    <i>
      <x v="1"/>
    </i>
    <i>
      <x v="4"/>
    </i>
    <i>
      <x v="5"/>
    </i>
    <i>
      <x v="8"/>
    </i>
    <i t="grand">
      <x/>
    </i>
  </rowItems>
  <colFields count="1">
    <field x="-2"/>
  </colFields>
  <colItems count="2">
    <i>
      <x/>
    </i>
    <i i="1">
      <x v="1"/>
    </i>
  </colItems>
  <dataFields count="2">
    <dataField name="Sum of Value" fld="1" baseField="0" baseItem="0"/>
    <dataField name="Rank" fld="1" baseField="0" baseItem="0">
      <extLst>
        <ext xmlns:x14="http://schemas.microsoft.com/office/spreadsheetml/2009/9/main" uri="{E15A36E0-9728-4e99-A89B-3F7291B0FE68}">
          <x14:dataField pivotShowAs="rankDescending"/>
        </ext>
      </extLst>
    </dataField>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 xr10:uid="{74D1B940-8657-43B2-AED8-059924183256}" sourceName="Sector">
  <pivotTables>
    <pivotTable tabId="12" name="PivotTable1"/>
  </pivotTables>
  <data>
    <tabular pivotCacheId="281818265">
      <items count="6">
        <i x="2" s="1"/>
        <i x="3" s="1"/>
        <i x="5" s="1"/>
        <i x="4"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or" xr10:uid="{1FF4BC6C-386D-4264-AFA7-4270306AD65B}" cache="Slicer_Sector" caption="Sector" columnCount="3" rowHeight="241300"/>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Wood Type">
  <a:themeElements>
    <a:clrScheme name="Wood Type">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Wood Type">
      <a:majorFont>
        <a:latin typeface="Rockwell Condensed" panose="02060603050405020104"/>
        <a:ea typeface=""/>
        <a:cs typeface=""/>
        <a:font script="Grek" typeface="Cambria"/>
        <a:font script="Cyrl" typeface="Cambria"/>
        <a:font script="Jpan" typeface="HG明朝B"/>
        <a:font script="Hang" typeface="바탕"/>
        <a:font script="Hans" typeface="方正姚体"/>
        <a:font script="Hant" typeface="微軟正黑體"/>
        <a:font script="Arab" typeface="Times New Roman"/>
        <a:font script="Hebr" typeface="David"/>
        <a:font script="Thai" typeface="Jasmine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Rockwell" panose="02060603020205020403"/>
        <a:ea typeface=""/>
        <a:cs typeface=""/>
        <a:font script="Grek" typeface="Cambria"/>
        <a:font script="Cyrl" typeface="Cambria"/>
        <a:font script="Jpan" typeface="HG明朝B"/>
        <a:font script="Hang" typeface="바탕"/>
        <a:font script="Hans" typeface="方正姚体"/>
        <a:font script="Hant" typeface="標楷體"/>
        <a:font script="Arab" typeface="Times New Roman"/>
        <a:font script="Hebr" typeface="David"/>
        <a:font script="Thai" typeface="Jasmine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Wood Type">
      <a:fillStyleLst>
        <a:solidFill>
          <a:schemeClr val="phClr"/>
        </a:solidFill>
        <a:blipFill rotWithShape="1">
          <a:blip xmlns:r="http://schemas.openxmlformats.org/officeDocument/2006/relationships" r:embed="rId1">
            <a:duotone>
              <a:schemeClr val="phClr">
                <a:tint val="70000"/>
                <a:shade val="63000"/>
              </a:schemeClr>
              <a:schemeClr val="phClr">
                <a:tint val="10000"/>
                <a:satMod val="150000"/>
              </a:schemeClr>
            </a:duotone>
          </a:blip>
          <a:tile tx="0" ty="0" sx="60000" sy="59000" flip="none" algn="tl"/>
        </a:blipFill>
        <a:blipFill rotWithShape="1">
          <a:blip xmlns:r="http://schemas.openxmlformats.org/officeDocument/2006/relationships" r:embed="rId1">
            <a:duotone>
              <a:schemeClr val="phClr">
                <a:shade val="36000"/>
                <a:satMod val="120000"/>
              </a:schemeClr>
              <a:schemeClr val="phClr">
                <a:tint val="40000"/>
              </a:schemeClr>
            </a:duotone>
          </a:blip>
          <a:tile tx="0" ty="0" sx="60000" sy="59000" flip="none" algn="tl"/>
        </a:blip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oftEdge rad="12700"/>
          </a:effectLst>
        </a:effectStyle>
        <a:effectStyle>
          <a:effectLst>
            <a:outerShdw blurRad="50800" dist="19050" dir="5400000" algn="tl" rotWithShape="0">
              <a:srgbClr val="000000">
                <a:alpha val="60000"/>
              </a:srgbClr>
            </a:outerShdw>
            <a:softEdge rad="12700"/>
          </a:effectLst>
        </a:effectStyle>
      </a:effectStyleLst>
      <a:bgFillStyleLst>
        <a:solidFill>
          <a:schemeClr val="phClr"/>
        </a:solidFill>
        <a:solidFill>
          <a:schemeClr val="phClr">
            <a:shade val="97000"/>
            <a:satMod val="150000"/>
          </a:schemeClr>
        </a:solidFill>
        <a:blipFill rotWithShape="1">
          <a:blip xmlns:r="http://schemas.openxmlformats.org/officeDocument/2006/relationships" r:embed="rId1">
            <a:duotone>
              <a:schemeClr val="phClr">
                <a:tint val="75000"/>
                <a:shade val="58000"/>
                <a:satMod val="120000"/>
              </a:schemeClr>
              <a:schemeClr val="phClr">
                <a:tint val="50000"/>
                <a:shade val="96000"/>
              </a:schemeClr>
            </a:duotone>
          </a:blip>
          <a:tile tx="0" ty="0" sx="100000" sy="100000" flip="none" algn="tl"/>
        </a:blipFill>
      </a:bgFillStyleLst>
    </a:fmtScheme>
  </a:themeElements>
  <a:objectDefaults/>
  <a:extraClrSchemeLst/>
  <a:extLst>
    <a:ext uri="{05A4C25C-085E-4340-85A3-A5531E510DB2}">
      <thm15:themeFamily xmlns:thm15="http://schemas.microsoft.com/office/thememl/2012/main" name="Wood Type" id="{7ACABC62-BF99-48CF-A9DC-4DB89C7B13DC}" vid="{142A1326-48AB-42A9-8428-CB14AA30176D}"/>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14.xml"/><Relationship Id="rId4" Type="http://schemas.microsoft.com/office/2007/relationships/slicer" Target="../slicers/slicer1.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E15"/>
  <sheetViews>
    <sheetView workbookViewId="0">
      <selection activeCell="B7" sqref="B7"/>
    </sheetView>
  </sheetViews>
  <sheetFormatPr defaultRowHeight="13.8" x14ac:dyDescent="0.25"/>
  <cols>
    <col min="4" max="4" width="2.59765625" customWidth="1"/>
  </cols>
  <sheetData>
    <row r="1" spans="4:5" x14ac:dyDescent="0.25">
      <c r="D1" t="s">
        <v>160</v>
      </c>
    </row>
    <row r="2" spans="4:5" x14ac:dyDescent="0.25">
      <c r="D2" t="s">
        <v>161</v>
      </c>
    </row>
    <row r="4" spans="4:5" x14ac:dyDescent="0.25">
      <c r="D4" s="1" t="s">
        <v>21</v>
      </c>
    </row>
    <row r="5" spans="4:5" x14ac:dyDescent="0.25">
      <c r="E5" t="s">
        <v>162</v>
      </c>
    </row>
    <row r="9" spans="4:5" x14ac:dyDescent="0.25">
      <c r="E9" t="s">
        <v>163</v>
      </c>
    </row>
    <row r="10" spans="4:5" x14ac:dyDescent="0.25">
      <c r="E10" t="s">
        <v>164</v>
      </c>
    </row>
    <row r="11" spans="4:5" x14ac:dyDescent="0.25">
      <c r="E11" t="s">
        <v>165</v>
      </c>
    </row>
    <row r="12" spans="4:5" x14ac:dyDescent="0.25">
      <c r="E12" t="s">
        <v>166</v>
      </c>
    </row>
    <row r="13" spans="4:5" x14ac:dyDescent="0.25">
      <c r="E13" t="s">
        <v>182</v>
      </c>
    </row>
    <row r="14" spans="4:5" x14ac:dyDescent="0.25">
      <c r="E14" t="s">
        <v>183</v>
      </c>
    </row>
    <row r="15" spans="4:5" x14ac:dyDescent="0.25">
      <c r="E15" t="s">
        <v>184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7"/>
  <sheetViews>
    <sheetView workbookViewId="0">
      <selection activeCell="C4" sqref="C4"/>
    </sheetView>
  </sheetViews>
  <sheetFormatPr defaultRowHeight="14.4" x14ac:dyDescent="0.25"/>
  <cols>
    <col min="1" max="1" width="16.8984375" customWidth="1"/>
    <col min="2" max="2" width="38.59765625" customWidth="1"/>
    <col min="3" max="3" width="10" customWidth="1"/>
    <col min="4" max="4" width="12.5" customWidth="1"/>
    <col min="5" max="5" width="11.3984375" customWidth="1"/>
    <col min="6" max="6" width="10" customWidth="1"/>
    <col min="7" max="7" width="10" bestFit="1" customWidth="1"/>
  </cols>
  <sheetData>
    <row r="1" spans="1:5" ht="22.8" x14ac:dyDescent="0.4">
      <c r="A1" s="18"/>
    </row>
    <row r="2" spans="1:5" x14ac:dyDescent="0.3">
      <c r="A2" s="8"/>
    </row>
    <row r="3" spans="1:5" ht="13.8" x14ac:dyDescent="0.25">
      <c r="A3" s="20" t="s">
        <v>0</v>
      </c>
      <c r="B3" s="20" t="s">
        <v>4</v>
      </c>
      <c r="C3" s="22" t="s">
        <v>133</v>
      </c>
      <c r="D3" s="23" t="s">
        <v>132</v>
      </c>
      <c r="E3" s="29" t="s">
        <v>153</v>
      </c>
    </row>
    <row r="4" spans="1:5" ht="13.8" x14ac:dyDescent="0.25">
      <c r="A4" s="22" t="s">
        <v>127</v>
      </c>
      <c r="B4" s="22" t="s">
        <v>123</v>
      </c>
      <c r="C4" s="24">
        <v>51240</v>
      </c>
      <c r="D4" s="30">
        <v>22824</v>
      </c>
      <c r="E4" s="31">
        <v>28416</v>
      </c>
    </row>
    <row r="5" spans="1:5" ht="13.8" x14ac:dyDescent="0.25">
      <c r="A5" s="35" t="s">
        <v>127</v>
      </c>
      <c r="B5" s="25" t="s">
        <v>102</v>
      </c>
      <c r="C5" s="26">
        <v>34364</v>
      </c>
      <c r="D5" s="19">
        <v>15576</v>
      </c>
      <c r="E5" s="32">
        <v>18788</v>
      </c>
    </row>
    <row r="6" spans="1:5" ht="13.8" x14ac:dyDescent="0.25">
      <c r="A6" s="22" t="s">
        <v>154</v>
      </c>
      <c r="B6" s="21"/>
      <c r="C6" s="24">
        <v>85604</v>
      </c>
      <c r="D6" s="30">
        <v>38400</v>
      </c>
      <c r="E6" s="31">
        <v>47204</v>
      </c>
    </row>
    <row r="7" spans="1:5" ht="13.8" x14ac:dyDescent="0.25">
      <c r="A7" s="22" t="s">
        <v>129</v>
      </c>
      <c r="B7" s="22" t="s">
        <v>101</v>
      </c>
      <c r="C7" s="24">
        <v>869454</v>
      </c>
      <c r="D7" s="30">
        <v>382170</v>
      </c>
      <c r="E7" s="31">
        <v>487284</v>
      </c>
    </row>
    <row r="8" spans="1:5" ht="13.8" x14ac:dyDescent="0.25">
      <c r="A8" s="35" t="s">
        <v>129</v>
      </c>
      <c r="B8" s="25" t="s">
        <v>104</v>
      </c>
      <c r="C8" s="26">
        <v>59881</v>
      </c>
      <c r="D8" s="19">
        <v>25913</v>
      </c>
      <c r="E8" s="32">
        <v>33968</v>
      </c>
    </row>
    <row r="9" spans="1:5" ht="13.8" x14ac:dyDescent="0.25">
      <c r="A9" s="35" t="s">
        <v>129</v>
      </c>
      <c r="B9" s="25" t="s">
        <v>117</v>
      </c>
      <c r="C9" s="26">
        <v>57516</v>
      </c>
      <c r="D9" s="19">
        <v>26765</v>
      </c>
      <c r="E9" s="32">
        <v>30751</v>
      </c>
    </row>
    <row r="10" spans="1:5" ht="13.8" x14ac:dyDescent="0.25">
      <c r="A10" s="35" t="s">
        <v>129</v>
      </c>
      <c r="B10" s="25" t="s">
        <v>119</v>
      </c>
      <c r="C10" s="26">
        <v>55251</v>
      </c>
      <c r="D10" s="19">
        <v>24632</v>
      </c>
      <c r="E10" s="32">
        <v>30619</v>
      </c>
    </row>
    <row r="11" spans="1:5" ht="13.8" x14ac:dyDescent="0.25">
      <c r="A11" s="35" t="s">
        <v>129</v>
      </c>
      <c r="B11" s="25" t="s">
        <v>118</v>
      </c>
      <c r="C11" s="26">
        <v>46717</v>
      </c>
      <c r="D11" s="19">
        <v>19961</v>
      </c>
      <c r="E11" s="32">
        <v>26756</v>
      </c>
    </row>
    <row r="12" spans="1:5" ht="13.8" x14ac:dyDescent="0.25">
      <c r="A12" s="35" t="s">
        <v>129</v>
      </c>
      <c r="B12" s="25" t="s">
        <v>103</v>
      </c>
      <c r="C12" s="26">
        <v>42316</v>
      </c>
      <c r="D12" s="19">
        <v>18764</v>
      </c>
      <c r="E12" s="32">
        <v>23552</v>
      </c>
    </row>
    <row r="13" spans="1:5" ht="13.8" x14ac:dyDescent="0.25">
      <c r="A13" s="22" t="s">
        <v>155</v>
      </c>
      <c r="B13" s="21"/>
      <c r="C13" s="24">
        <v>1131135</v>
      </c>
      <c r="D13" s="30">
        <v>498205</v>
      </c>
      <c r="E13" s="31">
        <v>632930</v>
      </c>
    </row>
    <row r="14" spans="1:5" ht="13.8" x14ac:dyDescent="0.25">
      <c r="A14" s="22" t="s">
        <v>131</v>
      </c>
      <c r="B14" s="22" t="s">
        <v>115</v>
      </c>
      <c r="C14" s="24">
        <v>406326</v>
      </c>
      <c r="D14" s="30">
        <v>178585</v>
      </c>
      <c r="E14" s="31">
        <v>227741</v>
      </c>
    </row>
    <row r="15" spans="1:5" ht="13.8" x14ac:dyDescent="0.25">
      <c r="A15" s="35" t="s">
        <v>131</v>
      </c>
      <c r="B15" s="25" t="s">
        <v>124</v>
      </c>
      <c r="C15" s="26">
        <v>39250</v>
      </c>
      <c r="D15" s="19">
        <v>18614</v>
      </c>
      <c r="E15" s="32">
        <v>20636</v>
      </c>
    </row>
    <row r="16" spans="1:5" ht="13.8" x14ac:dyDescent="0.25">
      <c r="A16" s="35" t="s">
        <v>131</v>
      </c>
      <c r="B16" s="25" t="s">
        <v>122</v>
      </c>
      <c r="C16" s="26">
        <v>31369</v>
      </c>
      <c r="D16" s="19">
        <v>13730</v>
      </c>
      <c r="E16" s="32">
        <v>17639</v>
      </c>
    </row>
    <row r="17" spans="1:5" ht="13.8" x14ac:dyDescent="0.25">
      <c r="A17" s="22" t="s">
        <v>156</v>
      </c>
      <c r="B17" s="21"/>
      <c r="C17" s="24">
        <v>476945</v>
      </c>
      <c r="D17" s="30">
        <v>210929</v>
      </c>
      <c r="E17" s="31">
        <v>266016</v>
      </c>
    </row>
    <row r="18" spans="1:5" ht="13.8" x14ac:dyDescent="0.25">
      <c r="A18" s="22" t="s">
        <v>16</v>
      </c>
      <c r="B18" s="22" t="s">
        <v>112</v>
      </c>
      <c r="C18" s="24">
        <v>704359</v>
      </c>
      <c r="D18" s="30">
        <v>311381</v>
      </c>
      <c r="E18" s="31">
        <v>392978</v>
      </c>
    </row>
    <row r="19" spans="1:5" ht="13.8" x14ac:dyDescent="0.25">
      <c r="A19" s="35" t="s">
        <v>16</v>
      </c>
      <c r="B19" s="25" t="s">
        <v>125</v>
      </c>
      <c r="C19" s="26">
        <v>50030</v>
      </c>
      <c r="D19" s="19">
        <v>21612</v>
      </c>
      <c r="E19" s="32">
        <v>28418</v>
      </c>
    </row>
    <row r="20" spans="1:5" ht="13.8" x14ac:dyDescent="0.25">
      <c r="A20" s="35" t="s">
        <v>16</v>
      </c>
      <c r="B20" s="25" t="s">
        <v>120</v>
      </c>
      <c r="C20" s="26">
        <v>34710</v>
      </c>
      <c r="D20" s="19">
        <v>16423</v>
      </c>
      <c r="E20" s="32">
        <v>18287</v>
      </c>
    </row>
    <row r="21" spans="1:5" ht="13.8" x14ac:dyDescent="0.25">
      <c r="A21" s="35" t="s">
        <v>16</v>
      </c>
      <c r="B21" s="25" t="s">
        <v>116</v>
      </c>
      <c r="C21" s="26">
        <v>31021</v>
      </c>
      <c r="D21" s="19">
        <v>13745</v>
      </c>
      <c r="E21" s="32">
        <v>17276</v>
      </c>
    </row>
    <row r="22" spans="1:5" ht="13.8" x14ac:dyDescent="0.25">
      <c r="A22" s="22" t="s">
        <v>157</v>
      </c>
      <c r="B22" s="21"/>
      <c r="C22" s="24">
        <v>820120</v>
      </c>
      <c r="D22" s="30">
        <v>363161</v>
      </c>
      <c r="E22" s="31">
        <v>456959</v>
      </c>
    </row>
    <row r="23" spans="1:5" ht="13.8" x14ac:dyDescent="0.25">
      <c r="A23" s="22" t="s">
        <v>130</v>
      </c>
      <c r="B23" s="22" t="s">
        <v>105</v>
      </c>
      <c r="C23" s="24">
        <v>750163</v>
      </c>
      <c r="D23" s="30">
        <v>334614</v>
      </c>
      <c r="E23" s="31">
        <v>415549</v>
      </c>
    </row>
    <row r="24" spans="1:5" ht="13.8" x14ac:dyDescent="0.25">
      <c r="A24" s="35" t="s">
        <v>130</v>
      </c>
      <c r="B24" s="25" t="s">
        <v>106</v>
      </c>
      <c r="C24" s="26">
        <v>390978</v>
      </c>
      <c r="D24" s="19">
        <v>177281</v>
      </c>
      <c r="E24" s="32">
        <v>213697</v>
      </c>
    </row>
    <row r="25" spans="1:5" ht="13.8" x14ac:dyDescent="0.25">
      <c r="A25" s="35" t="s">
        <v>130</v>
      </c>
      <c r="B25" s="25" t="s">
        <v>110</v>
      </c>
      <c r="C25" s="26">
        <v>72680</v>
      </c>
      <c r="D25" s="19">
        <v>31946</v>
      </c>
      <c r="E25" s="32">
        <v>40734</v>
      </c>
    </row>
    <row r="26" spans="1:5" ht="13.8" x14ac:dyDescent="0.25">
      <c r="A26" s="35" t="s">
        <v>130</v>
      </c>
      <c r="B26" s="25" t="s">
        <v>121</v>
      </c>
      <c r="C26" s="26">
        <v>62744</v>
      </c>
      <c r="D26" s="19">
        <v>28644</v>
      </c>
      <c r="E26" s="32">
        <v>34100</v>
      </c>
    </row>
    <row r="27" spans="1:5" ht="13.8" x14ac:dyDescent="0.25">
      <c r="A27" s="22" t="s">
        <v>158</v>
      </c>
      <c r="B27" s="21"/>
      <c r="C27" s="24">
        <v>1276565</v>
      </c>
      <c r="D27" s="30">
        <v>572485</v>
      </c>
      <c r="E27" s="31">
        <v>704080</v>
      </c>
    </row>
    <row r="28" spans="1:5" ht="13.8" x14ac:dyDescent="0.25">
      <c r="A28" s="22" t="s">
        <v>126</v>
      </c>
      <c r="B28" s="22" t="s">
        <v>100</v>
      </c>
      <c r="C28" s="24">
        <v>622794</v>
      </c>
      <c r="D28" s="30">
        <v>274978</v>
      </c>
      <c r="E28" s="31">
        <v>347816</v>
      </c>
    </row>
    <row r="29" spans="1:5" ht="13.8" x14ac:dyDescent="0.25">
      <c r="A29" s="35" t="s">
        <v>126</v>
      </c>
      <c r="B29" s="25" t="s">
        <v>109</v>
      </c>
      <c r="C29" s="26">
        <v>613514</v>
      </c>
      <c r="D29" s="19">
        <v>275105</v>
      </c>
      <c r="E29" s="32">
        <v>338409</v>
      </c>
    </row>
    <row r="30" spans="1:5" ht="13.8" x14ac:dyDescent="0.25">
      <c r="A30" s="35" t="s">
        <v>126</v>
      </c>
      <c r="B30" s="25" t="s">
        <v>128</v>
      </c>
      <c r="C30" s="26">
        <v>568851</v>
      </c>
      <c r="D30" s="19">
        <v>252522</v>
      </c>
      <c r="E30" s="32">
        <v>316329</v>
      </c>
    </row>
    <row r="31" spans="1:5" ht="13.8" x14ac:dyDescent="0.25">
      <c r="A31" s="35" t="s">
        <v>126</v>
      </c>
      <c r="B31" s="25" t="s">
        <v>108</v>
      </c>
      <c r="C31" s="26">
        <v>498937</v>
      </c>
      <c r="D31" s="19">
        <v>219978</v>
      </c>
      <c r="E31" s="32">
        <v>278959</v>
      </c>
    </row>
    <row r="32" spans="1:5" ht="13.8" x14ac:dyDescent="0.25">
      <c r="A32" s="35" t="s">
        <v>126</v>
      </c>
      <c r="B32" s="25" t="s">
        <v>107</v>
      </c>
      <c r="C32" s="26">
        <v>427349</v>
      </c>
      <c r="D32" s="19">
        <v>189331</v>
      </c>
      <c r="E32" s="32">
        <v>238018</v>
      </c>
    </row>
    <row r="33" spans="1:5" ht="13.8" x14ac:dyDescent="0.25">
      <c r="A33" s="35" t="s">
        <v>126</v>
      </c>
      <c r="B33" s="25" t="s">
        <v>111</v>
      </c>
      <c r="C33" s="26">
        <v>71651</v>
      </c>
      <c r="D33" s="19">
        <v>32471</v>
      </c>
      <c r="E33" s="32">
        <v>39180</v>
      </c>
    </row>
    <row r="34" spans="1:5" ht="13.8" x14ac:dyDescent="0.25">
      <c r="A34" s="35" t="s">
        <v>126</v>
      </c>
      <c r="B34" s="25" t="s">
        <v>114</v>
      </c>
      <c r="C34" s="26">
        <v>60299</v>
      </c>
      <c r="D34" s="19">
        <v>27049</v>
      </c>
      <c r="E34" s="32">
        <v>33250</v>
      </c>
    </row>
    <row r="35" spans="1:5" ht="13.8" x14ac:dyDescent="0.25">
      <c r="A35" s="35" t="s">
        <v>126</v>
      </c>
      <c r="B35" s="25" t="s">
        <v>113</v>
      </c>
      <c r="C35" s="26">
        <v>54048</v>
      </c>
      <c r="D35" s="19">
        <v>23780</v>
      </c>
      <c r="E35" s="32">
        <v>30268</v>
      </c>
    </row>
    <row r="36" spans="1:5" ht="13.8" x14ac:dyDescent="0.25">
      <c r="A36" s="22" t="s">
        <v>159</v>
      </c>
      <c r="B36" s="21"/>
      <c r="C36" s="24">
        <v>2917443</v>
      </c>
      <c r="D36" s="30">
        <v>1295214</v>
      </c>
      <c r="E36" s="31">
        <v>1622229</v>
      </c>
    </row>
    <row r="37" spans="1:5" ht="13.8" x14ac:dyDescent="0.25">
      <c r="A37" s="27" t="s">
        <v>19</v>
      </c>
      <c r="B37" s="36"/>
      <c r="C37" s="28">
        <v>6707812</v>
      </c>
      <c r="D37" s="33">
        <v>2978394</v>
      </c>
      <c r="E37" s="34">
        <v>3729418</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3C6D7-6D56-4DF8-A4EC-ECE543CC647A}">
  <dimension ref="A3:N44"/>
  <sheetViews>
    <sheetView topLeftCell="A2" workbookViewId="0">
      <selection activeCell="B21" sqref="B20:N21"/>
      <pivotSelection pane="bottomRight" showHeader="1" extendable="1" axis="axisRow" dimension="1" start="15" min="12" max="16" activeRow="20" activeCol="1" previousRow="19" previousCol="1" click="1" r:id="rId1">
        <pivotArea dataOnly="0" axis="axisRow" fieldPosition="0">
          <references count="1">
            <reference field="4" count="2">
              <x v="24"/>
              <x v="26"/>
            </reference>
          </references>
        </pivotArea>
      </pivotSelection>
    </sheetView>
  </sheetViews>
  <sheetFormatPr defaultRowHeight="14.4" x14ac:dyDescent="0.25"/>
  <cols>
    <col min="1" max="1" width="39.09765625" customWidth="1"/>
    <col min="2" max="2" width="35.09765625" customWidth="1"/>
    <col min="3" max="14" width="13" customWidth="1"/>
  </cols>
  <sheetData>
    <row r="3" spans="1:14" ht="13.8" x14ac:dyDescent="0.25">
      <c r="C3" s="5" t="s">
        <v>2</v>
      </c>
      <c r="D3" s="5" t="s">
        <v>190</v>
      </c>
    </row>
    <row r="4" spans="1:14" ht="13.8" x14ac:dyDescent="0.25">
      <c r="C4" t="s">
        <v>17</v>
      </c>
      <c r="F4" t="s">
        <v>12</v>
      </c>
      <c r="I4" t="s">
        <v>10</v>
      </c>
      <c r="L4" t="s">
        <v>15</v>
      </c>
    </row>
    <row r="5" spans="1:14" ht="13.8" x14ac:dyDescent="0.25">
      <c r="A5" s="5" t="s">
        <v>0</v>
      </c>
      <c r="B5" s="5" t="s">
        <v>4</v>
      </c>
      <c r="C5" t="s">
        <v>60</v>
      </c>
      <c r="D5" t="s">
        <v>188</v>
      </c>
      <c r="E5" t="s">
        <v>189</v>
      </c>
      <c r="F5" t="s">
        <v>60</v>
      </c>
      <c r="G5" t="s">
        <v>188</v>
      </c>
      <c r="H5" t="s">
        <v>189</v>
      </c>
      <c r="I5" t="s">
        <v>60</v>
      </c>
      <c r="J5" t="s">
        <v>188</v>
      </c>
      <c r="K5" t="s">
        <v>189</v>
      </c>
      <c r="L5" t="s">
        <v>60</v>
      </c>
      <c r="M5" t="s">
        <v>188</v>
      </c>
      <c r="N5" t="s">
        <v>189</v>
      </c>
    </row>
    <row r="6" spans="1:14" ht="13.8" x14ac:dyDescent="0.25">
      <c r="A6" t="s">
        <v>127</v>
      </c>
      <c r="C6" s="19"/>
      <c r="D6" s="19"/>
      <c r="E6" s="19"/>
      <c r="F6" s="19"/>
      <c r="G6" s="19"/>
      <c r="H6" s="19"/>
      <c r="I6" s="19"/>
      <c r="J6" s="19"/>
      <c r="K6" s="19"/>
      <c r="L6" s="19"/>
      <c r="M6" s="19"/>
      <c r="N6" s="19"/>
    </row>
    <row r="7" spans="1:14" ht="13.8" x14ac:dyDescent="0.25">
      <c r="B7" t="s">
        <v>102</v>
      </c>
      <c r="C7" s="19">
        <v>0</v>
      </c>
      <c r="D7" s="19">
        <v>0</v>
      </c>
      <c r="E7" s="19">
        <v>0</v>
      </c>
      <c r="F7" s="19">
        <v>4270</v>
      </c>
      <c r="G7" s="19">
        <v>1968</v>
      </c>
      <c r="H7" s="19">
        <v>2302</v>
      </c>
      <c r="I7" s="19">
        <v>22958</v>
      </c>
      <c r="J7" s="19">
        <v>10220</v>
      </c>
      <c r="K7" s="19">
        <v>12738</v>
      </c>
      <c r="L7" s="19">
        <v>7136</v>
      </c>
      <c r="M7" s="19">
        <v>3388</v>
      </c>
      <c r="N7" s="19">
        <v>3748</v>
      </c>
    </row>
    <row r="8" spans="1:14" ht="13.8" x14ac:dyDescent="0.25">
      <c r="B8" t="s">
        <v>123</v>
      </c>
      <c r="C8" s="19">
        <v>0</v>
      </c>
      <c r="D8" s="19">
        <v>0</v>
      </c>
      <c r="E8" s="19">
        <v>0</v>
      </c>
      <c r="F8" s="19">
        <v>18064</v>
      </c>
      <c r="G8" s="19">
        <v>7872</v>
      </c>
      <c r="H8" s="19">
        <v>10192</v>
      </c>
      <c r="I8" s="19">
        <v>18072</v>
      </c>
      <c r="J8" s="19">
        <v>8176</v>
      </c>
      <c r="K8" s="19">
        <v>9896</v>
      </c>
      <c r="L8" s="19">
        <v>15104</v>
      </c>
      <c r="M8" s="19">
        <v>6776</v>
      </c>
      <c r="N8" s="19">
        <v>8328</v>
      </c>
    </row>
    <row r="9" spans="1:14" ht="13.8" x14ac:dyDescent="0.25">
      <c r="C9" s="19"/>
      <c r="D9" s="19"/>
      <c r="E9" s="19"/>
      <c r="F9" s="19"/>
      <c r="G9" s="19"/>
      <c r="H9" s="19"/>
      <c r="I9" s="19"/>
      <c r="J9" s="19"/>
      <c r="K9" s="19"/>
      <c r="L9" s="19"/>
      <c r="M9" s="19"/>
      <c r="N9" s="19"/>
    </row>
    <row r="10" spans="1:14" ht="13.8" x14ac:dyDescent="0.25">
      <c r="A10" t="s">
        <v>129</v>
      </c>
      <c r="C10" s="19"/>
      <c r="D10" s="19"/>
      <c r="E10" s="19"/>
      <c r="F10" s="19"/>
      <c r="G10" s="19"/>
      <c r="H10" s="19"/>
      <c r="I10" s="19"/>
      <c r="J10" s="19"/>
      <c r="K10" s="19"/>
      <c r="L10" s="19"/>
      <c r="M10" s="19"/>
      <c r="N10" s="19"/>
    </row>
    <row r="11" spans="1:14" ht="13.8" x14ac:dyDescent="0.25">
      <c r="B11" t="s">
        <v>101</v>
      </c>
      <c r="C11" s="19">
        <v>0</v>
      </c>
      <c r="D11" s="19">
        <v>0</v>
      </c>
      <c r="E11" s="19">
        <v>0</v>
      </c>
      <c r="F11" s="19">
        <v>304198</v>
      </c>
      <c r="G11" s="19">
        <v>133824</v>
      </c>
      <c r="H11" s="19">
        <v>170374</v>
      </c>
      <c r="I11" s="19">
        <v>288409</v>
      </c>
      <c r="J11" s="19">
        <v>124684</v>
      </c>
      <c r="K11" s="19">
        <v>163725</v>
      </c>
      <c r="L11" s="19">
        <v>276847</v>
      </c>
      <c r="M11" s="19">
        <v>123662</v>
      </c>
      <c r="N11" s="19">
        <v>153185</v>
      </c>
    </row>
    <row r="12" spans="1:14" ht="13.8" x14ac:dyDescent="0.25">
      <c r="B12" t="s">
        <v>117</v>
      </c>
      <c r="C12" s="19">
        <v>0</v>
      </c>
      <c r="D12" s="19">
        <v>0</v>
      </c>
      <c r="E12" s="19">
        <v>0</v>
      </c>
      <c r="F12" s="19">
        <v>16784</v>
      </c>
      <c r="G12" s="19">
        <v>7872</v>
      </c>
      <c r="H12" s="19">
        <v>8912</v>
      </c>
      <c r="I12" s="19">
        <v>35200</v>
      </c>
      <c r="J12" s="19">
        <v>16352</v>
      </c>
      <c r="K12" s="19">
        <v>18848</v>
      </c>
      <c r="L12" s="19">
        <v>5532</v>
      </c>
      <c r="M12" s="19">
        <v>2541</v>
      </c>
      <c r="N12" s="19">
        <v>2991</v>
      </c>
    </row>
    <row r="13" spans="1:14" ht="13.8" x14ac:dyDescent="0.25">
      <c r="B13" t="s">
        <v>103</v>
      </c>
      <c r="C13" s="19">
        <v>6036</v>
      </c>
      <c r="D13" s="19">
        <v>2716</v>
      </c>
      <c r="E13" s="19">
        <v>3320</v>
      </c>
      <c r="F13" s="19">
        <v>18552</v>
      </c>
      <c r="G13" s="19">
        <v>7872</v>
      </c>
      <c r="H13" s="19">
        <v>10680</v>
      </c>
      <c r="I13" s="19">
        <v>17728</v>
      </c>
      <c r="J13" s="19">
        <v>8176</v>
      </c>
      <c r="K13" s="19">
        <v>9552</v>
      </c>
      <c r="L13" s="19">
        <v>0</v>
      </c>
      <c r="M13" s="19">
        <v>0</v>
      </c>
      <c r="N13" s="19">
        <v>0</v>
      </c>
    </row>
    <row r="14" spans="1:14" ht="13.8" x14ac:dyDescent="0.25">
      <c r="B14" t="s">
        <v>104</v>
      </c>
      <c r="C14" s="19">
        <v>0</v>
      </c>
      <c r="D14" s="19">
        <v>0</v>
      </c>
      <c r="E14" s="19">
        <v>0</v>
      </c>
      <c r="F14" s="19">
        <v>26484</v>
      </c>
      <c r="G14" s="19">
        <v>11808</v>
      </c>
      <c r="H14" s="19">
        <v>14676</v>
      </c>
      <c r="I14" s="19">
        <v>19544</v>
      </c>
      <c r="J14" s="19">
        <v>8176</v>
      </c>
      <c r="K14" s="19">
        <v>11368</v>
      </c>
      <c r="L14" s="19">
        <v>13853</v>
      </c>
      <c r="M14" s="19">
        <v>5929</v>
      </c>
      <c r="N14" s="19">
        <v>7924</v>
      </c>
    </row>
    <row r="15" spans="1:14" ht="13.8" x14ac:dyDescent="0.25">
      <c r="B15" t="s">
        <v>118</v>
      </c>
      <c r="C15" s="19">
        <v>0</v>
      </c>
      <c r="D15" s="19">
        <v>0</v>
      </c>
      <c r="E15" s="19">
        <v>0</v>
      </c>
      <c r="F15" s="19">
        <v>19520</v>
      </c>
      <c r="G15" s="19">
        <v>7872</v>
      </c>
      <c r="H15" s="19">
        <v>11648</v>
      </c>
      <c r="I15" s="19">
        <v>25378</v>
      </c>
      <c r="J15" s="19">
        <v>11242</v>
      </c>
      <c r="K15" s="19">
        <v>14136</v>
      </c>
      <c r="L15" s="19">
        <v>1819</v>
      </c>
      <c r="M15" s="19">
        <v>847</v>
      </c>
      <c r="N15" s="19">
        <v>972</v>
      </c>
    </row>
    <row r="16" spans="1:14" ht="13.8" x14ac:dyDescent="0.25">
      <c r="B16" t="s">
        <v>119</v>
      </c>
      <c r="C16" s="19">
        <v>0</v>
      </c>
      <c r="D16" s="19">
        <v>0</v>
      </c>
      <c r="E16" s="19">
        <v>0</v>
      </c>
      <c r="F16" s="19">
        <v>11550</v>
      </c>
      <c r="G16" s="19">
        <v>4920</v>
      </c>
      <c r="H16" s="19">
        <v>6630</v>
      </c>
      <c r="I16" s="19">
        <v>25861</v>
      </c>
      <c r="J16" s="19">
        <v>11242</v>
      </c>
      <c r="K16" s="19">
        <v>14619</v>
      </c>
      <c r="L16" s="19">
        <v>17840</v>
      </c>
      <c r="M16" s="19">
        <v>8470</v>
      </c>
      <c r="N16" s="19">
        <v>9370</v>
      </c>
    </row>
    <row r="17" spans="1:14" ht="13.8" x14ac:dyDescent="0.25">
      <c r="C17" s="19"/>
      <c r="D17" s="19"/>
      <c r="E17" s="19"/>
      <c r="F17" s="19"/>
      <c r="G17" s="19"/>
      <c r="H17" s="19"/>
      <c r="I17" s="19"/>
      <c r="J17" s="19"/>
      <c r="K17" s="19"/>
      <c r="L17" s="19"/>
      <c r="M17" s="19"/>
      <c r="N17" s="19"/>
    </row>
    <row r="18" spans="1:14" ht="13.8" x14ac:dyDescent="0.25">
      <c r="A18" t="s">
        <v>131</v>
      </c>
      <c r="C18" s="19"/>
      <c r="D18" s="19"/>
      <c r="E18" s="19"/>
      <c r="F18" s="19"/>
      <c r="G18" s="19"/>
      <c r="H18" s="19"/>
      <c r="I18" s="19"/>
      <c r="J18" s="19"/>
      <c r="K18" s="19"/>
      <c r="L18" s="19"/>
      <c r="M18" s="19"/>
      <c r="N18" s="19"/>
    </row>
    <row r="19" spans="1:14" ht="13.8" x14ac:dyDescent="0.25">
      <c r="B19" t="s">
        <v>122</v>
      </c>
      <c r="C19" s="19">
        <v>0</v>
      </c>
      <c r="D19" s="19">
        <v>0</v>
      </c>
      <c r="E19" s="19">
        <v>0</v>
      </c>
      <c r="F19" s="19">
        <v>13249</v>
      </c>
      <c r="G19" s="19">
        <v>5904</v>
      </c>
      <c r="H19" s="19">
        <v>7345</v>
      </c>
      <c r="I19" s="19">
        <v>13962</v>
      </c>
      <c r="J19" s="19">
        <v>6132</v>
      </c>
      <c r="K19" s="19">
        <v>7830</v>
      </c>
      <c r="L19" s="19">
        <v>4158</v>
      </c>
      <c r="M19" s="19">
        <v>1694</v>
      </c>
      <c r="N19" s="19">
        <v>2464</v>
      </c>
    </row>
    <row r="20" spans="1:14" ht="13.8" x14ac:dyDescent="0.25">
      <c r="B20" t="s">
        <v>115</v>
      </c>
      <c r="C20" s="19">
        <v>0</v>
      </c>
      <c r="D20" s="19">
        <v>0</v>
      </c>
      <c r="E20" s="19">
        <v>0</v>
      </c>
      <c r="F20" s="19">
        <v>133009</v>
      </c>
      <c r="G20" s="19">
        <v>57072</v>
      </c>
      <c r="H20" s="19">
        <v>75937</v>
      </c>
      <c r="I20" s="19">
        <v>159354</v>
      </c>
      <c r="J20" s="19">
        <v>71540</v>
      </c>
      <c r="K20" s="19">
        <v>87814</v>
      </c>
      <c r="L20" s="19">
        <v>113963</v>
      </c>
      <c r="M20" s="19">
        <v>49973</v>
      </c>
      <c r="N20" s="19">
        <v>63990</v>
      </c>
    </row>
    <row r="21" spans="1:14" ht="13.8" x14ac:dyDescent="0.25">
      <c r="B21" t="s">
        <v>124</v>
      </c>
      <c r="C21" s="19">
        <v>0</v>
      </c>
      <c r="D21" s="19">
        <v>0</v>
      </c>
      <c r="E21" s="19">
        <v>0</v>
      </c>
      <c r="F21" s="19">
        <v>4380</v>
      </c>
      <c r="G21" s="19">
        <v>1968</v>
      </c>
      <c r="H21" s="19">
        <v>2412</v>
      </c>
      <c r="I21" s="19">
        <v>17620</v>
      </c>
      <c r="J21" s="19">
        <v>8176</v>
      </c>
      <c r="K21" s="19">
        <v>9444</v>
      </c>
      <c r="L21" s="19">
        <v>17250</v>
      </c>
      <c r="M21" s="19">
        <v>8470</v>
      </c>
      <c r="N21" s="19">
        <v>8780</v>
      </c>
    </row>
    <row r="22" spans="1:14" ht="13.8" x14ac:dyDescent="0.25">
      <c r="C22" s="19"/>
      <c r="D22" s="19"/>
      <c r="E22" s="19"/>
      <c r="F22" s="19"/>
      <c r="G22" s="19"/>
      <c r="H22" s="19"/>
      <c r="I22" s="19"/>
      <c r="J22" s="19"/>
      <c r="K22" s="19"/>
      <c r="L22" s="19"/>
      <c r="M22" s="19"/>
      <c r="N22" s="19"/>
    </row>
    <row r="23" spans="1:14" ht="13.8" x14ac:dyDescent="0.25">
      <c r="A23" t="s">
        <v>16</v>
      </c>
      <c r="C23" s="19"/>
      <c r="D23" s="19"/>
      <c r="E23" s="19"/>
      <c r="F23" s="19"/>
      <c r="G23" s="19"/>
      <c r="H23" s="19"/>
      <c r="I23" s="19"/>
      <c r="J23" s="19"/>
      <c r="K23" s="19"/>
      <c r="L23" s="19"/>
      <c r="M23" s="19"/>
      <c r="N23" s="19"/>
    </row>
    <row r="24" spans="1:14" ht="13.8" x14ac:dyDescent="0.25">
      <c r="B24" t="s">
        <v>116</v>
      </c>
      <c r="C24" s="19">
        <v>28663</v>
      </c>
      <c r="D24" s="19">
        <v>12761</v>
      </c>
      <c r="E24" s="19">
        <v>15902</v>
      </c>
      <c r="F24" s="19">
        <v>2358</v>
      </c>
      <c r="G24" s="19">
        <v>984</v>
      </c>
      <c r="H24" s="19">
        <v>1374</v>
      </c>
      <c r="I24" s="19">
        <v>0</v>
      </c>
      <c r="J24" s="19">
        <v>0</v>
      </c>
      <c r="K24" s="19">
        <v>0</v>
      </c>
      <c r="L24" s="19">
        <v>0</v>
      </c>
      <c r="M24" s="19">
        <v>0</v>
      </c>
      <c r="N24" s="19">
        <v>0</v>
      </c>
    </row>
    <row r="25" spans="1:14" ht="13.8" x14ac:dyDescent="0.25">
      <c r="B25" t="s">
        <v>112</v>
      </c>
      <c r="C25" s="19">
        <v>0</v>
      </c>
      <c r="D25" s="19">
        <v>0</v>
      </c>
      <c r="E25" s="19">
        <v>0</v>
      </c>
      <c r="F25" s="19">
        <v>185286</v>
      </c>
      <c r="G25" s="19">
        <v>82656</v>
      </c>
      <c r="H25" s="19">
        <v>102630</v>
      </c>
      <c r="I25" s="19">
        <v>224935</v>
      </c>
      <c r="J25" s="19">
        <v>99134</v>
      </c>
      <c r="K25" s="19">
        <v>125801</v>
      </c>
      <c r="L25" s="19">
        <v>294138</v>
      </c>
      <c r="M25" s="19">
        <v>129591</v>
      </c>
      <c r="N25" s="19">
        <v>164547</v>
      </c>
    </row>
    <row r="26" spans="1:14" ht="13.8" x14ac:dyDescent="0.25">
      <c r="B26" t="s">
        <v>125</v>
      </c>
      <c r="C26" s="19">
        <v>0</v>
      </c>
      <c r="D26" s="19">
        <v>0</v>
      </c>
      <c r="E26" s="19">
        <v>0</v>
      </c>
      <c r="F26" s="19">
        <v>30104</v>
      </c>
      <c r="G26" s="19">
        <v>12792</v>
      </c>
      <c r="H26" s="19">
        <v>17312</v>
      </c>
      <c r="I26" s="19">
        <v>4614</v>
      </c>
      <c r="J26" s="19">
        <v>2044</v>
      </c>
      <c r="K26" s="19">
        <v>2570</v>
      </c>
      <c r="L26" s="19">
        <v>15312</v>
      </c>
      <c r="M26" s="19">
        <v>6776</v>
      </c>
      <c r="N26" s="19">
        <v>8536</v>
      </c>
    </row>
    <row r="27" spans="1:14" ht="13.8" x14ac:dyDescent="0.25">
      <c r="B27" t="s">
        <v>120</v>
      </c>
      <c r="C27" s="19">
        <v>0</v>
      </c>
      <c r="D27" s="19">
        <v>0</v>
      </c>
      <c r="E27" s="19">
        <v>0</v>
      </c>
      <c r="F27" s="19">
        <v>4282</v>
      </c>
      <c r="G27" s="19">
        <v>1968</v>
      </c>
      <c r="H27" s="19">
        <v>2314</v>
      </c>
      <c r="I27" s="19">
        <v>21488</v>
      </c>
      <c r="J27" s="19">
        <v>10220</v>
      </c>
      <c r="K27" s="19">
        <v>11268</v>
      </c>
      <c r="L27" s="19">
        <v>8940</v>
      </c>
      <c r="M27" s="19">
        <v>4235</v>
      </c>
      <c r="N27" s="19">
        <v>4705</v>
      </c>
    </row>
    <row r="28" spans="1:14" ht="13.8" x14ac:dyDescent="0.25">
      <c r="C28" s="19"/>
      <c r="D28" s="19"/>
      <c r="E28" s="19"/>
      <c r="F28" s="19"/>
      <c r="G28" s="19"/>
      <c r="H28" s="19"/>
      <c r="I28" s="19"/>
      <c r="J28" s="19"/>
      <c r="K28" s="19"/>
      <c r="L28" s="19"/>
      <c r="M28" s="19"/>
      <c r="N28" s="19"/>
    </row>
    <row r="29" spans="1:14" ht="13.8" x14ac:dyDescent="0.25">
      <c r="A29" t="s">
        <v>130</v>
      </c>
      <c r="C29" s="19"/>
      <c r="D29" s="19"/>
      <c r="E29" s="19"/>
      <c r="F29" s="19"/>
      <c r="G29" s="19"/>
      <c r="H29" s="19"/>
      <c r="I29" s="19"/>
      <c r="J29" s="19"/>
      <c r="K29" s="19"/>
      <c r="L29" s="19"/>
      <c r="M29" s="19"/>
      <c r="N29" s="19"/>
    </row>
    <row r="30" spans="1:14" ht="13.8" x14ac:dyDescent="0.25">
      <c r="B30" t="s">
        <v>105</v>
      </c>
      <c r="C30" s="19">
        <v>0</v>
      </c>
      <c r="D30" s="19">
        <v>0</v>
      </c>
      <c r="E30" s="19">
        <v>0</v>
      </c>
      <c r="F30" s="19">
        <v>233435</v>
      </c>
      <c r="G30" s="19">
        <v>103320</v>
      </c>
      <c r="H30" s="19">
        <v>130115</v>
      </c>
      <c r="I30" s="19">
        <v>235761</v>
      </c>
      <c r="J30" s="19">
        <v>104244</v>
      </c>
      <c r="K30" s="19">
        <v>131517</v>
      </c>
      <c r="L30" s="19">
        <v>280967</v>
      </c>
      <c r="M30" s="19">
        <v>127050</v>
      </c>
      <c r="N30" s="19">
        <v>153917</v>
      </c>
    </row>
    <row r="31" spans="1:14" ht="13.8" x14ac:dyDescent="0.25">
      <c r="B31" t="s">
        <v>106</v>
      </c>
      <c r="C31" s="19">
        <v>0</v>
      </c>
      <c r="D31" s="19">
        <v>0</v>
      </c>
      <c r="E31" s="19">
        <v>0</v>
      </c>
      <c r="F31" s="19">
        <v>100784</v>
      </c>
      <c r="G31" s="19">
        <v>46248</v>
      </c>
      <c r="H31" s="19">
        <v>54536</v>
      </c>
      <c r="I31" s="19">
        <v>165727</v>
      </c>
      <c r="J31" s="19">
        <v>77672</v>
      </c>
      <c r="K31" s="19">
        <v>88055</v>
      </c>
      <c r="L31" s="19">
        <v>124467</v>
      </c>
      <c r="M31" s="19">
        <v>53361</v>
      </c>
      <c r="N31" s="19">
        <v>71106</v>
      </c>
    </row>
    <row r="32" spans="1:14" ht="13.8" x14ac:dyDescent="0.25">
      <c r="B32" t="s">
        <v>121</v>
      </c>
      <c r="C32" s="19">
        <v>0</v>
      </c>
      <c r="D32" s="19">
        <v>0</v>
      </c>
      <c r="E32" s="19">
        <v>0</v>
      </c>
      <c r="F32" s="19">
        <v>14497</v>
      </c>
      <c r="G32" s="19">
        <v>6888</v>
      </c>
      <c r="H32" s="19">
        <v>7609</v>
      </c>
      <c r="I32" s="19">
        <v>31057</v>
      </c>
      <c r="J32" s="19">
        <v>13286</v>
      </c>
      <c r="K32" s="19">
        <v>17771</v>
      </c>
      <c r="L32" s="19">
        <v>17190</v>
      </c>
      <c r="M32" s="19">
        <v>8470</v>
      </c>
      <c r="N32" s="19">
        <v>8720</v>
      </c>
    </row>
    <row r="33" spans="1:14" ht="13.8" x14ac:dyDescent="0.25">
      <c r="B33" t="s">
        <v>110</v>
      </c>
      <c r="C33" s="19">
        <v>38860</v>
      </c>
      <c r="D33" s="19">
        <v>16996</v>
      </c>
      <c r="E33" s="19">
        <v>21864</v>
      </c>
      <c r="F33" s="19">
        <v>22140</v>
      </c>
      <c r="G33" s="19">
        <v>9840</v>
      </c>
      <c r="H33" s="19">
        <v>12300</v>
      </c>
      <c r="I33" s="19">
        <v>11680</v>
      </c>
      <c r="J33" s="19">
        <v>5110</v>
      </c>
      <c r="K33" s="19">
        <v>6570</v>
      </c>
      <c r="L33" s="19">
        <v>0</v>
      </c>
      <c r="M33" s="19">
        <v>0</v>
      </c>
      <c r="N33" s="19">
        <v>0</v>
      </c>
    </row>
    <row r="34" spans="1:14" ht="13.8" x14ac:dyDescent="0.25">
      <c r="C34" s="19"/>
      <c r="D34" s="19"/>
      <c r="E34" s="19"/>
      <c r="F34" s="19"/>
      <c r="G34" s="19"/>
      <c r="H34" s="19"/>
      <c r="I34" s="19"/>
      <c r="J34" s="19"/>
      <c r="K34" s="19"/>
      <c r="L34" s="19"/>
      <c r="M34" s="19"/>
      <c r="N34" s="19"/>
    </row>
    <row r="35" spans="1:14" ht="13.8" x14ac:dyDescent="0.25">
      <c r="A35" t="s">
        <v>126</v>
      </c>
      <c r="C35" s="19"/>
      <c r="D35" s="19"/>
      <c r="E35" s="19"/>
      <c r="F35" s="19"/>
      <c r="G35" s="19"/>
      <c r="H35" s="19"/>
      <c r="I35" s="19"/>
      <c r="J35" s="19"/>
      <c r="K35" s="19"/>
      <c r="L35" s="19"/>
      <c r="M35" s="19"/>
      <c r="N35" s="19"/>
    </row>
    <row r="36" spans="1:14" ht="13.8" x14ac:dyDescent="0.25">
      <c r="B36" t="s">
        <v>100</v>
      </c>
      <c r="C36" s="19">
        <v>0</v>
      </c>
      <c r="D36" s="19">
        <v>0</v>
      </c>
      <c r="E36" s="19">
        <v>0</v>
      </c>
      <c r="F36" s="19">
        <v>185675</v>
      </c>
      <c r="G36" s="19">
        <v>83640</v>
      </c>
      <c r="H36" s="19">
        <v>102035</v>
      </c>
      <c r="I36" s="19">
        <v>245491</v>
      </c>
      <c r="J36" s="19">
        <v>108332</v>
      </c>
      <c r="K36" s="19">
        <v>137159</v>
      </c>
      <c r="L36" s="19">
        <v>191628</v>
      </c>
      <c r="M36" s="19">
        <v>83006</v>
      </c>
      <c r="N36" s="19">
        <v>108622</v>
      </c>
    </row>
    <row r="37" spans="1:14" ht="13.8" x14ac:dyDescent="0.25">
      <c r="B37" t="s">
        <v>128</v>
      </c>
      <c r="C37" s="19">
        <v>0</v>
      </c>
      <c r="D37" s="19">
        <v>0</v>
      </c>
      <c r="E37" s="19">
        <v>0</v>
      </c>
      <c r="F37" s="19">
        <v>190533</v>
      </c>
      <c r="G37" s="19">
        <v>83640</v>
      </c>
      <c r="H37" s="19">
        <v>106893</v>
      </c>
      <c r="I37" s="19">
        <v>200936</v>
      </c>
      <c r="J37" s="19">
        <v>90958</v>
      </c>
      <c r="K37" s="19">
        <v>109978</v>
      </c>
      <c r="L37" s="19">
        <v>177382</v>
      </c>
      <c r="M37" s="19">
        <v>77924</v>
      </c>
      <c r="N37" s="19">
        <v>99458</v>
      </c>
    </row>
    <row r="38" spans="1:14" ht="13.8" x14ac:dyDescent="0.25">
      <c r="B38" t="s">
        <v>111</v>
      </c>
      <c r="C38" s="19">
        <v>0</v>
      </c>
      <c r="D38" s="19">
        <v>0</v>
      </c>
      <c r="E38" s="19">
        <v>0</v>
      </c>
      <c r="F38" s="19">
        <v>20950</v>
      </c>
      <c r="G38" s="19">
        <v>9840</v>
      </c>
      <c r="H38" s="19">
        <v>11110</v>
      </c>
      <c r="I38" s="19">
        <v>41066</v>
      </c>
      <c r="J38" s="19">
        <v>18396</v>
      </c>
      <c r="K38" s="19">
        <v>22670</v>
      </c>
      <c r="L38" s="19">
        <v>9635</v>
      </c>
      <c r="M38" s="19">
        <v>4235</v>
      </c>
      <c r="N38" s="19">
        <v>5400</v>
      </c>
    </row>
    <row r="39" spans="1:14" ht="13.8" x14ac:dyDescent="0.25">
      <c r="B39" t="s">
        <v>113</v>
      </c>
      <c r="C39" s="19">
        <v>0</v>
      </c>
      <c r="D39" s="19">
        <v>0</v>
      </c>
      <c r="E39" s="19">
        <v>0</v>
      </c>
      <c r="F39" s="19">
        <v>20610</v>
      </c>
      <c r="G39" s="19">
        <v>8856</v>
      </c>
      <c r="H39" s="19">
        <v>11754</v>
      </c>
      <c r="I39" s="19">
        <v>7032</v>
      </c>
      <c r="J39" s="19">
        <v>3066</v>
      </c>
      <c r="K39" s="19">
        <v>3966</v>
      </c>
      <c r="L39" s="19">
        <v>26406</v>
      </c>
      <c r="M39" s="19">
        <v>11858</v>
      </c>
      <c r="N39" s="19">
        <v>14548</v>
      </c>
    </row>
    <row r="40" spans="1:14" ht="13.8" x14ac:dyDescent="0.25">
      <c r="B40" t="s">
        <v>107</v>
      </c>
      <c r="C40" s="19">
        <v>0</v>
      </c>
      <c r="D40" s="19">
        <v>0</v>
      </c>
      <c r="E40" s="19">
        <v>0</v>
      </c>
      <c r="F40" s="19">
        <v>178254</v>
      </c>
      <c r="G40" s="19">
        <v>79704</v>
      </c>
      <c r="H40" s="19">
        <v>98550</v>
      </c>
      <c r="I40" s="19">
        <v>149551</v>
      </c>
      <c r="J40" s="19">
        <v>66430</v>
      </c>
      <c r="K40" s="19">
        <v>83121</v>
      </c>
      <c r="L40" s="19">
        <v>99544</v>
      </c>
      <c r="M40" s="19">
        <v>43197</v>
      </c>
      <c r="N40" s="19">
        <v>56347</v>
      </c>
    </row>
    <row r="41" spans="1:14" ht="13.8" x14ac:dyDescent="0.25">
      <c r="B41" t="s">
        <v>108</v>
      </c>
      <c r="C41" s="19">
        <v>0</v>
      </c>
      <c r="D41" s="19">
        <v>0</v>
      </c>
      <c r="E41" s="19">
        <v>0</v>
      </c>
      <c r="F41" s="19">
        <v>182755</v>
      </c>
      <c r="G41" s="19">
        <v>81672</v>
      </c>
      <c r="H41" s="19">
        <v>101083</v>
      </c>
      <c r="I41" s="19">
        <v>173770</v>
      </c>
      <c r="J41" s="19">
        <v>75628</v>
      </c>
      <c r="K41" s="19">
        <v>98142</v>
      </c>
      <c r="L41" s="19">
        <v>142412</v>
      </c>
      <c r="M41" s="19">
        <v>62678</v>
      </c>
      <c r="N41" s="19">
        <v>79734</v>
      </c>
    </row>
    <row r="42" spans="1:14" ht="13.8" x14ac:dyDescent="0.25">
      <c r="B42" t="s">
        <v>109</v>
      </c>
      <c r="C42" s="19">
        <v>0</v>
      </c>
      <c r="D42" s="19">
        <v>0</v>
      </c>
      <c r="E42" s="19">
        <v>0</v>
      </c>
      <c r="F42" s="19">
        <v>204234</v>
      </c>
      <c r="G42" s="19">
        <v>92496</v>
      </c>
      <c r="H42" s="19">
        <v>111738</v>
      </c>
      <c r="I42" s="19">
        <v>205758</v>
      </c>
      <c r="J42" s="19">
        <v>91980</v>
      </c>
      <c r="K42" s="19">
        <v>113778</v>
      </c>
      <c r="L42" s="19">
        <v>203522</v>
      </c>
      <c r="M42" s="19">
        <v>90629</v>
      </c>
      <c r="N42" s="19">
        <v>112893</v>
      </c>
    </row>
    <row r="43" spans="1:14" ht="13.8" x14ac:dyDescent="0.25">
      <c r="B43" t="s">
        <v>114</v>
      </c>
      <c r="C43" s="19">
        <v>0</v>
      </c>
      <c r="D43" s="19">
        <v>0</v>
      </c>
      <c r="E43" s="19">
        <v>0</v>
      </c>
      <c r="F43" s="19">
        <v>17757</v>
      </c>
      <c r="G43" s="19">
        <v>8856</v>
      </c>
      <c r="H43" s="19">
        <v>8901</v>
      </c>
      <c r="I43" s="19">
        <v>30068</v>
      </c>
      <c r="J43" s="19">
        <v>12264</v>
      </c>
      <c r="K43" s="19">
        <v>17804</v>
      </c>
      <c r="L43" s="19">
        <v>12474</v>
      </c>
      <c r="M43" s="19">
        <v>5929</v>
      </c>
      <c r="N43" s="19">
        <v>6545</v>
      </c>
    </row>
    <row r="44" spans="1:14" ht="13.8" x14ac:dyDescent="0.25">
      <c r="C44" s="19"/>
      <c r="D44" s="19"/>
      <c r="E44" s="19"/>
      <c r="F44" s="19"/>
      <c r="G44" s="19"/>
      <c r="H44" s="19"/>
      <c r="I44" s="19"/>
      <c r="J44" s="19"/>
      <c r="K44" s="19"/>
      <c r="L44" s="19"/>
      <c r="M44" s="19"/>
      <c r="N44" s="1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1A514-746E-4CE6-9518-28CDC7D673E1}">
  <dimension ref="A1:F28"/>
  <sheetViews>
    <sheetView workbookViewId="0">
      <selection activeCell="C6" sqref="C6"/>
    </sheetView>
  </sheetViews>
  <sheetFormatPr defaultRowHeight="13.8" x14ac:dyDescent="0.25"/>
  <cols>
    <col min="1" max="1" width="11" customWidth="1"/>
    <col min="2" max="2" width="9.09765625" customWidth="1"/>
    <col min="3" max="3" width="35.09765625" customWidth="1"/>
    <col min="4" max="4" width="12.59765625" customWidth="1"/>
    <col min="5" max="5" width="10.09765625" customWidth="1"/>
    <col min="6" max="6" width="9.296875" customWidth="1"/>
  </cols>
  <sheetData>
    <row r="1" spans="1:6" x14ac:dyDescent="0.25">
      <c r="A1" t="s">
        <v>0</v>
      </c>
      <c r="B1" t="s">
        <v>1</v>
      </c>
      <c r="C1" t="s">
        <v>4</v>
      </c>
      <c r="D1" t="s">
        <v>60</v>
      </c>
      <c r="E1" t="s">
        <v>188</v>
      </c>
      <c r="F1" t="s">
        <v>189</v>
      </c>
    </row>
    <row r="2" spans="1:6" x14ac:dyDescent="0.25">
      <c r="A2" t="s">
        <v>127</v>
      </c>
      <c r="B2" t="s">
        <v>11</v>
      </c>
      <c r="C2" t="s">
        <v>123</v>
      </c>
      <c r="D2">
        <v>51240</v>
      </c>
      <c r="E2">
        <v>22824</v>
      </c>
      <c r="F2">
        <v>28416</v>
      </c>
    </row>
    <row r="3" spans="1:6" x14ac:dyDescent="0.25">
      <c r="A3" t="s">
        <v>127</v>
      </c>
      <c r="B3" t="s">
        <v>13</v>
      </c>
      <c r="C3" t="s">
        <v>102</v>
      </c>
      <c r="D3">
        <v>34364</v>
      </c>
      <c r="E3">
        <v>15576</v>
      </c>
      <c r="F3">
        <v>18788</v>
      </c>
    </row>
    <row r="4" spans="1:6" x14ac:dyDescent="0.25">
      <c r="A4" t="s">
        <v>129</v>
      </c>
      <c r="B4" t="s">
        <v>9</v>
      </c>
      <c r="C4" t="s">
        <v>103</v>
      </c>
      <c r="D4">
        <v>42316</v>
      </c>
      <c r="E4">
        <v>18764</v>
      </c>
      <c r="F4">
        <v>23552</v>
      </c>
    </row>
    <row r="5" spans="1:6" x14ac:dyDescent="0.25">
      <c r="A5" t="s">
        <v>129</v>
      </c>
      <c r="B5" t="s">
        <v>9</v>
      </c>
      <c r="C5" t="s">
        <v>118</v>
      </c>
      <c r="D5">
        <v>46717</v>
      </c>
      <c r="E5">
        <v>19961</v>
      </c>
      <c r="F5">
        <v>26756</v>
      </c>
    </row>
    <row r="6" spans="1:6" x14ac:dyDescent="0.25">
      <c r="A6" t="s">
        <v>129</v>
      </c>
      <c r="B6" t="s">
        <v>13</v>
      </c>
      <c r="C6" t="s">
        <v>101</v>
      </c>
      <c r="D6">
        <v>869454</v>
      </c>
      <c r="E6">
        <v>382170</v>
      </c>
      <c r="F6">
        <v>487284</v>
      </c>
    </row>
    <row r="7" spans="1:6" x14ac:dyDescent="0.25">
      <c r="A7" t="s">
        <v>129</v>
      </c>
      <c r="B7" t="s">
        <v>13</v>
      </c>
      <c r="C7" t="s">
        <v>117</v>
      </c>
      <c r="D7">
        <v>57516</v>
      </c>
      <c r="E7">
        <v>26765</v>
      </c>
      <c r="F7">
        <v>30751</v>
      </c>
    </row>
    <row r="8" spans="1:6" x14ac:dyDescent="0.25">
      <c r="A8" t="s">
        <v>129</v>
      </c>
      <c r="B8" t="s">
        <v>14</v>
      </c>
      <c r="C8" t="s">
        <v>104</v>
      </c>
      <c r="D8">
        <v>59881</v>
      </c>
      <c r="E8">
        <v>25913</v>
      </c>
      <c r="F8">
        <v>33968</v>
      </c>
    </row>
    <row r="9" spans="1:6" x14ac:dyDescent="0.25">
      <c r="A9" t="s">
        <v>129</v>
      </c>
      <c r="B9" t="s">
        <v>14</v>
      </c>
      <c r="C9" t="s">
        <v>119</v>
      </c>
      <c r="D9">
        <v>55251</v>
      </c>
      <c r="E9">
        <v>24632</v>
      </c>
      <c r="F9">
        <v>30619</v>
      </c>
    </row>
    <row r="10" spans="1:6" x14ac:dyDescent="0.25">
      <c r="A10" t="s">
        <v>131</v>
      </c>
      <c r="B10" t="s">
        <v>13</v>
      </c>
      <c r="C10" t="s">
        <v>122</v>
      </c>
      <c r="D10">
        <v>31369</v>
      </c>
      <c r="E10">
        <v>13730</v>
      </c>
      <c r="F10">
        <v>17639</v>
      </c>
    </row>
    <row r="11" spans="1:6" x14ac:dyDescent="0.25">
      <c r="A11" t="s">
        <v>131</v>
      </c>
      <c r="B11" t="s">
        <v>13</v>
      </c>
      <c r="C11" t="s">
        <v>115</v>
      </c>
      <c r="D11">
        <v>406326</v>
      </c>
      <c r="E11">
        <v>178585</v>
      </c>
      <c r="F11">
        <v>227741</v>
      </c>
    </row>
    <row r="12" spans="1:6" x14ac:dyDescent="0.25">
      <c r="A12" t="s">
        <v>131</v>
      </c>
      <c r="B12" t="s">
        <v>14</v>
      </c>
      <c r="C12" t="s">
        <v>124</v>
      </c>
      <c r="D12">
        <v>39250</v>
      </c>
      <c r="E12">
        <v>18614</v>
      </c>
      <c r="F12">
        <v>20636</v>
      </c>
    </row>
    <row r="13" spans="1:6" x14ac:dyDescent="0.25">
      <c r="A13" t="s">
        <v>16</v>
      </c>
      <c r="B13" t="s">
        <v>9</v>
      </c>
      <c r="C13" t="s">
        <v>125</v>
      </c>
      <c r="D13">
        <v>50030</v>
      </c>
      <c r="E13">
        <v>21612</v>
      </c>
      <c r="F13">
        <v>28418</v>
      </c>
    </row>
    <row r="14" spans="1:6" x14ac:dyDescent="0.25">
      <c r="A14" t="s">
        <v>16</v>
      </c>
      <c r="B14" t="s">
        <v>9</v>
      </c>
      <c r="C14" t="s">
        <v>120</v>
      </c>
      <c r="D14">
        <v>34710</v>
      </c>
      <c r="E14">
        <v>16423</v>
      </c>
      <c r="F14">
        <v>18287</v>
      </c>
    </row>
    <row r="15" spans="1:6" x14ac:dyDescent="0.25">
      <c r="A15" t="s">
        <v>16</v>
      </c>
      <c r="B15" t="s">
        <v>13</v>
      </c>
      <c r="C15" t="s">
        <v>112</v>
      </c>
      <c r="D15">
        <v>704359</v>
      </c>
      <c r="E15">
        <v>311381</v>
      </c>
      <c r="F15">
        <v>392978</v>
      </c>
    </row>
    <row r="16" spans="1:6" x14ac:dyDescent="0.25">
      <c r="A16" t="s">
        <v>16</v>
      </c>
      <c r="B16" t="s">
        <v>14</v>
      </c>
      <c r="C16" t="s">
        <v>116</v>
      </c>
      <c r="D16">
        <v>31021</v>
      </c>
      <c r="E16">
        <v>13745</v>
      </c>
      <c r="F16">
        <v>17276</v>
      </c>
    </row>
    <row r="17" spans="1:6" x14ac:dyDescent="0.25">
      <c r="A17" t="s">
        <v>130</v>
      </c>
      <c r="B17" t="s">
        <v>9</v>
      </c>
      <c r="C17" t="s">
        <v>105</v>
      </c>
      <c r="D17">
        <v>750163</v>
      </c>
      <c r="E17">
        <v>334614</v>
      </c>
      <c r="F17">
        <v>415549</v>
      </c>
    </row>
    <row r="18" spans="1:6" x14ac:dyDescent="0.25">
      <c r="A18" t="s">
        <v>130</v>
      </c>
      <c r="B18" t="s">
        <v>9</v>
      </c>
      <c r="C18" t="s">
        <v>121</v>
      </c>
      <c r="D18">
        <v>62744</v>
      </c>
      <c r="E18">
        <v>28644</v>
      </c>
      <c r="F18">
        <v>34100</v>
      </c>
    </row>
    <row r="19" spans="1:6" x14ac:dyDescent="0.25">
      <c r="A19" t="s">
        <v>130</v>
      </c>
      <c r="B19" t="s">
        <v>11</v>
      </c>
      <c r="C19" t="s">
        <v>106</v>
      </c>
      <c r="D19">
        <v>390978</v>
      </c>
      <c r="E19">
        <v>177281</v>
      </c>
      <c r="F19">
        <v>213697</v>
      </c>
    </row>
    <row r="20" spans="1:6" x14ac:dyDescent="0.25">
      <c r="A20" t="s">
        <v>130</v>
      </c>
      <c r="B20" t="s">
        <v>11</v>
      </c>
      <c r="C20" t="s">
        <v>110</v>
      </c>
      <c r="D20">
        <v>72680</v>
      </c>
      <c r="E20">
        <v>31946</v>
      </c>
      <c r="F20">
        <v>40734</v>
      </c>
    </row>
    <row r="21" spans="1:6" x14ac:dyDescent="0.25">
      <c r="A21" t="s">
        <v>126</v>
      </c>
      <c r="B21" t="s">
        <v>9</v>
      </c>
      <c r="C21" t="s">
        <v>100</v>
      </c>
      <c r="D21">
        <v>622794</v>
      </c>
      <c r="E21">
        <v>274978</v>
      </c>
      <c r="F21">
        <v>347816</v>
      </c>
    </row>
    <row r="22" spans="1:6" x14ac:dyDescent="0.25">
      <c r="A22" t="s">
        <v>126</v>
      </c>
      <c r="B22" t="s">
        <v>9</v>
      </c>
      <c r="C22" t="s">
        <v>111</v>
      </c>
      <c r="D22">
        <v>71651</v>
      </c>
      <c r="E22">
        <v>32471</v>
      </c>
      <c r="F22">
        <v>39180</v>
      </c>
    </row>
    <row r="23" spans="1:6" x14ac:dyDescent="0.25">
      <c r="A23" t="s">
        <v>126</v>
      </c>
      <c r="B23" t="s">
        <v>9</v>
      </c>
      <c r="C23" t="s">
        <v>114</v>
      </c>
      <c r="D23">
        <v>60299</v>
      </c>
      <c r="E23">
        <v>27049</v>
      </c>
      <c r="F23">
        <v>33250</v>
      </c>
    </row>
    <row r="24" spans="1:6" x14ac:dyDescent="0.25">
      <c r="A24" t="s">
        <v>126</v>
      </c>
      <c r="B24" t="s">
        <v>11</v>
      </c>
      <c r="C24" t="s">
        <v>128</v>
      </c>
      <c r="D24">
        <v>568851</v>
      </c>
      <c r="E24">
        <v>252522</v>
      </c>
      <c r="F24">
        <v>316329</v>
      </c>
    </row>
    <row r="25" spans="1:6" x14ac:dyDescent="0.25">
      <c r="A25" t="s">
        <v>126</v>
      </c>
      <c r="B25" t="s">
        <v>11</v>
      </c>
      <c r="C25" t="s">
        <v>107</v>
      </c>
      <c r="D25">
        <v>427349</v>
      </c>
      <c r="E25">
        <v>189331</v>
      </c>
      <c r="F25">
        <v>238018</v>
      </c>
    </row>
    <row r="26" spans="1:6" x14ac:dyDescent="0.25">
      <c r="A26" t="s">
        <v>126</v>
      </c>
      <c r="B26" t="s">
        <v>11</v>
      </c>
      <c r="C26" t="s">
        <v>109</v>
      </c>
      <c r="D26">
        <v>613514</v>
      </c>
      <c r="E26">
        <v>275105</v>
      </c>
      <c r="F26">
        <v>338409</v>
      </c>
    </row>
    <row r="27" spans="1:6" x14ac:dyDescent="0.25">
      <c r="A27" t="s">
        <v>126</v>
      </c>
      <c r="B27" t="s">
        <v>13</v>
      </c>
      <c r="C27" t="s">
        <v>108</v>
      </c>
      <c r="D27">
        <v>498937</v>
      </c>
      <c r="E27">
        <v>219978</v>
      </c>
      <c r="F27">
        <v>278959</v>
      </c>
    </row>
    <row r="28" spans="1:6" x14ac:dyDescent="0.25">
      <c r="A28" t="s">
        <v>126</v>
      </c>
      <c r="B28" t="s">
        <v>14</v>
      </c>
      <c r="C28" t="s">
        <v>113</v>
      </c>
      <c r="D28">
        <v>54048</v>
      </c>
      <c r="E28">
        <v>23780</v>
      </c>
      <c r="F28">
        <v>30268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C4588-AD67-46E5-B494-94D8CBDE594C}">
  <dimension ref="A3:G49"/>
  <sheetViews>
    <sheetView workbookViewId="0">
      <selection activeCell="A4" sqref="A4"/>
    </sheetView>
  </sheetViews>
  <sheetFormatPr defaultRowHeight="14.4" x14ac:dyDescent="0.25"/>
  <cols>
    <col min="1" max="1" width="13" customWidth="1"/>
    <col min="2" max="2" width="35.09765625" customWidth="1"/>
    <col min="3" max="6" width="9" customWidth="1"/>
    <col min="7" max="7" width="10.69921875" customWidth="1"/>
    <col min="8" max="8" width="13" customWidth="1"/>
    <col min="9" max="14" width="11.796875" bestFit="1" customWidth="1"/>
  </cols>
  <sheetData>
    <row r="3" spans="1:7" ht="13.8" x14ac:dyDescent="0.25">
      <c r="A3" s="5" t="s">
        <v>60</v>
      </c>
    </row>
    <row r="4" spans="1:7" ht="13.8" x14ac:dyDescent="0.25">
      <c r="C4" t="s">
        <v>17</v>
      </c>
      <c r="D4" t="s">
        <v>12</v>
      </c>
      <c r="E4" t="s">
        <v>10</v>
      </c>
      <c r="F4" t="s">
        <v>15</v>
      </c>
      <c r="G4" t="s">
        <v>19</v>
      </c>
    </row>
    <row r="5" spans="1:7" ht="13.8" x14ac:dyDescent="0.25">
      <c r="A5" t="s">
        <v>127</v>
      </c>
      <c r="C5" s="19"/>
      <c r="D5" s="19"/>
      <c r="E5" s="19"/>
      <c r="F5" s="19"/>
      <c r="G5" s="19"/>
    </row>
    <row r="6" spans="1:7" ht="13.8" x14ac:dyDescent="0.25">
      <c r="B6" t="s">
        <v>102</v>
      </c>
      <c r="C6" s="19">
        <v>0</v>
      </c>
      <c r="D6" s="19">
        <v>4270</v>
      </c>
      <c r="E6" s="19">
        <v>22958</v>
      </c>
      <c r="F6" s="19">
        <v>7136</v>
      </c>
      <c r="G6" s="19">
        <v>34364</v>
      </c>
    </row>
    <row r="7" spans="1:7" ht="13.8" x14ac:dyDescent="0.25">
      <c r="B7" t="s">
        <v>123</v>
      </c>
      <c r="C7" s="19">
        <v>0</v>
      </c>
      <c r="D7" s="19">
        <v>18064</v>
      </c>
      <c r="E7" s="19">
        <v>18072</v>
      </c>
      <c r="F7" s="19">
        <v>15104</v>
      </c>
      <c r="G7" s="19">
        <v>51240</v>
      </c>
    </row>
    <row r="8" spans="1:7" ht="13.8" x14ac:dyDescent="0.25">
      <c r="A8" t="s">
        <v>154</v>
      </c>
      <c r="C8" s="19">
        <v>0</v>
      </c>
      <c r="D8" s="19">
        <v>22334</v>
      </c>
      <c r="E8" s="19">
        <v>41030</v>
      </c>
      <c r="F8" s="19">
        <v>22240</v>
      </c>
      <c r="G8" s="19">
        <v>85604</v>
      </c>
    </row>
    <row r="9" spans="1:7" ht="13.8" x14ac:dyDescent="0.25">
      <c r="C9" s="19"/>
      <c r="D9" s="19"/>
      <c r="E9" s="19"/>
      <c r="F9" s="19"/>
      <c r="G9" s="19"/>
    </row>
    <row r="10" spans="1:7" ht="13.8" x14ac:dyDescent="0.25">
      <c r="A10" t="s">
        <v>129</v>
      </c>
      <c r="C10" s="19"/>
      <c r="D10" s="19"/>
      <c r="E10" s="19"/>
      <c r="F10" s="19"/>
      <c r="G10" s="19"/>
    </row>
    <row r="11" spans="1:7" ht="13.8" x14ac:dyDescent="0.25">
      <c r="B11" t="s">
        <v>101</v>
      </c>
      <c r="C11" s="19">
        <v>0</v>
      </c>
      <c r="D11" s="19">
        <v>304198</v>
      </c>
      <c r="E11" s="19">
        <v>288409</v>
      </c>
      <c r="F11" s="19">
        <v>276847</v>
      </c>
      <c r="G11" s="19">
        <v>869454</v>
      </c>
    </row>
    <row r="12" spans="1:7" ht="13.8" x14ac:dyDescent="0.25">
      <c r="B12" t="s">
        <v>117</v>
      </c>
      <c r="C12" s="19">
        <v>0</v>
      </c>
      <c r="D12" s="19">
        <v>16784</v>
      </c>
      <c r="E12" s="19">
        <v>35200</v>
      </c>
      <c r="F12" s="19">
        <v>5532</v>
      </c>
      <c r="G12" s="19">
        <v>57516</v>
      </c>
    </row>
    <row r="13" spans="1:7" ht="13.8" x14ac:dyDescent="0.25">
      <c r="B13" t="s">
        <v>103</v>
      </c>
      <c r="C13" s="19">
        <v>6036</v>
      </c>
      <c r="D13" s="19">
        <v>18552</v>
      </c>
      <c r="E13" s="19">
        <v>17728</v>
      </c>
      <c r="F13" s="19">
        <v>0</v>
      </c>
      <c r="G13" s="19">
        <v>42316</v>
      </c>
    </row>
    <row r="14" spans="1:7" ht="13.8" x14ac:dyDescent="0.25">
      <c r="B14" t="s">
        <v>104</v>
      </c>
      <c r="C14" s="19">
        <v>0</v>
      </c>
      <c r="D14" s="19">
        <v>26484</v>
      </c>
      <c r="E14" s="19">
        <v>19544</v>
      </c>
      <c r="F14" s="19">
        <v>13853</v>
      </c>
      <c r="G14" s="19">
        <v>59881</v>
      </c>
    </row>
    <row r="15" spans="1:7" ht="13.8" x14ac:dyDescent="0.25">
      <c r="B15" t="s">
        <v>118</v>
      </c>
      <c r="C15" s="19">
        <v>0</v>
      </c>
      <c r="D15" s="19">
        <v>19520</v>
      </c>
      <c r="E15" s="19">
        <v>25378</v>
      </c>
      <c r="F15" s="19">
        <v>1819</v>
      </c>
      <c r="G15" s="19">
        <v>46717</v>
      </c>
    </row>
    <row r="16" spans="1:7" ht="13.8" x14ac:dyDescent="0.25">
      <c r="B16" t="s">
        <v>119</v>
      </c>
      <c r="C16" s="19">
        <v>0</v>
      </c>
      <c r="D16" s="19">
        <v>11550</v>
      </c>
      <c r="E16" s="19">
        <v>25861</v>
      </c>
      <c r="F16" s="19">
        <v>17840</v>
      </c>
      <c r="G16" s="19">
        <v>55251</v>
      </c>
    </row>
    <row r="17" spans="1:7" ht="13.8" x14ac:dyDescent="0.25">
      <c r="A17" t="s">
        <v>155</v>
      </c>
      <c r="C17" s="19">
        <v>6036</v>
      </c>
      <c r="D17" s="19">
        <v>397088</v>
      </c>
      <c r="E17" s="19">
        <v>412120</v>
      </c>
      <c r="F17" s="19">
        <v>315891</v>
      </c>
      <c r="G17" s="19">
        <v>1131135</v>
      </c>
    </row>
    <row r="18" spans="1:7" ht="13.8" x14ac:dyDescent="0.25">
      <c r="C18" s="19"/>
      <c r="D18" s="19"/>
      <c r="E18" s="19"/>
      <c r="F18" s="19"/>
      <c r="G18" s="19"/>
    </row>
    <row r="19" spans="1:7" ht="13.8" x14ac:dyDescent="0.25">
      <c r="A19" t="s">
        <v>131</v>
      </c>
      <c r="C19" s="19"/>
      <c r="D19" s="19"/>
      <c r="E19" s="19"/>
      <c r="F19" s="19"/>
      <c r="G19" s="19"/>
    </row>
    <row r="20" spans="1:7" ht="13.8" x14ac:dyDescent="0.25">
      <c r="B20" t="s">
        <v>122</v>
      </c>
      <c r="C20" s="19">
        <v>0</v>
      </c>
      <c r="D20" s="19">
        <v>13249</v>
      </c>
      <c r="E20" s="19">
        <v>13962</v>
      </c>
      <c r="F20" s="19">
        <v>4158</v>
      </c>
      <c r="G20" s="19">
        <v>31369</v>
      </c>
    </row>
    <row r="21" spans="1:7" ht="13.8" x14ac:dyDescent="0.25">
      <c r="B21" t="s">
        <v>115</v>
      </c>
      <c r="C21" s="19">
        <v>0</v>
      </c>
      <c r="D21" s="19">
        <v>133009</v>
      </c>
      <c r="E21" s="19">
        <v>159354</v>
      </c>
      <c r="F21" s="19">
        <v>113963</v>
      </c>
      <c r="G21" s="19">
        <v>406326</v>
      </c>
    </row>
    <row r="22" spans="1:7" ht="13.8" x14ac:dyDescent="0.25">
      <c r="B22" t="s">
        <v>124</v>
      </c>
      <c r="C22" s="19">
        <v>0</v>
      </c>
      <c r="D22" s="19">
        <v>4380</v>
      </c>
      <c r="E22" s="19">
        <v>17620</v>
      </c>
      <c r="F22" s="19">
        <v>17250</v>
      </c>
      <c r="G22" s="19">
        <v>39250</v>
      </c>
    </row>
    <row r="23" spans="1:7" ht="13.8" x14ac:dyDescent="0.25">
      <c r="A23" t="s">
        <v>156</v>
      </c>
      <c r="C23" s="19">
        <v>0</v>
      </c>
      <c r="D23" s="19">
        <v>150638</v>
      </c>
      <c r="E23" s="19">
        <v>190936</v>
      </c>
      <c r="F23" s="19">
        <v>135371</v>
      </c>
      <c r="G23" s="19">
        <v>476945</v>
      </c>
    </row>
    <row r="24" spans="1:7" ht="13.8" x14ac:dyDescent="0.25">
      <c r="C24" s="19"/>
      <c r="D24" s="19"/>
      <c r="E24" s="19"/>
      <c r="F24" s="19"/>
      <c r="G24" s="19"/>
    </row>
    <row r="25" spans="1:7" ht="13.8" x14ac:dyDescent="0.25">
      <c r="A25" t="s">
        <v>16</v>
      </c>
      <c r="C25" s="19"/>
      <c r="D25" s="19"/>
      <c r="E25" s="19"/>
      <c r="F25" s="19"/>
      <c r="G25" s="19"/>
    </row>
    <row r="26" spans="1:7" ht="13.8" x14ac:dyDescent="0.25">
      <c r="B26" t="s">
        <v>116</v>
      </c>
      <c r="C26" s="19">
        <v>28663</v>
      </c>
      <c r="D26" s="19">
        <v>2358</v>
      </c>
      <c r="E26" s="19">
        <v>0</v>
      </c>
      <c r="F26" s="19">
        <v>0</v>
      </c>
      <c r="G26" s="19">
        <v>31021</v>
      </c>
    </row>
    <row r="27" spans="1:7" ht="13.8" x14ac:dyDescent="0.25">
      <c r="B27" t="s">
        <v>112</v>
      </c>
      <c r="C27" s="19">
        <v>0</v>
      </c>
      <c r="D27" s="19">
        <v>185286</v>
      </c>
      <c r="E27" s="19">
        <v>224935</v>
      </c>
      <c r="F27" s="19">
        <v>294138</v>
      </c>
      <c r="G27" s="19">
        <v>704359</v>
      </c>
    </row>
    <row r="28" spans="1:7" ht="13.8" x14ac:dyDescent="0.25">
      <c r="B28" t="s">
        <v>125</v>
      </c>
      <c r="C28" s="19">
        <v>0</v>
      </c>
      <c r="D28" s="19">
        <v>30104</v>
      </c>
      <c r="E28" s="19">
        <v>4614</v>
      </c>
      <c r="F28" s="19">
        <v>15312</v>
      </c>
      <c r="G28" s="19">
        <v>50030</v>
      </c>
    </row>
    <row r="29" spans="1:7" ht="13.8" x14ac:dyDescent="0.25">
      <c r="B29" t="s">
        <v>120</v>
      </c>
      <c r="C29" s="19">
        <v>0</v>
      </c>
      <c r="D29" s="19">
        <v>4282</v>
      </c>
      <c r="E29" s="19">
        <v>21488</v>
      </c>
      <c r="F29" s="19">
        <v>8940</v>
      </c>
      <c r="G29" s="19">
        <v>34710</v>
      </c>
    </row>
    <row r="30" spans="1:7" ht="13.8" x14ac:dyDescent="0.25">
      <c r="A30" t="s">
        <v>157</v>
      </c>
      <c r="C30" s="19">
        <v>28663</v>
      </c>
      <c r="D30" s="19">
        <v>222030</v>
      </c>
      <c r="E30" s="19">
        <v>251037</v>
      </c>
      <c r="F30" s="19">
        <v>318390</v>
      </c>
      <c r="G30" s="19">
        <v>820120</v>
      </c>
    </row>
    <row r="31" spans="1:7" ht="13.8" x14ac:dyDescent="0.25">
      <c r="C31" s="19"/>
      <c r="D31" s="19"/>
      <c r="E31" s="19"/>
      <c r="F31" s="19"/>
      <c r="G31" s="19"/>
    </row>
    <row r="32" spans="1:7" ht="13.8" x14ac:dyDescent="0.25">
      <c r="A32" t="s">
        <v>130</v>
      </c>
      <c r="C32" s="19"/>
      <c r="D32" s="19"/>
      <c r="E32" s="19"/>
      <c r="F32" s="19"/>
      <c r="G32" s="19"/>
    </row>
    <row r="33" spans="1:7" ht="13.8" x14ac:dyDescent="0.25">
      <c r="B33" t="s">
        <v>105</v>
      </c>
      <c r="C33" s="19">
        <v>0</v>
      </c>
      <c r="D33" s="19">
        <v>233435</v>
      </c>
      <c r="E33" s="19">
        <v>235761</v>
      </c>
      <c r="F33" s="19">
        <v>280967</v>
      </c>
      <c r="G33" s="19">
        <v>750163</v>
      </c>
    </row>
    <row r="34" spans="1:7" ht="13.8" x14ac:dyDescent="0.25">
      <c r="B34" t="s">
        <v>106</v>
      </c>
      <c r="C34" s="19">
        <v>0</v>
      </c>
      <c r="D34" s="19">
        <v>100784</v>
      </c>
      <c r="E34" s="19">
        <v>165727</v>
      </c>
      <c r="F34" s="19">
        <v>124467</v>
      </c>
      <c r="G34" s="19">
        <v>390978</v>
      </c>
    </row>
    <row r="35" spans="1:7" ht="13.8" x14ac:dyDescent="0.25">
      <c r="B35" t="s">
        <v>121</v>
      </c>
      <c r="C35" s="19">
        <v>0</v>
      </c>
      <c r="D35" s="19">
        <v>14497</v>
      </c>
      <c r="E35" s="19">
        <v>31057</v>
      </c>
      <c r="F35" s="19">
        <v>17190</v>
      </c>
      <c r="G35" s="19">
        <v>62744</v>
      </c>
    </row>
    <row r="36" spans="1:7" ht="13.8" x14ac:dyDescent="0.25">
      <c r="B36" t="s">
        <v>110</v>
      </c>
      <c r="C36" s="19">
        <v>38860</v>
      </c>
      <c r="D36" s="19">
        <v>22140</v>
      </c>
      <c r="E36" s="19">
        <v>11680</v>
      </c>
      <c r="F36" s="19">
        <v>0</v>
      </c>
      <c r="G36" s="19">
        <v>72680</v>
      </c>
    </row>
    <row r="37" spans="1:7" ht="13.8" x14ac:dyDescent="0.25">
      <c r="A37" t="s">
        <v>158</v>
      </c>
      <c r="C37" s="19">
        <v>38860</v>
      </c>
      <c r="D37" s="19">
        <v>370856</v>
      </c>
      <c r="E37" s="19">
        <v>444225</v>
      </c>
      <c r="F37" s="19">
        <v>422624</v>
      </c>
      <c r="G37" s="19">
        <v>1276565</v>
      </c>
    </row>
    <row r="38" spans="1:7" ht="13.8" x14ac:dyDescent="0.25">
      <c r="C38" s="19"/>
      <c r="D38" s="19"/>
      <c r="E38" s="19"/>
      <c r="F38" s="19"/>
      <c r="G38" s="19"/>
    </row>
    <row r="39" spans="1:7" ht="13.8" x14ac:dyDescent="0.25">
      <c r="A39" t="s">
        <v>126</v>
      </c>
      <c r="C39" s="19"/>
      <c r="D39" s="19"/>
      <c r="E39" s="19"/>
      <c r="F39" s="19"/>
      <c r="G39" s="19"/>
    </row>
    <row r="40" spans="1:7" ht="13.8" x14ac:dyDescent="0.25">
      <c r="B40" t="s">
        <v>100</v>
      </c>
      <c r="C40" s="19">
        <v>0</v>
      </c>
      <c r="D40" s="19">
        <v>185675</v>
      </c>
      <c r="E40" s="19">
        <v>245491</v>
      </c>
      <c r="F40" s="19">
        <v>191628</v>
      </c>
      <c r="G40" s="19">
        <v>622794</v>
      </c>
    </row>
    <row r="41" spans="1:7" ht="13.8" x14ac:dyDescent="0.25">
      <c r="B41" t="s">
        <v>128</v>
      </c>
      <c r="C41" s="19">
        <v>0</v>
      </c>
      <c r="D41" s="19">
        <v>190533</v>
      </c>
      <c r="E41" s="19">
        <v>200936</v>
      </c>
      <c r="F41" s="19">
        <v>177382</v>
      </c>
      <c r="G41" s="19">
        <v>568851</v>
      </c>
    </row>
    <row r="42" spans="1:7" ht="13.8" x14ac:dyDescent="0.25">
      <c r="B42" t="s">
        <v>111</v>
      </c>
      <c r="C42" s="19">
        <v>0</v>
      </c>
      <c r="D42" s="19">
        <v>20950</v>
      </c>
      <c r="E42" s="19">
        <v>41066</v>
      </c>
      <c r="F42" s="19">
        <v>9635</v>
      </c>
      <c r="G42" s="19">
        <v>71651</v>
      </c>
    </row>
    <row r="43" spans="1:7" ht="13.8" x14ac:dyDescent="0.25">
      <c r="B43" t="s">
        <v>113</v>
      </c>
      <c r="C43" s="19">
        <v>0</v>
      </c>
      <c r="D43" s="19">
        <v>20610</v>
      </c>
      <c r="E43" s="19">
        <v>7032</v>
      </c>
      <c r="F43" s="19">
        <v>26406</v>
      </c>
      <c r="G43" s="19">
        <v>54048</v>
      </c>
    </row>
    <row r="44" spans="1:7" ht="13.8" x14ac:dyDescent="0.25">
      <c r="B44" t="s">
        <v>107</v>
      </c>
      <c r="C44" s="19">
        <v>0</v>
      </c>
      <c r="D44" s="19">
        <v>178254</v>
      </c>
      <c r="E44" s="19">
        <v>149551</v>
      </c>
      <c r="F44" s="19">
        <v>99544</v>
      </c>
      <c r="G44" s="19">
        <v>427349</v>
      </c>
    </row>
    <row r="45" spans="1:7" ht="13.8" x14ac:dyDescent="0.25">
      <c r="B45" t="s">
        <v>108</v>
      </c>
      <c r="C45" s="19">
        <v>0</v>
      </c>
      <c r="D45" s="19">
        <v>182755</v>
      </c>
      <c r="E45" s="19">
        <v>173770</v>
      </c>
      <c r="F45" s="19">
        <v>142412</v>
      </c>
      <c r="G45" s="19">
        <v>498937</v>
      </c>
    </row>
    <row r="46" spans="1:7" ht="13.8" x14ac:dyDescent="0.25">
      <c r="B46" t="s">
        <v>109</v>
      </c>
      <c r="C46" s="19">
        <v>0</v>
      </c>
      <c r="D46" s="19">
        <v>204234</v>
      </c>
      <c r="E46" s="19">
        <v>205758</v>
      </c>
      <c r="F46" s="19">
        <v>203522</v>
      </c>
      <c r="G46" s="19">
        <v>613514</v>
      </c>
    </row>
    <row r="47" spans="1:7" ht="13.8" x14ac:dyDescent="0.25">
      <c r="B47" t="s">
        <v>114</v>
      </c>
      <c r="C47" s="19">
        <v>0</v>
      </c>
      <c r="D47" s="19">
        <v>17757</v>
      </c>
      <c r="E47" s="19">
        <v>30068</v>
      </c>
      <c r="F47" s="19">
        <v>12474</v>
      </c>
      <c r="G47" s="19">
        <v>60299</v>
      </c>
    </row>
    <row r="48" spans="1:7" ht="13.8" x14ac:dyDescent="0.25">
      <c r="A48" t="s">
        <v>159</v>
      </c>
      <c r="C48" s="19">
        <v>0</v>
      </c>
      <c r="D48" s="19">
        <v>1000768</v>
      </c>
      <c r="E48" s="19">
        <v>1053672</v>
      </c>
      <c r="F48" s="19">
        <v>863003</v>
      </c>
      <c r="G48" s="19">
        <v>2917443</v>
      </c>
    </row>
    <row r="49" spans="3:7" ht="13.8" x14ac:dyDescent="0.25">
      <c r="C49" s="19"/>
      <c r="D49" s="19"/>
      <c r="E49" s="19"/>
      <c r="F49" s="19"/>
      <c r="G49" s="1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F55C1-2E7B-42D8-8F09-650EE6D0EC82}">
  <dimension ref="A1:D49"/>
  <sheetViews>
    <sheetView tabSelected="1" workbookViewId="0">
      <selection activeCell="E14" sqref="E14"/>
    </sheetView>
  </sheetViews>
  <sheetFormatPr defaultRowHeight="14.4" x14ac:dyDescent="0.25"/>
  <cols>
    <col min="1" max="1" width="13" customWidth="1"/>
    <col min="2" max="2" width="35.69921875" bestFit="1" customWidth="1"/>
    <col min="3" max="3" width="13.5" bestFit="1" customWidth="1"/>
    <col min="4" max="4" width="11" bestFit="1" customWidth="1"/>
    <col min="5" max="10" width="15" bestFit="1" customWidth="1"/>
    <col min="11" max="11" width="18.59765625" bestFit="1" customWidth="1"/>
    <col min="12" max="12" width="20.09765625" bestFit="1" customWidth="1"/>
    <col min="13" max="14" width="11.796875" bestFit="1" customWidth="1"/>
  </cols>
  <sheetData>
    <row r="1" spans="1:4" x14ac:dyDescent="0.25">
      <c r="A1" t="s">
        <v>191</v>
      </c>
    </row>
    <row r="3" spans="1:4" ht="13.8" x14ac:dyDescent="0.25">
      <c r="C3" t="s">
        <v>60</v>
      </c>
      <c r="D3" t="s">
        <v>59</v>
      </c>
    </row>
    <row r="4" spans="1:4" ht="13.8" x14ac:dyDescent="0.25">
      <c r="A4" t="s">
        <v>127</v>
      </c>
      <c r="C4" s="19"/>
      <c r="D4" s="10"/>
    </row>
    <row r="5" spans="1:4" ht="13.8" x14ac:dyDescent="0.25">
      <c r="B5" t="s">
        <v>102</v>
      </c>
      <c r="C5" s="19">
        <v>34364</v>
      </c>
      <c r="D5" s="10">
        <v>0.40142983972711554</v>
      </c>
    </row>
    <row r="6" spans="1:4" ht="13.8" x14ac:dyDescent="0.25">
      <c r="B6" t="s">
        <v>123</v>
      </c>
      <c r="C6" s="19">
        <v>51240</v>
      </c>
      <c r="D6" s="10">
        <v>0.59857016027288446</v>
      </c>
    </row>
    <row r="7" spans="1:4" ht="13.8" x14ac:dyDescent="0.25">
      <c r="A7" t="s">
        <v>154</v>
      </c>
      <c r="C7" s="19">
        <v>85604</v>
      </c>
      <c r="D7" s="10">
        <v>1.2761836497504701E-2</v>
      </c>
    </row>
    <row r="8" spans="1:4" ht="13.8" x14ac:dyDescent="0.25">
      <c r="C8" s="19"/>
      <c r="D8" s="10"/>
    </row>
    <row r="9" spans="1:4" ht="13.8" x14ac:dyDescent="0.25">
      <c r="A9" t="s">
        <v>129</v>
      </c>
      <c r="C9" s="19"/>
      <c r="D9" s="10"/>
    </row>
    <row r="10" spans="1:4" ht="13.8" x14ac:dyDescent="0.25">
      <c r="B10" t="s">
        <v>101</v>
      </c>
      <c r="C10" s="19">
        <v>869454</v>
      </c>
      <c r="D10" s="10">
        <v>0.76865626118898278</v>
      </c>
    </row>
    <row r="11" spans="1:4" ht="13.8" x14ac:dyDescent="0.25">
      <c r="B11" t="s">
        <v>117</v>
      </c>
      <c r="C11" s="19">
        <v>57516</v>
      </c>
      <c r="D11" s="10">
        <v>5.0848042010900554E-2</v>
      </c>
    </row>
    <row r="12" spans="1:4" ht="13.8" x14ac:dyDescent="0.25">
      <c r="B12" t="s">
        <v>103</v>
      </c>
      <c r="C12" s="55">
        <v>42316</v>
      </c>
      <c r="D12" s="10">
        <v>3.7410211866841715E-2</v>
      </c>
    </row>
    <row r="13" spans="1:4" ht="13.8" x14ac:dyDescent="0.25">
      <c r="B13" t="s">
        <v>104</v>
      </c>
      <c r="C13" s="19">
        <v>59881</v>
      </c>
      <c r="D13" s="10">
        <v>5.2938862293183397E-2</v>
      </c>
    </row>
    <row r="14" spans="1:4" ht="13.8" x14ac:dyDescent="0.25">
      <c r="B14" t="s">
        <v>118</v>
      </c>
      <c r="C14" s="19">
        <v>46717</v>
      </c>
      <c r="D14" s="10">
        <v>4.1300994134210331E-2</v>
      </c>
    </row>
    <row r="15" spans="1:4" ht="13.8" x14ac:dyDescent="0.25">
      <c r="B15" t="s">
        <v>119</v>
      </c>
      <c r="C15" s="19">
        <v>55251</v>
      </c>
      <c r="D15" s="10">
        <v>4.8845628505881263E-2</v>
      </c>
    </row>
    <row r="16" spans="1:4" ht="13.8" x14ac:dyDescent="0.25">
      <c r="A16" t="s">
        <v>155</v>
      </c>
      <c r="C16" s="19">
        <v>1131135</v>
      </c>
      <c r="D16" s="10">
        <v>0.16862950243686017</v>
      </c>
    </row>
    <row r="17" spans="1:4" ht="13.8" x14ac:dyDescent="0.25">
      <c r="C17" s="19"/>
      <c r="D17" s="10"/>
    </row>
    <row r="18" spans="1:4" ht="13.8" x14ac:dyDescent="0.25">
      <c r="A18" t="s">
        <v>131</v>
      </c>
      <c r="C18" s="19"/>
      <c r="D18" s="10"/>
    </row>
    <row r="19" spans="1:4" ht="13.8" x14ac:dyDescent="0.25">
      <c r="B19" t="s">
        <v>122</v>
      </c>
      <c r="C19" s="19">
        <v>31369</v>
      </c>
      <c r="D19" s="10">
        <v>6.5770686347482413E-2</v>
      </c>
    </row>
    <row r="20" spans="1:4" ht="13.8" x14ac:dyDescent="0.25">
      <c r="B20" t="s">
        <v>115</v>
      </c>
      <c r="C20" s="19">
        <v>406326</v>
      </c>
      <c r="D20" s="10">
        <v>0.85193470945287197</v>
      </c>
    </row>
    <row r="21" spans="1:4" ht="13.8" x14ac:dyDescent="0.25">
      <c r="B21" t="s">
        <v>124</v>
      </c>
      <c r="C21" s="19">
        <v>39250</v>
      </c>
      <c r="D21" s="10">
        <v>8.2294604199645655E-2</v>
      </c>
    </row>
    <row r="22" spans="1:4" ht="13.8" x14ac:dyDescent="0.25">
      <c r="A22" t="s">
        <v>156</v>
      </c>
      <c r="C22" s="19">
        <v>476945</v>
      </c>
      <c r="D22" s="10">
        <v>7.1102917016755987E-2</v>
      </c>
    </row>
    <row r="23" spans="1:4" ht="13.8" x14ac:dyDescent="0.25">
      <c r="C23" s="19"/>
      <c r="D23" s="10"/>
    </row>
    <row r="24" spans="1:4" ht="13.8" x14ac:dyDescent="0.25">
      <c r="A24" t="s">
        <v>16</v>
      </c>
      <c r="C24" s="19"/>
      <c r="D24" s="10"/>
    </row>
    <row r="25" spans="1:4" ht="13.8" x14ac:dyDescent="0.25">
      <c r="B25" t="s">
        <v>116</v>
      </c>
      <c r="C25" s="19">
        <v>31021</v>
      </c>
      <c r="D25" s="10">
        <v>3.7824952445983516E-2</v>
      </c>
    </row>
    <row r="26" spans="1:4" ht="13.8" x14ac:dyDescent="0.25">
      <c r="B26" t="s">
        <v>112</v>
      </c>
      <c r="C26" s="19">
        <v>704359</v>
      </c>
      <c r="D26" s="10">
        <v>0.85884870506755107</v>
      </c>
    </row>
    <row r="27" spans="1:4" ht="13.8" x14ac:dyDescent="0.25">
      <c r="B27" t="s">
        <v>125</v>
      </c>
      <c r="C27" s="19">
        <v>50030</v>
      </c>
      <c r="D27" s="10">
        <v>6.1003267814466175E-2</v>
      </c>
    </row>
    <row r="28" spans="1:4" ht="13.8" x14ac:dyDescent="0.25">
      <c r="B28" t="s">
        <v>120</v>
      </c>
      <c r="C28" s="19">
        <v>34710</v>
      </c>
      <c r="D28" s="10">
        <v>4.2323074671999222E-2</v>
      </c>
    </row>
    <row r="29" spans="1:4" ht="13.8" x14ac:dyDescent="0.25">
      <c r="A29" t="s">
        <v>157</v>
      </c>
      <c r="C29" s="19">
        <v>820120</v>
      </c>
      <c r="D29" s="10">
        <v>0.12226341465741736</v>
      </c>
    </row>
    <row r="30" spans="1:4" ht="13.8" x14ac:dyDescent="0.25">
      <c r="C30" s="19"/>
      <c r="D30" s="10"/>
    </row>
    <row r="31" spans="1:4" ht="13.8" x14ac:dyDescent="0.25">
      <c r="A31" t="s">
        <v>130</v>
      </c>
      <c r="C31" s="19"/>
      <c r="D31" s="10"/>
    </row>
    <row r="32" spans="1:4" ht="13.8" x14ac:dyDescent="0.25">
      <c r="B32" t="s">
        <v>105</v>
      </c>
      <c r="C32" s="19">
        <v>750163</v>
      </c>
      <c r="D32" s="10">
        <v>0.58764183570754325</v>
      </c>
    </row>
    <row r="33" spans="1:4" ht="13.8" x14ac:dyDescent="0.25">
      <c r="B33" t="s">
        <v>106</v>
      </c>
      <c r="C33" s="19">
        <v>390978</v>
      </c>
      <c r="D33" s="10">
        <v>0.30627347608621575</v>
      </c>
    </row>
    <row r="34" spans="1:4" ht="13.8" x14ac:dyDescent="0.25">
      <c r="B34" t="s">
        <v>121</v>
      </c>
      <c r="C34" s="19">
        <v>62744</v>
      </c>
      <c r="D34" s="10">
        <v>4.9150650378163276E-2</v>
      </c>
    </row>
    <row r="35" spans="1:4" ht="13.8" x14ac:dyDescent="0.25">
      <c r="B35" t="s">
        <v>110</v>
      </c>
      <c r="C35" s="19">
        <v>72680</v>
      </c>
      <c r="D35" s="10">
        <v>5.693403782807769E-2</v>
      </c>
    </row>
    <row r="36" spans="1:4" ht="13.8" x14ac:dyDescent="0.25">
      <c r="A36" t="s">
        <v>158</v>
      </c>
      <c r="C36" s="19">
        <v>1276565</v>
      </c>
      <c r="D36" s="10">
        <v>0.19031019354746376</v>
      </c>
    </row>
    <row r="37" spans="1:4" ht="13.8" x14ac:dyDescent="0.25">
      <c r="C37" s="19"/>
      <c r="D37" s="10"/>
    </row>
    <row r="38" spans="1:4" ht="13.8" x14ac:dyDescent="0.25">
      <c r="A38" t="s">
        <v>126</v>
      </c>
      <c r="C38" s="19"/>
      <c r="D38" s="10"/>
    </row>
    <row r="39" spans="1:4" ht="13.8" x14ac:dyDescent="0.25">
      <c r="B39" t="s">
        <v>100</v>
      </c>
      <c r="C39" s="19">
        <v>622794</v>
      </c>
      <c r="D39" s="10">
        <v>0.21347255113467511</v>
      </c>
    </row>
    <row r="40" spans="1:4" ht="13.8" x14ac:dyDescent="0.25">
      <c r="B40" t="s">
        <v>128</v>
      </c>
      <c r="C40" s="19">
        <v>568851</v>
      </c>
      <c r="D40" s="10">
        <v>0.19498272973970698</v>
      </c>
    </row>
    <row r="41" spans="1:4" ht="13.8" x14ac:dyDescent="0.25">
      <c r="B41" t="s">
        <v>111</v>
      </c>
      <c r="C41" s="19">
        <v>71651</v>
      </c>
      <c r="D41" s="10">
        <v>2.4559520100307014E-2</v>
      </c>
    </row>
    <row r="42" spans="1:4" ht="13.8" x14ac:dyDescent="0.25">
      <c r="B42" t="s">
        <v>113</v>
      </c>
      <c r="C42" s="19">
        <v>54048</v>
      </c>
      <c r="D42" s="10">
        <v>1.8525811815346523E-2</v>
      </c>
    </row>
    <row r="43" spans="1:4" ht="13.8" x14ac:dyDescent="0.25">
      <c r="B43" t="s">
        <v>107</v>
      </c>
      <c r="C43" s="19">
        <v>427349</v>
      </c>
      <c r="D43" s="10">
        <v>0.14648066817415112</v>
      </c>
    </row>
    <row r="44" spans="1:4" ht="13.8" x14ac:dyDescent="0.25">
      <c r="B44" t="s">
        <v>108</v>
      </c>
      <c r="C44" s="19">
        <v>498937</v>
      </c>
      <c r="D44" s="10">
        <v>0.1710185940222311</v>
      </c>
    </row>
    <row r="45" spans="1:4" ht="13.8" x14ac:dyDescent="0.25">
      <c r="B45" t="s">
        <v>109</v>
      </c>
      <c r="C45" s="19">
        <v>613514</v>
      </c>
      <c r="D45" s="10">
        <v>0.2102916835050419</v>
      </c>
    </row>
    <row r="46" spans="1:4" ht="13.8" x14ac:dyDescent="0.25">
      <c r="B46" t="s">
        <v>114</v>
      </c>
      <c r="C46" s="19">
        <v>60299</v>
      </c>
      <c r="D46" s="10">
        <v>2.0668441508540185E-2</v>
      </c>
    </row>
    <row r="47" spans="1:4" ht="13.8" x14ac:dyDescent="0.25">
      <c r="A47" t="s">
        <v>159</v>
      </c>
      <c r="C47" s="19">
        <v>2917443</v>
      </c>
      <c r="D47" s="10">
        <v>0.43493213584399804</v>
      </c>
    </row>
    <row r="48" spans="1:4" ht="13.8" x14ac:dyDescent="0.25">
      <c r="C48" s="19"/>
      <c r="D48" s="10"/>
    </row>
    <row r="49" ht="13.8"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564"/>
  <sheetViews>
    <sheetView workbookViewId="0">
      <selection activeCell="D1" sqref="D1"/>
    </sheetView>
  </sheetViews>
  <sheetFormatPr defaultRowHeight="14.4" x14ac:dyDescent="0.25"/>
  <cols>
    <col min="1" max="1" width="16" customWidth="1"/>
    <col min="2" max="2" width="9.796875" customWidth="1"/>
    <col min="3" max="3" width="8.296875" customWidth="1"/>
    <col min="4" max="4" width="10.59765625" customWidth="1"/>
    <col min="5" max="5" width="16.59765625" customWidth="1"/>
    <col min="6" max="6" width="8.5" customWidth="1"/>
    <col min="7" max="7" width="8.8984375" customWidth="1"/>
    <col min="8" max="9" width="5.8984375" customWidth="1"/>
    <col min="12" max="12" width="16" customWidth="1"/>
    <col min="13" max="13" width="16.59765625" customWidth="1"/>
    <col min="14" max="14" width="38.59765625" customWidth="1"/>
    <col min="15" max="15" width="11" customWidth="1"/>
  </cols>
  <sheetData>
    <row r="1" spans="1:15" ht="13.8" x14ac:dyDescent="0.25">
      <c r="A1" s="1" t="s">
        <v>0</v>
      </c>
      <c r="B1" s="1" t="s">
        <v>1</v>
      </c>
      <c r="C1" s="1" t="s">
        <v>2</v>
      </c>
      <c r="D1" s="1" t="s">
        <v>3</v>
      </c>
      <c r="E1" s="1" t="s">
        <v>4</v>
      </c>
      <c r="F1" s="2" t="s">
        <v>5</v>
      </c>
      <c r="G1" s="2" t="s">
        <v>6</v>
      </c>
      <c r="H1" s="2" t="s">
        <v>7</v>
      </c>
      <c r="I1" s="2" t="s">
        <v>8</v>
      </c>
      <c r="L1" s="1"/>
      <c r="M1" s="1"/>
    </row>
    <row r="2" spans="1:15" ht="13.8" x14ac:dyDescent="0.25">
      <c r="A2" t="s">
        <v>126</v>
      </c>
      <c r="B2" t="s">
        <v>9</v>
      </c>
      <c r="C2" s="3" t="s">
        <v>10</v>
      </c>
      <c r="D2" s="4">
        <v>44562</v>
      </c>
      <c r="E2" s="4" t="s">
        <v>100</v>
      </c>
      <c r="F2">
        <v>1000</v>
      </c>
      <c r="G2">
        <v>22810</v>
      </c>
      <c r="H2">
        <v>10220</v>
      </c>
      <c r="I2">
        <v>12590</v>
      </c>
      <c r="K2" s="4"/>
      <c r="L2" s="4"/>
      <c r="M2" s="4"/>
      <c r="O2" s="4"/>
    </row>
    <row r="3" spans="1:15" ht="13.8" x14ac:dyDescent="0.25">
      <c r="A3" t="s">
        <v>130</v>
      </c>
      <c r="B3" t="s">
        <v>11</v>
      </c>
      <c r="C3" s="3" t="s">
        <v>12</v>
      </c>
      <c r="D3" s="4">
        <v>44563</v>
      </c>
      <c r="E3" s="4" t="s">
        <v>106</v>
      </c>
      <c r="F3">
        <v>100</v>
      </c>
      <c r="G3">
        <v>2257</v>
      </c>
      <c r="H3">
        <v>984</v>
      </c>
      <c r="I3">
        <v>1273</v>
      </c>
      <c r="M3" s="4"/>
    </row>
    <row r="4" spans="1:15" ht="13.8" x14ac:dyDescent="0.25">
      <c r="A4" t="s">
        <v>127</v>
      </c>
      <c r="B4" t="s">
        <v>13</v>
      </c>
      <c r="C4" s="3" t="s">
        <v>10</v>
      </c>
      <c r="D4" s="4">
        <v>44565</v>
      </c>
      <c r="E4" s="4" t="s">
        <v>102</v>
      </c>
      <c r="F4">
        <v>400</v>
      </c>
      <c r="G4">
        <v>9152</v>
      </c>
      <c r="H4">
        <v>4088</v>
      </c>
      <c r="I4">
        <v>5064</v>
      </c>
      <c r="M4" s="4"/>
    </row>
    <row r="5" spans="1:15" ht="13.8" x14ac:dyDescent="0.25">
      <c r="A5" t="s">
        <v>129</v>
      </c>
      <c r="B5" t="s">
        <v>9</v>
      </c>
      <c r="C5" s="3" t="s">
        <v>12</v>
      </c>
      <c r="D5" s="4">
        <v>44565</v>
      </c>
      <c r="E5" s="4" t="s">
        <v>103</v>
      </c>
      <c r="F5">
        <v>800</v>
      </c>
      <c r="G5">
        <v>18552</v>
      </c>
      <c r="H5">
        <v>7872</v>
      </c>
      <c r="I5">
        <v>10680</v>
      </c>
      <c r="M5" s="4"/>
    </row>
    <row r="6" spans="1:15" ht="13.8" x14ac:dyDescent="0.25">
      <c r="A6" t="s">
        <v>129</v>
      </c>
      <c r="B6" t="s">
        <v>14</v>
      </c>
      <c r="C6" s="3" t="s">
        <v>12</v>
      </c>
      <c r="D6" s="4">
        <v>44568</v>
      </c>
      <c r="E6" s="4" t="s">
        <v>104</v>
      </c>
      <c r="F6">
        <v>1000</v>
      </c>
      <c r="G6">
        <v>21730</v>
      </c>
      <c r="H6">
        <v>9840</v>
      </c>
      <c r="I6">
        <v>11890</v>
      </c>
      <c r="M6" s="4"/>
    </row>
    <row r="7" spans="1:15" ht="13.8" x14ac:dyDescent="0.25">
      <c r="A7" t="s">
        <v>130</v>
      </c>
      <c r="B7" t="s">
        <v>9</v>
      </c>
      <c r="C7" s="3" t="s">
        <v>15</v>
      </c>
      <c r="D7" s="4">
        <v>44568</v>
      </c>
      <c r="E7" s="4" t="s">
        <v>105</v>
      </c>
      <c r="F7">
        <v>400</v>
      </c>
      <c r="G7">
        <v>8456</v>
      </c>
      <c r="H7">
        <v>3388</v>
      </c>
      <c r="I7">
        <v>5068</v>
      </c>
      <c r="M7" s="4"/>
    </row>
    <row r="8" spans="1:15" ht="13.8" x14ac:dyDescent="0.25">
      <c r="A8" t="s">
        <v>130</v>
      </c>
      <c r="B8" t="s">
        <v>9</v>
      </c>
      <c r="C8" s="3" t="s">
        <v>15</v>
      </c>
      <c r="D8" s="4">
        <v>44570</v>
      </c>
      <c r="E8" s="4" t="s">
        <v>105</v>
      </c>
      <c r="F8">
        <v>800</v>
      </c>
      <c r="G8">
        <v>16416</v>
      </c>
      <c r="H8">
        <v>6776</v>
      </c>
      <c r="I8">
        <v>9640</v>
      </c>
      <c r="M8" s="4"/>
    </row>
    <row r="9" spans="1:15" ht="13.8" x14ac:dyDescent="0.25">
      <c r="A9" t="s">
        <v>129</v>
      </c>
      <c r="B9" t="s">
        <v>13</v>
      </c>
      <c r="C9" s="3" t="s">
        <v>10</v>
      </c>
      <c r="D9" s="4">
        <v>44571</v>
      </c>
      <c r="E9" s="4" t="s">
        <v>101</v>
      </c>
      <c r="F9">
        <v>900</v>
      </c>
      <c r="G9">
        <v>21438</v>
      </c>
      <c r="H9">
        <v>9198</v>
      </c>
      <c r="I9">
        <v>12240</v>
      </c>
      <c r="M9" s="4"/>
      <c r="O9" s="4"/>
    </row>
    <row r="10" spans="1:15" ht="13.8" x14ac:dyDescent="0.25">
      <c r="A10" t="s">
        <v>126</v>
      </c>
      <c r="B10" t="s">
        <v>11</v>
      </c>
      <c r="C10" s="3" t="s">
        <v>15</v>
      </c>
      <c r="D10" s="4">
        <v>44573</v>
      </c>
      <c r="E10" s="4" t="s">
        <v>107</v>
      </c>
      <c r="F10">
        <v>300</v>
      </c>
      <c r="G10">
        <v>6267</v>
      </c>
      <c r="H10">
        <v>2541</v>
      </c>
      <c r="I10">
        <v>3726</v>
      </c>
      <c r="M10" s="4"/>
      <c r="O10" s="4"/>
    </row>
    <row r="11" spans="1:15" ht="13.8" x14ac:dyDescent="0.25">
      <c r="A11" t="s">
        <v>126</v>
      </c>
      <c r="B11" t="s">
        <v>13</v>
      </c>
      <c r="C11" s="3" t="s">
        <v>10</v>
      </c>
      <c r="D11" s="4">
        <v>44575</v>
      </c>
      <c r="E11" s="4" t="s">
        <v>108</v>
      </c>
      <c r="F11">
        <v>100</v>
      </c>
      <c r="G11">
        <v>2401</v>
      </c>
      <c r="H11">
        <v>1022</v>
      </c>
      <c r="I11">
        <v>1379</v>
      </c>
      <c r="M11" s="4"/>
    </row>
    <row r="12" spans="1:15" ht="13.8" x14ac:dyDescent="0.25">
      <c r="A12" t="s">
        <v>130</v>
      </c>
      <c r="B12" t="s">
        <v>11</v>
      </c>
      <c r="C12" s="3" t="s">
        <v>15</v>
      </c>
      <c r="D12" s="4">
        <v>44576</v>
      </c>
      <c r="E12" s="4" t="s">
        <v>106</v>
      </c>
      <c r="F12">
        <v>500</v>
      </c>
      <c r="G12">
        <v>9345</v>
      </c>
      <c r="H12">
        <v>4235</v>
      </c>
      <c r="I12">
        <v>5110</v>
      </c>
      <c r="M12" s="4"/>
    </row>
    <row r="13" spans="1:15" ht="13.8" x14ac:dyDescent="0.25">
      <c r="A13" t="s">
        <v>126</v>
      </c>
      <c r="B13" t="s">
        <v>11</v>
      </c>
      <c r="C13" s="3" t="s">
        <v>15</v>
      </c>
      <c r="D13" s="4">
        <v>44577</v>
      </c>
      <c r="E13" s="4" t="s">
        <v>109</v>
      </c>
      <c r="F13">
        <v>600</v>
      </c>
      <c r="G13">
        <v>11628</v>
      </c>
      <c r="H13">
        <v>5082</v>
      </c>
      <c r="I13">
        <v>6546</v>
      </c>
      <c r="M13" s="4"/>
      <c r="O13" s="4"/>
    </row>
    <row r="14" spans="1:15" ht="13.8" x14ac:dyDescent="0.25">
      <c r="A14" t="s">
        <v>130</v>
      </c>
      <c r="B14" t="s">
        <v>11</v>
      </c>
      <c r="C14" s="3" t="s">
        <v>12</v>
      </c>
      <c r="D14" s="4">
        <v>44580</v>
      </c>
      <c r="E14" s="4" t="s">
        <v>106</v>
      </c>
      <c r="F14">
        <v>100</v>
      </c>
      <c r="G14">
        <v>2042</v>
      </c>
      <c r="H14">
        <v>984</v>
      </c>
      <c r="I14">
        <v>1058</v>
      </c>
      <c r="M14" s="4"/>
      <c r="O14" s="4"/>
    </row>
    <row r="15" spans="1:15" ht="13.8" x14ac:dyDescent="0.25">
      <c r="A15" t="s">
        <v>130</v>
      </c>
      <c r="B15" t="s">
        <v>11</v>
      </c>
      <c r="C15" s="3" t="s">
        <v>17</v>
      </c>
      <c r="D15" s="4">
        <v>44582</v>
      </c>
      <c r="E15" s="4" t="s">
        <v>110</v>
      </c>
      <c r="F15">
        <v>800</v>
      </c>
      <c r="G15">
        <v>14440</v>
      </c>
      <c r="H15">
        <v>6776</v>
      </c>
      <c r="I15">
        <v>7664</v>
      </c>
      <c r="M15" s="4"/>
    </row>
    <row r="16" spans="1:15" ht="13.8" x14ac:dyDescent="0.25">
      <c r="A16" t="s">
        <v>129</v>
      </c>
      <c r="B16" t="s">
        <v>9</v>
      </c>
      <c r="C16" s="3" t="s">
        <v>17</v>
      </c>
      <c r="D16" s="4">
        <v>44582</v>
      </c>
      <c r="E16" s="4" t="s">
        <v>103</v>
      </c>
      <c r="F16">
        <v>200</v>
      </c>
      <c r="G16">
        <v>3552</v>
      </c>
      <c r="H16">
        <v>1694</v>
      </c>
      <c r="I16">
        <v>1858</v>
      </c>
      <c r="M16" s="4"/>
      <c r="O16" s="4"/>
    </row>
    <row r="17" spans="1:15" ht="13.8" x14ac:dyDescent="0.25">
      <c r="A17" t="s">
        <v>130</v>
      </c>
      <c r="B17" t="s">
        <v>9</v>
      </c>
      <c r="C17" s="3" t="s">
        <v>15</v>
      </c>
      <c r="D17" s="4">
        <v>44584</v>
      </c>
      <c r="E17" s="4" t="s">
        <v>105</v>
      </c>
      <c r="F17">
        <v>800</v>
      </c>
      <c r="G17">
        <v>14592</v>
      </c>
      <c r="H17">
        <v>6776</v>
      </c>
      <c r="I17">
        <v>7816</v>
      </c>
      <c r="M17" s="4"/>
      <c r="O17" s="4"/>
    </row>
    <row r="18" spans="1:15" ht="13.8" x14ac:dyDescent="0.25">
      <c r="A18" t="s">
        <v>126</v>
      </c>
      <c r="B18" t="s">
        <v>11</v>
      </c>
      <c r="C18" s="3" t="s">
        <v>15</v>
      </c>
      <c r="D18" s="4">
        <v>44585</v>
      </c>
      <c r="E18" s="4" t="s">
        <v>107</v>
      </c>
      <c r="F18">
        <v>600</v>
      </c>
      <c r="G18">
        <v>12606</v>
      </c>
      <c r="H18">
        <v>5082</v>
      </c>
      <c r="I18">
        <v>7524</v>
      </c>
      <c r="M18" s="4"/>
      <c r="O18" s="4"/>
    </row>
    <row r="19" spans="1:15" ht="13.8" x14ac:dyDescent="0.25">
      <c r="A19" t="s">
        <v>126</v>
      </c>
      <c r="B19" t="s">
        <v>11</v>
      </c>
      <c r="C19" s="3" t="s">
        <v>15</v>
      </c>
      <c r="D19" s="4">
        <v>44586</v>
      </c>
      <c r="E19" s="4" t="s">
        <v>109</v>
      </c>
      <c r="F19">
        <v>1000</v>
      </c>
      <c r="G19">
        <v>20770</v>
      </c>
      <c r="H19">
        <v>8470</v>
      </c>
      <c r="I19">
        <v>12300</v>
      </c>
      <c r="M19" s="4"/>
    </row>
    <row r="20" spans="1:15" ht="13.8" x14ac:dyDescent="0.25">
      <c r="A20" t="s">
        <v>126</v>
      </c>
      <c r="B20" t="s">
        <v>11</v>
      </c>
      <c r="C20" s="3" t="s">
        <v>15</v>
      </c>
      <c r="D20" s="4">
        <v>44587</v>
      </c>
      <c r="E20" s="4" t="s">
        <v>107</v>
      </c>
      <c r="F20">
        <v>400</v>
      </c>
      <c r="G20">
        <v>8128</v>
      </c>
      <c r="H20">
        <v>3388</v>
      </c>
      <c r="I20">
        <v>4740</v>
      </c>
      <c r="M20" s="4"/>
    </row>
    <row r="21" spans="1:15" ht="13.8" x14ac:dyDescent="0.25">
      <c r="A21" t="s">
        <v>127</v>
      </c>
      <c r="B21" t="s">
        <v>13</v>
      </c>
      <c r="C21" s="3" t="s">
        <v>15</v>
      </c>
      <c r="D21" s="4">
        <v>44590</v>
      </c>
      <c r="E21" s="4" t="s">
        <v>102</v>
      </c>
      <c r="F21">
        <v>400</v>
      </c>
      <c r="G21">
        <v>7136</v>
      </c>
      <c r="H21">
        <v>3388</v>
      </c>
      <c r="I21">
        <v>3748</v>
      </c>
      <c r="M21" s="4"/>
    </row>
    <row r="22" spans="1:15" ht="13.8" x14ac:dyDescent="0.25">
      <c r="A22" t="s">
        <v>130</v>
      </c>
      <c r="B22" t="s">
        <v>9</v>
      </c>
      <c r="C22" s="3" t="s">
        <v>12</v>
      </c>
      <c r="D22" s="4">
        <v>44590</v>
      </c>
      <c r="E22" s="4" t="s">
        <v>105</v>
      </c>
      <c r="F22">
        <v>700</v>
      </c>
      <c r="G22">
        <v>17150</v>
      </c>
      <c r="H22">
        <v>6888</v>
      </c>
      <c r="I22">
        <v>10262</v>
      </c>
      <c r="M22" s="4"/>
    </row>
    <row r="23" spans="1:15" ht="13.8" x14ac:dyDescent="0.25">
      <c r="A23" t="s">
        <v>129</v>
      </c>
      <c r="B23" t="s">
        <v>13</v>
      </c>
      <c r="C23" s="3" t="s">
        <v>12</v>
      </c>
      <c r="D23" s="4">
        <v>44591</v>
      </c>
      <c r="E23" s="4" t="s">
        <v>101</v>
      </c>
      <c r="F23">
        <v>300</v>
      </c>
      <c r="G23">
        <v>6714</v>
      </c>
      <c r="H23">
        <v>2952</v>
      </c>
      <c r="I23">
        <v>3762</v>
      </c>
      <c r="M23" s="4"/>
    </row>
    <row r="24" spans="1:15" ht="13.8" x14ac:dyDescent="0.25">
      <c r="A24" t="s">
        <v>130</v>
      </c>
      <c r="B24" t="s">
        <v>9</v>
      </c>
      <c r="C24" s="3" t="s">
        <v>15</v>
      </c>
      <c r="D24" s="4">
        <v>44592</v>
      </c>
      <c r="E24" s="4" t="s">
        <v>105</v>
      </c>
      <c r="F24">
        <v>800</v>
      </c>
      <c r="G24">
        <v>15640</v>
      </c>
      <c r="H24">
        <v>6776</v>
      </c>
      <c r="I24">
        <v>8864</v>
      </c>
      <c r="M24" s="4"/>
    </row>
    <row r="25" spans="1:15" ht="13.8" x14ac:dyDescent="0.25">
      <c r="A25" t="s">
        <v>129</v>
      </c>
      <c r="B25" t="s">
        <v>13</v>
      </c>
      <c r="C25" s="3" t="s">
        <v>15</v>
      </c>
      <c r="D25" s="4">
        <v>44593</v>
      </c>
      <c r="E25" s="4" t="s">
        <v>101</v>
      </c>
      <c r="F25">
        <v>300</v>
      </c>
      <c r="G25">
        <v>5532</v>
      </c>
      <c r="H25">
        <v>2541</v>
      </c>
      <c r="I25">
        <v>2991</v>
      </c>
      <c r="M25" s="4"/>
      <c r="O25" s="4"/>
    </row>
    <row r="26" spans="1:15" ht="13.8" x14ac:dyDescent="0.25">
      <c r="A26" t="s">
        <v>130</v>
      </c>
      <c r="B26" t="s">
        <v>11</v>
      </c>
      <c r="C26" s="3" t="s">
        <v>12</v>
      </c>
      <c r="D26" s="4">
        <v>44595</v>
      </c>
      <c r="E26" s="4" t="s">
        <v>106</v>
      </c>
      <c r="F26">
        <v>800</v>
      </c>
      <c r="G26">
        <v>17160</v>
      </c>
      <c r="H26">
        <v>7872</v>
      </c>
      <c r="I26">
        <v>9288</v>
      </c>
      <c r="M26" s="4"/>
    </row>
    <row r="27" spans="1:15" ht="13.8" x14ac:dyDescent="0.25">
      <c r="A27" t="s">
        <v>126</v>
      </c>
      <c r="B27" t="s">
        <v>11</v>
      </c>
      <c r="C27" s="3" t="s">
        <v>12</v>
      </c>
      <c r="D27" s="4">
        <v>44598</v>
      </c>
      <c r="E27" s="4" t="s">
        <v>128</v>
      </c>
      <c r="F27">
        <v>900</v>
      </c>
      <c r="G27">
        <v>21708</v>
      </c>
      <c r="H27">
        <v>8856</v>
      </c>
      <c r="I27">
        <v>12852</v>
      </c>
      <c r="M27" s="4"/>
      <c r="O27" s="4"/>
    </row>
    <row r="28" spans="1:15" ht="13.8" x14ac:dyDescent="0.25">
      <c r="A28" t="s">
        <v>126</v>
      </c>
      <c r="B28" t="s">
        <v>11</v>
      </c>
      <c r="C28" s="3" t="s">
        <v>15</v>
      </c>
      <c r="D28" s="4">
        <v>44599</v>
      </c>
      <c r="E28" s="4" t="s">
        <v>107</v>
      </c>
      <c r="F28">
        <v>1000</v>
      </c>
      <c r="G28">
        <v>19890</v>
      </c>
      <c r="H28">
        <v>8470</v>
      </c>
      <c r="I28">
        <v>11420</v>
      </c>
      <c r="M28" s="4"/>
    </row>
    <row r="29" spans="1:15" ht="13.8" x14ac:dyDescent="0.25">
      <c r="A29" t="s">
        <v>126</v>
      </c>
      <c r="B29" t="s">
        <v>11</v>
      </c>
      <c r="C29" s="3" t="s">
        <v>15</v>
      </c>
      <c r="D29" s="4">
        <v>44600</v>
      </c>
      <c r="E29" s="4" t="s">
        <v>109</v>
      </c>
      <c r="F29">
        <v>100</v>
      </c>
      <c r="G29">
        <v>1817</v>
      </c>
      <c r="H29">
        <v>847</v>
      </c>
      <c r="I29">
        <v>970</v>
      </c>
    </row>
    <row r="30" spans="1:15" ht="13.8" x14ac:dyDescent="0.25">
      <c r="A30" t="s">
        <v>130</v>
      </c>
      <c r="B30" t="s">
        <v>9</v>
      </c>
      <c r="C30" s="3" t="s">
        <v>15</v>
      </c>
      <c r="D30" s="4">
        <v>44601</v>
      </c>
      <c r="E30" s="4" t="s">
        <v>105</v>
      </c>
      <c r="F30">
        <v>300</v>
      </c>
      <c r="G30">
        <v>5157</v>
      </c>
      <c r="H30">
        <v>2541</v>
      </c>
      <c r="I30">
        <v>2616</v>
      </c>
    </row>
    <row r="31" spans="1:15" ht="13.8" x14ac:dyDescent="0.25">
      <c r="A31" t="s">
        <v>126</v>
      </c>
      <c r="B31" t="s">
        <v>11</v>
      </c>
      <c r="C31" s="3" t="s">
        <v>12</v>
      </c>
      <c r="D31" s="4">
        <v>44606</v>
      </c>
      <c r="E31" s="4" t="s">
        <v>109</v>
      </c>
      <c r="F31">
        <v>700</v>
      </c>
      <c r="G31">
        <v>13867</v>
      </c>
      <c r="H31">
        <v>6888</v>
      </c>
      <c r="I31">
        <v>6979</v>
      </c>
    </row>
    <row r="32" spans="1:15" ht="13.8" x14ac:dyDescent="0.25">
      <c r="A32" t="s">
        <v>126</v>
      </c>
      <c r="B32" t="s">
        <v>9</v>
      </c>
      <c r="C32" s="3" t="s">
        <v>10</v>
      </c>
      <c r="D32" s="4">
        <v>44608</v>
      </c>
      <c r="E32" s="4" t="s">
        <v>111</v>
      </c>
      <c r="F32">
        <v>800</v>
      </c>
      <c r="G32">
        <v>16936</v>
      </c>
      <c r="H32">
        <v>8176</v>
      </c>
      <c r="I32">
        <v>8760</v>
      </c>
    </row>
    <row r="33" spans="1:9" ht="13.8" x14ac:dyDescent="0.25">
      <c r="A33" t="s">
        <v>16</v>
      </c>
      <c r="B33" t="s">
        <v>13</v>
      </c>
      <c r="C33" s="3" t="s">
        <v>15</v>
      </c>
      <c r="D33" s="4">
        <v>44609</v>
      </c>
      <c r="E33" s="4" t="s">
        <v>112</v>
      </c>
      <c r="F33">
        <v>600</v>
      </c>
      <c r="G33">
        <v>11430</v>
      </c>
      <c r="H33">
        <v>5082</v>
      </c>
      <c r="I33">
        <v>6348</v>
      </c>
    </row>
    <row r="34" spans="1:9" ht="13.8" x14ac:dyDescent="0.25">
      <c r="A34" t="s">
        <v>129</v>
      </c>
      <c r="B34" t="s">
        <v>13</v>
      </c>
      <c r="C34" s="3" t="s">
        <v>15</v>
      </c>
      <c r="D34" s="4">
        <v>44610</v>
      </c>
      <c r="E34" s="4" t="s">
        <v>101</v>
      </c>
      <c r="F34">
        <v>1000</v>
      </c>
      <c r="G34">
        <v>20250</v>
      </c>
      <c r="H34">
        <v>8470</v>
      </c>
      <c r="I34">
        <v>11780</v>
      </c>
    </row>
    <row r="35" spans="1:9" ht="13.8" x14ac:dyDescent="0.25">
      <c r="A35" t="s">
        <v>129</v>
      </c>
      <c r="B35" t="s">
        <v>13</v>
      </c>
      <c r="C35" s="3" t="s">
        <v>15</v>
      </c>
      <c r="D35" s="4">
        <v>44611</v>
      </c>
      <c r="E35" s="4" t="s">
        <v>101</v>
      </c>
      <c r="F35">
        <v>500</v>
      </c>
      <c r="G35">
        <v>10385</v>
      </c>
      <c r="H35">
        <v>4235</v>
      </c>
      <c r="I35">
        <v>6150</v>
      </c>
    </row>
    <row r="36" spans="1:9" ht="13.8" x14ac:dyDescent="0.25">
      <c r="A36" t="s">
        <v>16</v>
      </c>
      <c r="B36" t="s">
        <v>13</v>
      </c>
      <c r="C36" s="3" t="s">
        <v>15</v>
      </c>
      <c r="D36" s="4">
        <v>44612</v>
      </c>
      <c r="E36" s="4" t="s">
        <v>112</v>
      </c>
      <c r="F36">
        <v>600</v>
      </c>
      <c r="G36">
        <v>11124</v>
      </c>
      <c r="H36">
        <v>5082</v>
      </c>
      <c r="I36">
        <v>6042</v>
      </c>
    </row>
    <row r="37" spans="1:9" ht="13.8" x14ac:dyDescent="0.25">
      <c r="A37" t="s">
        <v>126</v>
      </c>
      <c r="B37" t="s">
        <v>9</v>
      </c>
      <c r="C37" s="3" t="s">
        <v>15</v>
      </c>
      <c r="D37" s="4">
        <v>44612</v>
      </c>
      <c r="E37" s="4" t="s">
        <v>100</v>
      </c>
      <c r="F37">
        <v>300</v>
      </c>
      <c r="G37">
        <v>5700</v>
      </c>
      <c r="H37">
        <v>2541</v>
      </c>
      <c r="I37">
        <v>3159</v>
      </c>
    </row>
    <row r="38" spans="1:9" ht="13.8" x14ac:dyDescent="0.25">
      <c r="A38" t="s">
        <v>129</v>
      </c>
      <c r="B38" t="s">
        <v>13</v>
      </c>
      <c r="C38" s="3" t="s">
        <v>10</v>
      </c>
      <c r="D38" s="4">
        <v>44612</v>
      </c>
      <c r="E38" s="4" t="s">
        <v>101</v>
      </c>
      <c r="F38">
        <v>1000</v>
      </c>
      <c r="G38">
        <v>23810</v>
      </c>
      <c r="H38">
        <v>10220</v>
      </c>
      <c r="I38">
        <v>13590</v>
      </c>
    </row>
    <row r="39" spans="1:9" ht="13.8" x14ac:dyDescent="0.25">
      <c r="A39" t="s">
        <v>129</v>
      </c>
      <c r="B39" t="s">
        <v>13</v>
      </c>
      <c r="C39" s="3" t="s">
        <v>10</v>
      </c>
      <c r="D39" s="4">
        <v>44615</v>
      </c>
      <c r="E39" s="4" t="s">
        <v>101</v>
      </c>
      <c r="F39">
        <v>500</v>
      </c>
      <c r="G39">
        <v>11525</v>
      </c>
      <c r="H39">
        <v>5110</v>
      </c>
      <c r="I39">
        <v>6415</v>
      </c>
    </row>
    <row r="40" spans="1:9" ht="13.8" x14ac:dyDescent="0.25">
      <c r="A40" t="s">
        <v>126</v>
      </c>
      <c r="B40" t="s">
        <v>14</v>
      </c>
      <c r="C40" s="3" t="s">
        <v>12</v>
      </c>
      <c r="D40" s="4">
        <v>44618</v>
      </c>
      <c r="E40" s="4" t="s">
        <v>113</v>
      </c>
      <c r="F40">
        <v>900</v>
      </c>
      <c r="G40">
        <v>20610</v>
      </c>
      <c r="H40">
        <v>8856</v>
      </c>
      <c r="I40">
        <v>11754</v>
      </c>
    </row>
    <row r="41" spans="1:9" ht="13.8" x14ac:dyDescent="0.25">
      <c r="A41" t="s">
        <v>126</v>
      </c>
      <c r="B41" t="s">
        <v>9</v>
      </c>
      <c r="C41" s="3" t="s">
        <v>12</v>
      </c>
      <c r="D41" s="4">
        <v>44618</v>
      </c>
      <c r="E41" s="4" t="s">
        <v>100</v>
      </c>
      <c r="F41">
        <v>600</v>
      </c>
      <c r="G41">
        <v>13206</v>
      </c>
      <c r="H41">
        <v>5904</v>
      </c>
      <c r="I41">
        <v>7302</v>
      </c>
    </row>
    <row r="42" spans="1:9" ht="13.8" x14ac:dyDescent="0.25">
      <c r="A42" t="s">
        <v>129</v>
      </c>
      <c r="B42" t="s">
        <v>13</v>
      </c>
      <c r="C42" s="3" t="s">
        <v>10</v>
      </c>
      <c r="D42" s="4">
        <v>44618</v>
      </c>
      <c r="E42" s="4" t="s">
        <v>101</v>
      </c>
      <c r="F42">
        <v>1000</v>
      </c>
      <c r="G42">
        <v>25140</v>
      </c>
      <c r="H42">
        <v>10220</v>
      </c>
      <c r="I42">
        <v>14920</v>
      </c>
    </row>
    <row r="43" spans="1:9" ht="13.8" x14ac:dyDescent="0.25">
      <c r="A43" t="s">
        <v>126</v>
      </c>
      <c r="B43" t="s">
        <v>9</v>
      </c>
      <c r="C43" s="3" t="s">
        <v>15</v>
      </c>
      <c r="D43" s="4">
        <v>44619</v>
      </c>
      <c r="E43" s="4" t="s">
        <v>100</v>
      </c>
      <c r="F43">
        <v>900</v>
      </c>
      <c r="G43">
        <v>16209</v>
      </c>
      <c r="H43">
        <v>7623</v>
      </c>
      <c r="I43">
        <v>8586</v>
      </c>
    </row>
    <row r="44" spans="1:9" ht="13.8" x14ac:dyDescent="0.25">
      <c r="A44" t="s">
        <v>129</v>
      </c>
      <c r="B44" t="s">
        <v>13</v>
      </c>
      <c r="C44" s="3" t="s">
        <v>12</v>
      </c>
      <c r="D44" s="4">
        <v>44619</v>
      </c>
      <c r="E44" s="4" t="s">
        <v>101</v>
      </c>
      <c r="F44">
        <v>400</v>
      </c>
      <c r="G44">
        <v>8708</v>
      </c>
      <c r="H44">
        <v>3936</v>
      </c>
      <c r="I44">
        <v>4772</v>
      </c>
    </row>
    <row r="45" spans="1:9" ht="13.8" x14ac:dyDescent="0.25">
      <c r="A45" t="s">
        <v>130</v>
      </c>
      <c r="B45" t="s">
        <v>9</v>
      </c>
      <c r="C45" s="3" t="s">
        <v>10</v>
      </c>
      <c r="D45" s="4">
        <v>44620</v>
      </c>
      <c r="E45" s="4" t="s">
        <v>105</v>
      </c>
      <c r="F45">
        <v>900</v>
      </c>
      <c r="G45">
        <v>21456</v>
      </c>
      <c r="H45">
        <v>9198</v>
      </c>
      <c r="I45">
        <v>12258</v>
      </c>
    </row>
    <row r="46" spans="1:9" ht="13.8" x14ac:dyDescent="0.25">
      <c r="A46" t="s">
        <v>129</v>
      </c>
      <c r="B46" t="s">
        <v>13</v>
      </c>
      <c r="C46" s="3" t="s">
        <v>10</v>
      </c>
      <c r="D46" s="4">
        <v>44621</v>
      </c>
      <c r="E46" s="4" t="s">
        <v>101</v>
      </c>
      <c r="F46">
        <v>500</v>
      </c>
      <c r="G46">
        <v>10445</v>
      </c>
      <c r="H46">
        <v>5110</v>
      </c>
      <c r="I46">
        <v>5335</v>
      </c>
    </row>
    <row r="47" spans="1:9" ht="13.8" x14ac:dyDescent="0.25">
      <c r="A47" t="s">
        <v>126</v>
      </c>
      <c r="B47" t="s">
        <v>11</v>
      </c>
      <c r="C47" s="3" t="s">
        <v>12</v>
      </c>
      <c r="D47" s="4">
        <v>44624</v>
      </c>
      <c r="E47" s="4" t="s">
        <v>128</v>
      </c>
      <c r="F47">
        <v>600</v>
      </c>
      <c r="G47">
        <v>14472</v>
      </c>
      <c r="H47">
        <v>5904</v>
      </c>
      <c r="I47">
        <v>8568</v>
      </c>
    </row>
    <row r="48" spans="1:9" ht="13.8" x14ac:dyDescent="0.25">
      <c r="A48" t="s">
        <v>129</v>
      </c>
      <c r="B48" t="s">
        <v>13</v>
      </c>
      <c r="C48" s="3" t="s">
        <v>10</v>
      </c>
      <c r="D48" s="4">
        <v>44625</v>
      </c>
      <c r="E48" s="4" t="s">
        <v>101</v>
      </c>
      <c r="F48">
        <v>200</v>
      </c>
      <c r="G48">
        <v>4262</v>
      </c>
      <c r="H48">
        <v>2044</v>
      </c>
      <c r="I48">
        <v>2218</v>
      </c>
    </row>
    <row r="49" spans="1:9" ht="13.8" x14ac:dyDescent="0.25">
      <c r="A49" t="s">
        <v>126</v>
      </c>
      <c r="B49" t="s">
        <v>9</v>
      </c>
      <c r="C49" s="3" t="s">
        <v>15</v>
      </c>
      <c r="D49" s="4">
        <v>44626</v>
      </c>
      <c r="E49" s="4" t="s">
        <v>114</v>
      </c>
      <c r="F49">
        <v>700</v>
      </c>
      <c r="G49">
        <v>12474</v>
      </c>
      <c r="H49">
        <v>5929</v>
      </c>
      <c r="I49">
        <v>6545</v>
      </c>
    </row>
    <row r="50" spans="1:9" ht="13.8" x14ac:dyDescent="0.25">
      <c r="A50" t="s">
        <v>16</v>
      </c>
      <c r="B50" t="s">
        <v>13</v>
      </c>
      <c r="C50" s="3" t="s">
        <v>15</v>
      </c>
      <c r="D50" s="4">
        <v>44627</v>
      </c>
      <c r="E50" s="4" t="s">
        <v>112</v>
      </c>
      <c r="F50">
        <v>500</v>
      </c>
      <c r="G50">
        <v>10155</v>
      </c>
      <c r="H50">
        <v>4235</v>
      </c>
      <c r="I50">
        <v>5920</v>
      </c>
    </row>
    <row r="51" spans="1:9" ht="13.8" x14ac:dyDescent="0.25">
      <c r="A51" t="s">
        <v>129</v>
      </c>
      <c r="B51" t="s">
        <v>13</v>
      </c>
      <c r="C51" s="3" t="s">
        <v>12</v>
      </c>
      <c r="D51" s="4">
        <v>44630</v>
      </c>
      <c r="E51" s="4" t="s">
        <v>101</v>
      </c>
      <c r="F51">
        <v>900</v>
      </c>
      <c r="G51">
        <v>19503</v>
      </c>
      <c r="H51">
        <v>8856</v>
      </c>
      <c r="I51">
        <v>10647</v>
      </c>
    </row>
    <row r="52" spans="1:9" ht="13.8" x14ac:dyDescent="0.25">
      <c r="A52" t="s">
        <v>126</v>
      </c>
      <c r="B52" t="s">
        <v>11</v>
      </c>
      <c r="C52" s="3" t="s">
        <v>15</v>
      </c>
      <c r="D52" s="4">
        <v>44633</v>
      </c>
      <c r="E52" s="4" t="s">
        <v>107</v>
      </c>
      <c r="F52">
        <v>100</v>
      </c>
      <c r="G52">
        <v>1819</v>
      </c>
      <c r="H52">
        <v>847</v>
      </c>
      <c r="I52">
        <v>972</v>
      </c>
    </row>
    <row r="53" spans="1:9" ht="13.8" x14ac:dyDescent="0.25">
      <c r="A53" t="s">
        <v>126</v>
      </c>
      <c r="B53" t="s">
        <v>11</v>
      </c>
      <c r="C53" s="3" t="s">
        <v>10</v>
      </c>
      <c r="D53" s="4">
        <v>44634</v>
      </c>
      <c r="E53" s="4" t="s">
        <v>109</v>
      </c>
      <c r="F53">
        <v>1000</v>
      </c>
      <c r="G53">
        <v>24430</v>
      </c>
      <c r="H53">
        <v>10220</v>
      </c>
      <c r="I53">
        <v>14210</v>
      </c>
    </row>
    <row r="54" spans="1:9" ht="13.8" x14ac:dyDescent="0.25">
      <c r="A54" t="s">
        <v>129</v>
      </c>
      <c r="B54" t="s">
        <v>13</v>
      </c>
      <c r="C54" s="3" t="s">
        <v>10</v>
      </c>
      <c r="D54" s="4">
        <v>44634</v>
      </c>
      <c r="E54" s="4" t="s">
        <v>101</v>
      </c>
      <c r="F54">
        <v>500</v>
      </c>
      <c r="G54">
        <v>10935</v>
      </c>
      <c r="H54">
        <v>5110</v>
      </c>
      <c r="I54">
        <v>5825</v>
      </c>
    </row>
    <row r="55" spans="1:9" ht="13.8" x14ac:dyDescent="0.25">
      <c r="A55" t="s">
        <v>126</v>
      </c>
      <c r="B55" t="s">
        <v>14</v>
      </c>
      <c r="C55" s="3" t="s">
        <v>15</v>
      </c>
      <c r="D55" s="4">
        <v>44636</v>
      </c>
      <c r="E55" s="4" t="s">
        <v>113</v>
      </c>
      <c r="F55">
        <v>400</v>
      </c>
      <c r="G55">
        <v>8116</v>
      </c>
      <c r="H55">
        <v>3388</v>
      </c>
      <c r="I55">
        <v>4728</v>
      </c>
    </row>
    <row r="56" spans="1:9" ht="13.8" x14ac:dyDescent="0.25">
      <c r="A56" t="s">
        <v>126</v>
      </c>
      <c r="B56" t="s">
        <v>11</v>
      </c>
      <c r="C56" s="3" t="s">
        <v>10</v>
      </c>
      <c r="D56" s="4">
        <v>44637</v>
      </c>
      <c r="E56" s="4" t="s">
        <v>109</v>
      </c>
      <c r="F56">
        <v>900</v>
      </c>
      <c r="G56">
        <v>18783</v>
      </c>
      <c r="H56">
        <v>9198</v>
      </c>
      <c r="I56">
        <v>9585</v>
      </c>
    </row>
    <row r="57" spans="1:9" ht="13.8" x14ac:dyDescent="0.25">
      <c r="A57" t="s">
        <v>129</v>
      </c>
      <c r="B57" t="s">
        <v>13</v>
      </c>
      <c r="C57" s="3" t="s">
        <v>15</v>
      </c>
      <c r="D57" s="4">
        <v>44639</v>
      </c>
      <c r="E57" s="4" t="s">
        <v>101</v>
      </c>
      <c r="F57">
        <v>800</v>
      </c>
      <c r="G57">
        <v>16696</v>
      </c>
      <c r="H57">
        <v>6776</v>
      </c>
      <c r="I57">
        <v>9920</v>
      </c>
    </row>
    <row r="58" spans="1:9" ht="13.8" x14ac:dyDescent="0.25">
      <c r="A58" t="s">
        <v>126</v>
      </c>
      <c r="B58" t="s">
        <v>11</v>
      </c>
      <c r="C58" s="3" t="s">
        <v>15</v>
      </c>
      <c r="D58" s="4">
        <v>44640</v>
      </c>
      <c r="E58" s="4" t="s">
        <v>128</v>
      </c>
      <c r="F58">
        <v>400</v>
      </c>
      <c r="G58">
        <v>7132</v>
      </c>
      <c r="H58">
        <v>3388</v>
      </c>
      <c r="I58">
        <v>3744</v>
      </c>
    </row>
    <row r="59" spans="1:9" ht="13.8" x14ac:dyDescent="0.25">
      <c r="A59" t="s">
        <v>126</v>
      </c>
      <c r="B59" t="s">
        <v>11</v>
      </c>
      <c r="C59" s="3" t="s">
        <v>10</v>
      </c>
      <c r="D59" s="4">
        <v>44641</v>
      </c>
      <c r="E59" s="4" t="s">
        <v>128</v>
      </c>
      <c r="F59">
        <v>200</v>
      </c>
      <c r="G59">
        <v>4784</v>
      </c>
      <c r="H59">
        <v>2044</v>
      </c>
      <c r="I59">
        <v>2740</v>
      </c>
    </row>
    <row r="60" spans="1:9" ht="13.8" x14ac:dyDescent="0.25">
      <c r="A60" t="s">
        <v>126</v>
      </c>
      <c r="B60" t="s">
        <v>13</v>
      </c>
      <c r="C60" s="3" t="s">
        <v>10</v>
      </c>
      <c r="D60" s="4">
        <v>44642</v>
      </c>
      <c r="E60" s="4" t="s">
        <v>108</v>
      </c>
      <c r="F60">
        <v>300</v>
      </c>
      <c r="G60">
        <v>6765</v>
      </c>
      <c r="H60">
        <v>3066</v>
      </c>
      <c r="I60">
        <v>3699</v>
      </c>
    </row>
    <row r="61" spans="1:9" ht="13.8" x14ac:dyDescent="0.25">
      <c r="A61" t="s">
        <v>129</v>
      </c>
      <c r="B61" t="s">
        <v>13</v>
      </c>
      <c r="C61" s="3" t="s">
        <v>15</v>
      </c>
      <c r="D61" s="4">
        <v>44643</v>
      </c>
      <c r="E61" s="4" t="s">
        <v>101</v>
      </c>
      <c r="F61">
        <v>300</v>
      </c>
      <c r="G61">
        <v>5355</v>
      </c>
      <c r="H61">
        <v>2541</v>
      </c>
      <c r="I61">
        <v>2814</v>
      </c>
    </row>
    <row r="62" spans="1:9" ht="13.8" x14ac:dyDescent="0.25">
      <c r="A62" t="s">
        <v>129</v>
      </c>
      <c r="B62" t="s">
        <v>13</v>
      </c>
      <c r="C62" s="3" t="s">
        <v>15</v>
      </c>
      <c r="D62" s="4">
        <v>44644</v>
      </c>
      <c r="E62" s="4" t="s">
        <v>101</v>
      </c>
      <c r="F62">
        <v>200</v>
      </c>
      <c r="G62">
        <v>3756</v>
      </c>
      <c r="H62">
        <v>1694</v>
      </c>
      <c r="I62">
        <v>2062</v>
      </c>
    </row>
    <row r="63" spans="1:9" ht="13.8" x14ac:dyDescent="0.25">
      <c r="A63" t="s">
        <v>130</v>
      </c>
      <c r="B63" t="s">
        <v>9</v>
      </c>
      <c r="C63" s="3" t="s">
        <v>12</v>
      </c>
      <c r="D63" s="4">
        <v>44645</v>
      </c>
      <c r="E63" s="4" t="s">
        <v>105</v>
      </c>
      <c r="F63">
        <v>1000</v>
      </c>
      <c r="G63">
        <v>20090</v>
      </c>
      <c r="H63">
        <v>9840</v>
      </c>
      <c r="I63">
        <v>10250</v>
      </c>
    </row>
    <row r="64" spans="1:9" ht="13.8" x14ac:dyDescent="0.25">
      <c r="A64" t="s">
        <v>126</v>
      </c>
      <c r="B64" t="s">
        <v>9</v>
      </c>
      <c r="C64" s="3" t="s">
        <v>10</v>
      </c>
      <c r="D64" s="4">
        <v>44646</v>
      </c>
      <c r="E64" s="4" t="s">
        <v>100</v>
      </c>
      <c r="F64">
        <v>1000</v>
      </c>
      <c r="G64">
        <v>23090</v>
      </c>
      <c r="H64">
        <v>10220</v>
      </c>
      <c r="I64">
        <v>12870</v>
      </c>
    </row>
    <row r="65" spans="1:9" ht="13.8" x14ac:dyDescent="0.25">
      <c r="A65" t="s">
        <v>126</v>
      </c>
      <c r="B65" t="s">
        <v>13</v>
      </c>
      <c r="C65" s="3" t="s">
        <v>12</v>
      </c>
      <c r="D65" s="4">
        <v>44648</v>
      </c>
      <c r="E65" s="4" t="s">
        <v>108</v>
      </c>
      <c r="F65">
        <v>900</v>
      </c>
      <c r="G65">
        <v>21357</v>
      </c>
      <c r="H65">
        <v>8856</v>
      </c>
      <c r="I65">
        <v>12501</v>
      </c>
    </row>
    <row r="66" spans="1:9" ht="13.8" x14ac:dyDescent="0.25">
      <c r="A66" t="s">
        <v>130</v>
      </c>
      <c r="B66" t="s">
        <v>9</v>
      </c>
      <c r="C66" s="3" t="s">
        <v>15</v>
      </c>
      <c r="D66" s="4">
        <v>44648</v>
      </c>
      <c r="E66" s="4" t="s">
        <v>105</v>
      </c>
      <c r="F66">
        <v>300</v>
      </c>
      <c r="G66">
        <v>5358</v>
      </c>
      <c r="H66">
        <v>2541</v>
      </c>
      <c r="I66">
        <v>2817</v>
      </c>
    </row>
    <row r="67" spans="1:9" ht="13.8" x14ac:dyDescent="0.25">
      <c r="A67" t="s">
        <v>126</v>
      </c>
      <c r="B67" t="s">
        <v>11</v>
      </c>
      <c r="C67" s="3" t="s">
        <v>12</v>
      </c>
      <c r="D67" s="4">
        <v>44650</v>
      </c>
      <c r="E67" s="4" t="s">
        <v>128</v>
      </c>
      <c r="F67">
        <v>800</v>
      </c>
      <c r="G67">
        <v>16016</v>
      </c>
      <c r="H67">
        <v>7872</v>
      </c>
      <c r="I67">
        <v>8144</v>
      </c>
    </row>
    <row r="68" spans="1:9" ht="13.8" x14ac:dyDescent="0.25">
      <c r="A68" t="s">
        <v>126</v>
      </c>
      <c r="B68" t="s">
        <v>13</v>
      </c>
      <c r="C68" s="3" t="s">
        <v>10</v>
      </c>
      <c r="D68" s="4">
        <v>44652</v>
      </c>
      <c r="E68" s="4" t="s">
        <v>108</v>
      </c>
      <c r="F68">
        <v>600</v>
      </c>
      <c r="G68">
        <v>14448</v>
      </c>
      <c r="H68">
        <v>6132</v>
      </c>
      <c r="I68">
        <v>8316</v>
      </c>
    </row>
    <row r="69" spans="1:9" ht="13.8" x14ac:dyDescent="0.25">
      <c r="A69" t="s">
        <v>126</v>
      </c>
      <c r="B69" t="s">
        <v>13</v>
      </c>
      <c r="C69" s="3" t="s">
        <v>15</v>
      </c>
      <c r="D69" s="4">
        <v>44653</v>
      </c>
      <c r="E69" s="4" t="s">
        <v>108</v>
      </c>
      <c r="F69">
        <v>300</v>
      </c>
      <c r="G69">
        <v>5370</v>
      </c>
      <c r="H69">
        <v>2541</v>
      </c>
      <c r="I69">
        <v>2829</v>
      </c>
    </row>
    <row r="70" spans="1:9" ht="13.8" x14ac:dyDescent="0.25">
      <c r="A70" t="s">
        <v>126</v>
      </c>
      <c r="B70" t="s">
        <v>9</v>
      </c>
      <c r="C70" s="3" t="s">
        <v>10</v>
      </c>
      <c r="D70" s="4">
        <v>44655</v>
      </c>
      <c r="E70" s="4" t="s">
        <v>114</v>
      </c>
      <c r="F70">
        <v>800</v>
      </c>
      <c r="G70">
        <v>20408</v>
      </c>
      <c r="H70">
        <v>8176</v>
      </c>
      <c r="I70">
        <v>12232</v>
      </c>
    </row>
    <row r="71" spans="1:9" ht="13.8" x14ac:dyDescent="0.25">
      <c r="A71" t="s">
        <v>16</v>
      </c>
      <c r="B71" t="s">
        <v>13</v>
      </c>
      <c r="C71" s="3" t="s">
        <v>12</v>
      </c>
      <c r="D71" s="4">
        <v>44655</v>
      </c>
      <c r="E71" s="4" t="s">
        <v>112</v>
      </c>
      <c r="F71">
        <v>400</v>
      </c>
      <c r="G71">
        <v>8632</v>
      </c>
      <c r="H71">
        <v>3936</v>
      </c>
      <c r="I71">
        <v>4696</v>
      </c>
    </row>
    <row r="72" spans="1:9" ht="13.8" x14ac:dyDescent="0.25">
      <c r="A72" t="s">
        <v>16</v>
      </c>
      <c r="B72" t="s">
        <v>13</v>
      </c>
      <c r="C72" s="3" t="s">
        <v>12</v>
      </c>
      <c r="D72" s="4">
        <v>44655</v>
      </c>
      <c r="E72" s="4" t="s">
        <v>112</v>
      </c>
      <c r="F72">
        <v>300</v>
      </c>
      <c r="G72">
        <v>6588</v>
      </c>
      <c r="H72">
        <v>2952</v>
      </c>
      <c r="I72">
        <v>3636</v>
      </c>
    </row>
    <row r="73" spans="1:9" ht="13.8" x14ac:dyDescent="0.25">
      <c r="A73" t="s">
        <v>130</v>
      </c>
      <c r="B73" t="s">
        <v>11</v>
      </c>
      <c r="C73" s="3" t="s">
        <v>10</v>
      </c>
      <c r="D73" s="4">
        <v>44656</v>
      </c>
      <c r="E73" s="4" t="s">
        <v>106</v>
      </c>
      <c r="F73">
        <v>100</v>
      </c>
      <c r="G73">
        <v>2466</v>
      </c>
      <c r="H73">
        <v>1022</v>
      </c>
      <c r="I73">
        <v>1444</v>
      </c>
    </row>
    <row r="74" spans="1:9" ht="13.8" x14ac:dyDescent="0.25">
      <c r="A74" t="s">
        <v>131</v>
      </c>
      <c r="B74" t="s">
        <v>13</v>
      </c>
      <c r="C74" s="3" t="s">
        <v>15</v>
      </c>
      <c r="D74" s="4">
        <v>44658</v>
      </c>
      <c r="E74" s="4" t="s">
        <v>115</v>
      </c>
      <c r="F74">
        <v>700</v>
      </c>
      <c r="G74">
        <v>14686</v>
      </c>
      <c r="H74">
        <v>5929</v>
      </c>
      <c r="I74">
        <v>8757</v>
      </c>
    </row>
    <row r="75" spans="1:9" ht="13.8" x14ac:dyDescent="0.25">
      <c r="A75" t="s">
        <v>126</v>
      </c>
      <c r="B75" t="s">
        <v>11</v>
      </c>
      <c r="C75" s="3" t="s">
        <v>15</v>
      </c>
      <c r="D75" s="4">
        <v>44658</v>
      </c>
      <c r="E75" s="4" t="s">
        <v>128</v>
      </c>
      <c r="F75">
        <v>300</v>
      </c>
      <c r="G75">
        <v>5886</v>
      </c>
      <c r="H75">
        <v>2541</v>
      </c>
      <c r="I75">
        <v>3345</v>
      </c>
    </row>
    <row r="76" spans="1:9" ht="13.8" x14ac:dyDescent="0.25">
      <c r="A76" t="s">
        <v>16</v>
      </c>
      <c r="B76" t="s">
        <v>13</v>
      </c>
      <c r="C76" s="3" t="s">
        <v>12</v>
      </c>
      <c r="D76" s="4">
        <v>44661</v>
      </c>
      <c r="E76" s="4" t="s">
        <v>112</v>
      </c>
      <c r="F76">
        <v>500</v>
      </c>
      <c r="G76">
        <v>12095</v>
      </c>
      <c r="H76">
        <v>4920</v>
      </c>
      <c r="I76">
        <v>7175</v>
      </c>
    </row>
    <row r="77" spans="1:9" ht="13.8" x14ac:dyDescent="0.25">
      <c r="A77" t="s">
        <v>126</v>
      </c>
      <c r="B77" t="s">
        <v>11</v>
      </c>
      <c r="C77" s="3" t="s">
        <v>10</v>
      </c>
      <c r="D77" s="4">
        <v>44662</v>
      </c>
      <c r="E77" s="4" t="s">
        <v>107</v>
      </c>
      <c r="F77">
        <v>900</v>
      </c>
      <c r="G77">
        <v>19539</v>
      </c>
      <c r="H77">
        <v>9198</v>
      </c>
      <c r="I77">
        <v>10341</v>
      </c>
    </row>
    <row r="78" spans="1:9" ht="13.8" x14ac:dyDescent="0.25">
      <c r="A78" t="s">
        <v>126</v>
      </c>
      <c r="B78" t="s">
        <v>11</v>
      </c>
      <c r="C78" s="3" t="s">
        <v>15</v>
      </c>
      <c r="D78" s="4">
        <v>44663</v>
      </c>
      <c r="E78" s="4" t="s">
        <v>128</v>
      </c>
      <c r="F78">
        <v>300</v>
      </c>
      <c r="G78">
        <v>6063</v>
      </c>
      <c r="H78">
        <v>2541</v>
      </c>
      <c r="I78">
        <v>3522</v>
      </c>
    </row>
    <row r="79" spans="1:9" ht="13.8" x14ac:dyDescent="0.25">
      <c r="A79" t="s">
        <v>126</v>
      </c>
      <c r="B79" t="s">
        <v>11</v>
      </c>
      <c r="C79" s="3" t="s">
        <v>15</v>
      </c>
      <c r="D79" s="4">
        <v>44664</v>
      </c>
      <c r="E79" s="4" t="s">
        <v>128</v>
      </c>
      <c r="F79">
        <v>600</v>
      </c>
      <c r="G79">
        <v>11598</v>
      </c>
      <c r="H79">
        <v>5082</v>
      </c>
      <c r="I79">
        <v>6516</v>
      </c>
    </row>
    <row r="80" spans="1:9" ht="13.8" x14ac:dyDescent="0.25">
      <c r="A80" t="s">
        <v>126</v>
      </c>
      <c r="B80" t="s">
        <v>11</v>
      </c>
      <c r="C80" s="3" t="s">
        <v>15</v>
      </c>
      <c r="D80" s="4">
        <v>44665</v>
      </c>
      <c r="E80" s="4" t="s">
        <v>109</v>
      </c>
      <c r="F80">
        <v>400</v>
      </c>
      <c r="G80">
        <v>8016</v>
      </c>
      <c r="H80">
        <v>3388</v>
      </c>
      <c r="I80">
        <v>4628</v>
      </c>
    </row>
    <row r="81" spans="1:9" ht="13.8" x14ac:dyDescent="0.25">
      <c r="A81" t="s">
        <v>130</v>
      </c>
      <c r="B81" t="s">
        <v>11</v>
      </c>
      <c r="C81" s="3" t="s">
        <v>10</v>
      </c>
      <c r="D81" s="4">
        <v>44671</v>
      </c>
      <c r="E81" s="4" t="s">
        <v>106</v>
      </c>
      <c r="F81">
        <v>1000</v>
      </c>
      <c r="G81">
        <v>21880</v>
      </c>
      <c r="H81">
        <v>10220</v>
      </c>
      <c r="I81">
        <v>11660</v>
      </c>
    </row>
    <row r="82" spans="1:9" ht="13.8" x14ac:dyDescent="0.25">
      <c r="A82" t="s">
        <v>16</v>
      </c>
      <c r="B82" t="s">
        <v>14</v>
      </c>
      <c r="C82" s="3" t="s">
        <v>17</v>
      </c>
      <c r="D82" s="4">
        <v>44671</v>
      </c>
      <c r="E82" s="4" t="s">
        <v>116</v>
      </c>
      <c r="F82">
        <v>200</v>
      </c>
      <c r="G82">
        <v>4948</v>
      </c>
      <c r="H82">
        <v>2044</v>
      </c>
      <c r="I82">
        <v>2904</v>
      </c>
    </row>
    <row r="83" spans="1:9" ht="13.8" x14ac:dyDescent="0.25">
      <c r="A83" t="s">
        <v>129</v>
      </c>
      <c r="B83" t="s">
        <v>13</v>
      </c>
      <c r="C83" s="3" t="s">
        <v>10</v>
      </c>
      <c r="D83" s="4">
        <v>44673</v>
      </c>
      <c r="E83" s="4" t="s">
        <v>101</v>
      </c>
      <c r="F83">
        <v>700</v>
      </c>
      <c r="G83">
        <v>15834</v>
      </c>
      <c r="H83">
        <v>7154</v>
      </c>
      <c r="I83">
        <v>8680</v>
      </c>
    </row>
    <row r="84" spans="1:9" ht="13.8" x14ac:dyDescent="0.25">
      <c r="A84" t="s">
        <v>126</v>
      </c>
      <c r="B84" t="s">
        <v>9</v>
      </c>
      <c r="C84" s="3" t="s">
        <v>12</v>
      </c>
      <c r="D84" s="4">
        <v>44674</v>
      </c>
      <c r="E84" s="4" t="s">
        <v>100</v>
      </c>
      <c r="F84">
        <v>100</v>
      </c>
      <c r="G84">
        <v>2457</v>
      </c>
      <c r="H84">
        <v>984</v>
      </c>
      <c r="I84">
        <v>1473</v>
      </c>
    </row>
    <row r="85" spans="1:9" ht="13.8" x14ac:dyDescent="0.25">
      <c r="A85" t="s">
        <v>16</v>
      </c>
      <c r="B85" t="s">
        <v>13</v>
      </c>
      <c r="C85" s="3" t="s">
        <v>15</v>
      </c>
      <c r="D85" s="4">
        <v>44675</v>
      </c>
      <c r="E85" s="4" t="s">
        <v>112</v>
      </c>
      <c r="F85">
        <v>300</v>
      </c>
      <c r="G85">
        <v>5439</v>
      </c>
      <c r="H85">
        <v>2541</v>
      </c>
      <c r="I85">
        <v>2898</v>
      </c>
    </row>
    <row r="86" spans="1:9" ht="13.8" x14ac:dyDescent="0.25">
      <c r="A86" t="s">
        <v>129</v>
      </c>
      <c r="B86" t="s">
        <v>13</v>
      </c>
      <c r="C86" s="3" t="s">
        <v>12</v>
      </c>
      <c r="D86" s="4">
        <v>44676</v>
      </c>
      <c r="E86" s="4" t="s">
        <v>101</v>
      </c>
      <c r="F86">
        <v>500</v>
      </c>
      <c r="G86">
        <v>11435</v>
      </c>
      <c r="H86">
        <v>4920</v>
      </c>
      <c r="I86">
        <v>6515</v>
      </c>
    </row>
    <row r="87" spans="1:9" ht="13.8" x14ac:dyDescent="0.25">
      <c r="A87" t="s">
        <v>130</v>
      </c>
      <c r="B87" t="s">
        <v>9</v>
      </c>
      <c r="C87" s="3" t="s">
        <v>10</v>
      </c>
      <c r="D87" s="4">
        <v>44678</v>
      </c>
      <c r="E87" s="4" t="s">
        <v>105</v>
      </c>
      <c r="F87">
        <v>1000</v>
      </c>
      <c r="G87">
        <v>22530</v>
      </c>
      <c r="H87">
        <v>10220</v>
      </c>
      <c r="I87">
        <v>12310</v>
      </c>
    </row>
    <row r="88" spans="1:9" ht="13.8" x14ac:dyDescent="0.25">
      <c r="A88" t="s">
        <v>126</v>
      </c>
      <c r="B88" t="s">
        <v>9</v>
      </c>
      <c r="C88" s="3" t="s">
        <v>10</v>
      </c>
      <c r="D88" s="4">
        <v>44679</v>
      </c>
      <c r="E88" s="4" t="s">
        <v>100</v>
      </c>
      <c r="F88">
        <v>1000</v>
      </c>
      <c r="G88">
        <v>25060</v>
      </c>
      <c r="H88">
        <v>10220</v>
      </c>
      <c r="I88">
        <v>14840</v>
      </c>
    </row>
    <row r="89" spans="1:9" ht="13.8" x14ac:dyDescent="0.25">
      <c r="A89" t="s">
        <v>129</v>
      </c>
      <c r="B89" t="s">
        <v>13</v>
      </c>
      <c r="C89" s="3" t="s">
        <v>10</v>
      </c>
      <c r="D89" s="4">
        <v>44680</v>
      </c>
      <c r="E89" s="4" t="s">
        <v>117</v>
      </c>
      <c r="F89">
        <v>800</v>
      </c>
      <c r="G89">
        <v>18264</v>
      </c>
      <c r="H89">
        <v>8176</v>
      </c>
      <c r="I89">
        <v>10088</v>
      </c>
    </row>
    <row r="90" spans="1:9" ht="13.8" x14ac:dyDescent="0.25">
      <c r="A90" t="s">
        <v>126</v>
      </c>
      <c r="B90" t="s">
        <v>13</v>
      </c>
      <c r="C90" s="3" t="s">
        <v>10</v>
      </c>
      <c r="D90" s="4">
        <v>44681</v>
      </c>
      <c r="E90" s="4" t="s">
        <v>108</v>
      </c>
      <c r="F90">
        <v>200</v>
      </c>
      <c r="G90">
        <v>4124</v>
      </c>
      <c r="H90">
        <v>2044</v>
      </c>
      <c r="I90">
        <v>2080</v>
      </c>
    </row>
    <row r="91" spans="1:9" ht="13.8" x14ac:dyDescent="0.25">
      <c r="A91" t="s">
        <v>126</v>
      </c>
      <c r="B91" t="s">
        <v>9</v>
      </c>
      <c r="C91" s="3" t="s">
        <v>15</v>
      </c>
      <c r="D91" s="4">
        <v>44682</v>
      </c>
      <c r="E91" s="4" t="s">
        <v>100</v>
      </c>
      <c r="F91">
        <v>200</v>
      </c>
      <c r="G91">
        <v>3802</v>
      </c>
      <c r="H91">
        <v>1694</v>
      </c>
      <c r="I91">
        <v>2108</v>
      </c>
    </row>
    <row r="92" spans="1:9" ht="13.8" x14ac:dyDescent="0.25">
      <c r="A92" t="s">
        <v>129</v>
      </c>
      <c r="B92" t="s">
        <v>9</v>
      </c>
      <c r="C92" s="3" t="s">
        <v>12</v>
      </c>
      <c r="D92" s="4">
        <v>44682</v>
      </c>
      <c r="E92" s="4" t="s">
        <v>118</v>
      </c>
      <c r="F92">
        <v>800</v>
      </c>
      <c r="G92">
        <v>19520</v>
      </c>
      <c r="H92">
        <v>7872</v>
      </c>
      <c r="I92">
        <v>11648</v>
      </c>
    </row>
    <row r="93" spans="1:9" ht="13.8" x14ac:dyDescent="0.25">
      <c r="A93" t="s">
        <v>131</v>
      </c>
      <c r="B93" t="s">
        <v>13</v>
      </c>
      <c r="C93" s="3" t="s">
        <v>10</v>
      </c>
      <c r="D93" s="4">
        <v>44684</v>
      </c>
      <c r="E93" s="4" t="s">
        <v>115</v>
      </c>
      <c r="F93">
        <v>800</v>
      </c>
      <c r="G93">
        <v>19288</v>
      </c>
      <c r="H93">
        <v>8176</v>
      </c>
      <c r="I93">
        <v>11112</v>
      </c>
    </row>
    <row r="94" spans="1:9" ht="13.8" x14ac:dyDescent="0.25">
      <c r="A94" t="s">
        <v>126</v>
      </c>
      <c r="B94" t="s">
        <v>13</v>
      </c>
      <c r="C94" s="3" t="s">
        <v>15</v>
      </c>
      <c r="D94" s="4">
        <v>44686</v>
      </c>
      <c r="E94" s="4" t="s">
        <v>108</v>
      </c>
      <c r="F94">
        <v>800</v>
      </c>
      <c r="G94">
        <v>15592</v>
      </c>
      <c r="H94">
        <v>6776</v>
      </c>
      <c r="I94">
        <v>8816</v>
      </c>
    </row>
    <row r="95" spans="1:9" ht="13.8" x14ac:dyDescent="0.25">
      <c r="A95" t="s">
        <v>131</v>
      </c>
      <c r="B95" t="s">
        <v>13</v>
      </c>
      <c r="C95" s="3" t="s">
        <v>10</v>
      </c>
      <c r="D95" s="4">
        <v>44686</v>
      </c>
      <c r="E95" s="4" t="s">
        <v>115</v>
      </c>
      <c r="F95">
        <v>300</v>
      </c>
      <c r="G95">
        <v>6867</v>
      </c>
      <c r="H95">
        <v>3066</v>
      </c>
      <c r="I95">
        <v>3801</v>
      </c>
    </row>
    <row r="96" spans="1:9" ht="13.8" x14ac:dyDescent="0.25">
      <c r="A96" t="s">
        <v>126</v>
      </c>
      <c r="B96" t="s">
        <v>13</v>
      </c>
      <c r="C96" s="3" t="s">
        <v>15</v>
      </c>
      <c r="D96" s="4">
        <v>44688</v>
      </c>
      <c r="E96" s="4" t="s">
        <v>108</v>
      </c>
      <c r="F96">
        <v>600</v>
      </c>
      <c r="G96">
        <v>12318</v>
      </c>
      <c r="H96">
        <v>5082</v>
      </c>
      <c r="I96">
        <v>7236</v>
      </c>
    </row>
    <row r="97" spans="1:9" ht="13.8" x14ac:dyDescent="0.25">
      <c r="A97" t="s">
        <v>131</v>
      </c>
      <c r="B97" t="s">
        <v>13</v>
      </c>
      <c r="C97" s="3" t="s">
        <v>12</v>
      </c>
      <c r="D97" s="4">
        <v>44688</v>
      </c>
      <c r="E97" s="4" t="s">
        <v>115</v>
      </c>
      <c r="F97">
        <v>400</v>
      </c>
      <c r="G97">
        <v>8052</v>
      </c>
      <c r="H97">
        <v>3936</v>
      </c>
      <c r="I97">
        <v>4116</v>
      </c>
    </row>
    <row r="98" spans="1:9" ht="13.8" x14ac:dyDescent="0.25">
      <c r="A98" t="s">
        <v>129</v>
      </c>
      <c r="B98" t="s">
        <v>13</v>
      </c>
      <c r="C98" s="3" t="s">
        <v>12</v>
      </c>
      <c r="D98" s="4">
        <v>44689</v>
      </c>
      <c r="E98" s="4" t="s">
        <v>101</v>
      </c>
      <c r="F98">
        <v>800</v>
      </c>
      <c r="G98">
        <v>17544</v>
      </c>
      <c r="H98">
        <v>7872</v>
      </c>
      <c r="I98">
        <v>9672</v>
      </c>
    </row>
    <row r="99" spans="1:9" ht="13.8" x14ac:dyDescent="0.25">
      <c r="A99" t="s">
        <v>126</v>
      </c>
      <c r="B99" t="s">
        <v>11</v>
      </c>
      <c r="C99" s="3" t="s">
        <v>12</v>
      </c>
      <c r="D99" s="4">
        <v>44690</v>
      </c>
      <c r="E99" s="4" t="s">
        <v>107</v>
      </c>
      <c r="F99">
        <v>700</v>
      </c>
      <c r="G99">
        <v>16765</v>
      </c>
      <c r="H99">
        <v>6888</v>
      </c>
      <c r="I99">
        <v>9877</v>
      </c>
    </row>
    <row r="100" spans="1:9" ht="13.8" x14ac:dyDescent="0.25">
      <c r="A100" t="s">
        <v>16</v>
      </c>
      <c r="B100" t="s">
        <v>13</v>
      </c>
      <c r="C100" s="3" t="s">
        <v>15</v>
      </c>
      <c r="D100" s="4">
        <v>44692</v>
      </c>
      <c r="E100" s="4" t="s">
        <v>112</v>
      </c>
      <c r="F100">
        <v>500</v>
      </c>
      <c r="G100">
        <v>8785</v>
      </c>
      <c r="H100">
        <v>4235</v>
      </c>
      <c r="I100">
        <v>4550</v>
      </c>
    </row>
    <row r="101" spans="1:9" ht="13.8" x14ac:dyDescent="0.25">
      <c r="A101" t="s">
        <v>129</v>
      </c>
      <c r="B101" t="s">
        <v>13</v>
      </c>
      <c r="C101" s="3" t="s">
        <v>12</v>
      </c>
      <c r="D101" s="4">
        <v>44693</v>
      </c>
      <c r="E101" s="4" t="s">
        <v>101</v>
      </c>
      <c r="F101">
        <v>700</v>
      </c>
      <c r="G101">
        <v>16772</v>
      </c>
      <c r="H101">
        <v>6888</v>
      </c>
      <c r="I101">
        <v>9884</v>
      </c>
    </row>
    <row r="102" spans="1:9" ht="13.8" x14ac:dyDescent="0.25">
      <c r="A102" t="s">
        <v>126</v>
      </c>
      <c r="B102" t="s">
        <v>11</v>
      </c>
      <c r="C102" s="3" t="s">
        <v>15</v>
      </c>
      <c r="D102" s="4">
        <v>44694</v>
      </c>
      <c r="E102" s="4" t="s">
        <v>128</v>
      </c>
      <c r="F102">
        <v>500</v>
      </c>
      <c r="G102">
        <v>9380</v>
      </c>
      <c r="H102">
        <v>4235</v>
      </c>
      <c r="I102">
        <v>5145</v>
      </c>
    </row>
    <row r="103" spans="1:9" ht="13.8" x14ac:dyDescent="0.25">
      <c r="A103" t="s">
        <v>129</v>
      </c>
      <c r="B103" t="s">
        <v>13</v>
      </c>
      <c r="C103" s="3" t="s">
        <v>10</v>
      </c>
      <c r="D103" s="4">
        <v>44694</v>
      </c>
      <c r="E103" s="4" t="s">
        <v>101</v>
      </c>
      <c r="F103">
        <v>500</v>
      </c>
      <c r="G103">
        <v>12625</v>
      </c>
      <c r="H103">
        <v>5110</v>
      </c>
      <c r="I103">
        <v>7515</v>
      </c>
    </row>
    <row r="104" spans="1:9" ht="13.8" x14ac:dyDescent="0.25">
      <c r="A104" t="s">
        <v>126</v>
      </c>
      <c r="B104" t="s">
        <v>9</v>
      </c>
      <c r="C104" s="3" t="s">
        <v>15</v>
      </c>
      <c r="D104" s="4">
        <v>44695</v>
      </c>
      <c r="E104" s="4" t="s">
        <v>111</v>
      </c>
      <c r="F104">
        <v>500</v>
      </c>
      <c r="G104">
        <v>9635</v>
      </c>
      <c r="H104">
        <v>4235</v>
      </c>
      <c r="I104">
        <v>5400</v>
      </c>
    </row>
    <row r="105" spans="1:9" ht="13.8" x14ac:dyDescent="0.25">
      <c r="A105" t="s">
        <v>131</v>
      </c>
      <c r="B105" t="s">
        <v>13</v>
      </c>
      <c r="C105" s="3" t="s">
        <v>12</v>
      </c>
      <c r="D105" s="4">
        <v>44697</v>
      </c>
      <c r="E105" s="4" t="s">
        <v>115</v>
      </c>
      <c r="F105">
        <v>300</v>
      </c>
      <c r="G105">
        <v>6156</v>
      </c>
      <c r="H105">
        <v>2952</v>
      </c>
      <c r="I105">
        <v>3204</v>
      </c>
    </row>
    <row r="106" spans="1:9" ht="13.8" x14ac:dyDescent="0.25">
      <c r="A106" t="s">
        <v>126</v>
      </c>
      <c r="B106" t="s">
        <v>9</v>
      </c>
      <c r="C106" s="3" t="s">
        <v>12</v>
      </c>
      <c r="D106" s="4">
        <v>44700</v>
      </c>
      <c r="E106" s="4" t="s">
        <v>114</v>
      </c>
      <c r="F106">
        <v>900</v>
      </c>
      <c r="G106">
        <v>17757</v>
      </c>
      <c r="H106">
        <v>8856</v>
      </c>
      <c r="I106">
        <v>8901</v>
      </c>
    </row>
    <row r="107" spans="1:9" ht="13.8" x14ac:dyDescent="0.25">
      <c r="A107" t="s">
        <v>129</v>
      </c>
      <c r="B107" t="s">
        <v>14</v>
      </c>
      <c r="C107" s="3" t="s">
        <v>10</v>
      </c>
      <c r="D107" s="4">
        <v>44701</v>
      </c>
      <c r="E107" s="4" t="s">
        <v>119</v>
      </c>
      <c r="F107">
        <v>200</v>
      </c>
      <c r="G107">
        <v>4846</v>
      </c>
      <c r="H107">
        <v>2044</v>
      </c>
      <c r="I107">
        <v>2802</v>
      </c>
    </row>
    <row r="108" spans="1:9" ht="13.8" x14ac:dyDescent="0.25">
      <c r="A108" t="s">
        <v>126</v>
      </c>
      <c r="B108" t="s">
        <v>11</v>
      </c>
      <c r="C108" s="3" t="s">
        <v>15</v>
      </c>
      <c r="D108" s="4">
        <v>44702</v>
      </c>
      <c r="E108" s="4" t="s">
        <v>128</v>
      </c>
      <c r="F108">
        <v>600</v>
      </c>
      <c r="G108">
        <v>11208</v>
      </c>
      <c r="H108">
        <v>5082</v>
      </c>
      <c r="I108">
        <v>6126</v>
      </c>
    </row>
    <row r="109" spans="1:9" ht="13.8" x14ac:dyDescent="0.25">
      <c r="A109" t="s">
        <v>126</v>
      </c>
      <c r="B109" t="s">
        <v>13</v>
      </c>
      <c r="C109" s="3" t="s">
        <v>12</v>
      </c>
      <c r="D109" s="4">
        <v>44703</v>
      </c>
      <c r="E109" s="4" t="s">
        <v>108</v>
      </c>
      <c r="F109">
        <v>500</v>
      </c>
      <c r="G109">
        <v>10195</v>
      </c>
      <c r="H109">
        <v>4920</v>
      </c>
      <c r="I109">
        <v>5275</v>
      </c>
    </row>
    <row r="110" spans="1:9" ht="13.8" x14ac:dyDescent="0.25">
      <c r="A110" t="s">
        <v>130</v>
      </c>
      <c r="B110" t="s">
        <v>11</v>
      </c>
      <c r="C110" s="3" t="s">
        <v>15</v>
      </c>
      <c r="D110" s="4">
        <v>44704</v>
      </c>
      <c r="E110" s="4" t="s">
        <v>106</v>
      </c>
      <c r="F110">
        <v>200</v>
      </c>
      <c r="G110">
        <v>4012</v>
      </c>
      <c r="H110">
        <v>1694</v>
      </c>
      <c r="I110">
        <v>2318</v>
      </c>
    </row>
    <row r="111" spans="1:9" ht="13.8" x14ac:dyDescent="0.25">
      <c r="A111" t="s">
        <v>130</v>
      </c>
      <c r="B111" t="s">
        <v>9</v>
      </c>
      <c r="C111" s="3" t="s">
        <v>15</v>
      </c>
      <c r="D111" s="4">
        <v>44704</v>
      </c>
      <c r="E111" s="4" t="s">
        <v>105</v>
      </c>
      <c r="F111">
        <v>700</v>
      </c>
      <c r="G111">
        <v>12803</v>
      </c>
      <c r="H111">
        <v>5929</v>
      </c>
      <c r="I111">
        <v>6874</v>
      </c>
    </row>
    <row r="112" spans="1:9" ht="13.8" x14ac:dyDescent="0.25">
      <c r="A112" t="s">
        <v>16</v>
      </c>
      <c r="B112" t="s">
        <v>13</v>
      </c>
      <c r="C112" s="3" t="s">
        <v>12</v>
      </c>
      <c r="D112" s="4">
        <v>44705</v>
      </c>
      <c r="E112" s="4" t="s">
        <v>112</v>
      </c>
      <c r="F112">
        <v>100</v>
      </c>
      <c r="G112">
        <v>2319</v>
      </c>
      <c r="H112">
        <v>984</v>
      </c>
      <c r="I112">
        <v>1335</v>
      </c>
    </row>
    <row r="113" spans="1:9" ht="13.8" x14ac:dyDescent="0.25">
      <c r="A113" t="s">
        <v>130</v>
      </c>
      <c r="B113" t="s">
        <v>9</v>
      </c>
      <c r="C113" s="3" t="s">
        <v>15</v>
      </c>
      <c r="D113" s="4">
        <v>44705</v>
      </c>
      <c r="E113" s="4" t="s">
        <v>105</v>
      </c>
      <c r="F113">
        <v>600</v>
      </c>
      <c r="G113">
        <v>11700</v>
      </c>
      <c r="H113">
        <v>5082</v>
      </c>
      <c r="I113">
        <v>6618</v>
      </c>
    </row>
    <row r="114" spans="1:9" ht="13.8" x14ac:dyDescent="0.25">
      <c r="A114" t="s">
        <v>16</v>
      </c>
      <c r="B114" t="s">
        <v>13</v>
      </c>
      <c r="C114" s="3" t="s">
        <v>12</v>
      </c>
      <c r="D114" s="4">
        <v>44707</v>
      </c>
      <c r="E114" s="4" t="s">
        <v>112</v>
      </c>
      <c r="F114">
        <v>600</v>
      </c>
      <c r="G114">
        <v>12048</v>
      </c>
      <c r="H114">
        <v>5904</v>
      </c>
      <c r="I114">
        <v>6144</v>
      </c>
    </row>
    <row r="115" spans="1:9" ht="13.8" x14ac:dyDescent="0.25">
      <c r="A115" t="s">
        <v>126</v>
      </c>
      <c r="B115" t="s">
        <v>11</v>
      </c>
      <c r="C115" s="3" t="s">
        <v>10</v>
      </c>
      <c r="D115" s="4">
        <v>44709</v>
      </c>
      <c r="E115" s="4" t="s">
        <v>107</v>
      </c>
      <c r="F115">
        <v>700</v>
      </c>
      <c r="G115">
        <v>14469</v>
      </c>
      <c r="H115">
        <v>7154</v>
      </c>
      <c r="I115">
        <v>7315</v>
      </c>
    </row>
    <row r="116" spans="1:9" ht="13.8" x14ac:dyDescent="0.25">
      <c r="A116" t="s">
        <v>16</v>
      </c>
      <c r="B116" t="s">
        <v>13</v>
      </c>
      <c r="C116" s="3" t="s">
        <v>15</v>
      </c>
      <c r="D116" s="4">
        <v>44710</v>
      </c>
      <c r="E116" s="4" t="s">
        <v>112</v>
      </c>
      <c r="F116">
        <v>900</v>
      </c>
      <c r="G116">
        <v>17964</v>
      </c>
      <c r="H116">
        <v>7623</v>
      </c>
      <c r="I116">
        <v>10341</v>
      </c>
    </row>
    <row r="117" spans="1:9" ht="13.8" x14ac:dyDescent="0.25">
      <c r="A117" t="s">
        <v>126</v>
      </c>
      <c r="B117" t="s">
        <v>13</v>
      </c>
      <c r="C117" s="3" t="s">
        <v>15</v>
      </c>
      <c r="D117" s="4">
        <v>44711</v>
      </c>
      <c r="E117" s="4" t="s">
        <v>108</v>
      </c>
      <c r="F117">
        <v>700</v>
      </c>
      <c r="G117">
        <v>13412</v>
      </c>
      <c r="H117">
        <v>5929</v>
      </c>
      <c r="I117">
        <v>7483</v>
      </c>
    </row>
    <row r="118" spans="1:9" ht="13.8" x14ac:dyDescent="0.25">
      <c r="A118" t="s">
        <v>130</v>
      </c>
      <c r="B118" t="s">
        <v>9</v>
      </c>
      <c r="C118" s="3" t="s">
        <v>10</v>
      </c>
      <c r="D118" s="4">
        <v>44711</v>
      </c>
      <c r="E118" s="4" t="s">
        <v>105</v>
      </c>
      <c r="F118">
        <v>300</v>
      </c>
      <c r="G118">
        <v>6660</v>
      </c>
      <c r="H118">
        <v>3066</v>
      </c>
      <c r="I118">
        <v>3594</v>
      </c>
    </row>
    <row r="119" spans="1:9" ht="13.8" x14ac:dyDescent="0.25">
      <c r="A119" t="s">
        <v>126</v>
      </c>
      <c r="B119" t="s">
        <v>11</v>
      </c>
      <c r="C119" s="3" t="s">
        <v>10</v>
      </c>
      <c r="D119" s="4">
        <v>44712</v>
      </c>
      <c r="E119" s="4" t="s">
        <v>128</v>
      </c>
      <c r="F119">
        <v>900</v>
      </c>
      <c r="G119">
        <v>18918</v>
      </c>
      <c r="H119">
        <v>9198</v>
      </c>
      <c r="I119">
        <v>9720</v>
      </c>
    </row>
    <row r="120" spans="1:9" ht="13.8" x14ac:dyDescent="0.25">
      <c r="A120" t="s">
        <v>130</v>
      </c>
      <c r="B120" t="s">
        <v>9</v>
      </c>
      <c r="C120" s="3" t="s">
        <v>15</v>
      </c>
      <c r="D120" s="4">
        <v>44713</v>
      </c>
      <c r="E120" s="4" t="s">
        <v>105</v>
      </c>
      <c r="F120">
        <v>700</v>
      </c>
      <c r="G120">
        <v>13986</v>
      </c>
      <c r="H120">
        <v>5929</v>
      </c>
      <c r="I120">
        <v>8057</v>
      </c>
    </row>
    <row r="121" spans="1:9" ht="13.8" x14ac:dyDescent="0.25">
      <c r="A121" t="s">
        <v>126</v>
      </c>
      <c r="B121" t="s">
        <v>11</v>
      </c>
      <c r="C121" s="3" t="s">
        <v>12</v>
      </c>
      <c r="D121" s="4">
        <v>44715</v>
      </c>
      <c r="E121" s="4" t="s">
        <v>107</v>
      </c>
      <c r="F121">
        <v>1000</v>
      </c>
      <c r="G121">
        <v>20480</v>
      </c>
      <c r="H121">
        <v>9840</v>
      </c>
      <c r="I121">
        <v>10640</v>
      </c>
    </row>
    <row r="122" spans="1:9" ht="13.8" x14ac:dyDescent="0.25">
      <c r="A122" t="s">
        <v>129</v>
      </c>
      <c r="B122" t="s">
        <v>13</v>
      </c>
      <c r="C122" s="3" t="s">
        <v>10</v>
      </c>
      <c r="D122" s="4">
        <v>44718</v>
      </c>
      <c r="E122" s="4" t="s">
        <v>101</v>
      </c>
      <c r="F122">
        <v>200</v>
      </c>
      <c r="G122">
        <v>4264</v>
      </c>
      <c r="H122">
        <v>2044</v>
      </c>
      <c r="I122">
        <v>2220</v>
      </c>
    </row>
    <row r="123" spans="1:9" ht="13.8" x14ac:dyDescent="0.25">
      <c r="A123" t="s">
        <v>16</v>
      </c>
      <c r="B123" t="s">
        <v>9</v>
      </c>
      <c r="C123" s="3" t="s">
        <v>12</v>
      </c>
      <c r="D123" s="4">
        <v>44719</v>
      </c>
      <c r="E123" s="4" t="s">
        <v>120</v>
      </c>
      <c r="F123">
        <v>200</v>
      </c>
      <c r="G123">
        <v>4282</v>
      </c>
      <c r="H123">
        <v>1968</v>
      </c>
      <c r="I123">
        <v>2314</v>
      </c>
    </row>
    <row r="124" spans="1:9" ht="13.8" x14ac:dyDescent="0.25">
      <c r="A124" t="s">
        <v>126</v>
      </c>
      <c r="B124" t="s">
        <v>11</v>
      </c>
      <c r="C124" s="3" t="s">
        <v>10</v>
      </c>
      <c r="D124" s="4">
        <v>44720</v>
      </c>
      <c r="E124" s="4" t="s">
        <v>107</v>
      </c>
      <c r="F124">
        <v>500</v>
      </c>
      <c r="G124">
        <v>12135</v>
      </c>
      <c r="H124">
        <v>5110</v>
      </c>
      <c r="I124">
        <v>7025</v>
      </c>
    </row>
    <row r="125" spans="1:9" ht="13.8" x14ac:dyDescent="0.25">
      <c r="A125" t="s">
        <v>126</v>
      </c>
      <c r="B125" t="s">
        <v>11</v>
      </c>
      <c r="C125" s="3" t="s">
        <v>12</v>
      </c>
      <c r="D125" s="4">
        <v>44722</v>
      </c>
      <c r="E125" s="4" t="s">
        <v>107</v>
      </c>
      <c r="F125">
        <v>200</v>
      </c>
      <c r="G125">
        <v>4286</v>
      </c>
      <c r="H125">
        <v>1968</v>
      </c>
      <c r="I125">
        <v>2318</v>
      </c>
    </row>
    <row r="126" spans="1:9" ht="13.8" x14ac:dyDescent="0.25">
      <c r="A126" t="s">
        <v>130</v>
      </c>
      <c r="B126" t="s">
        <v>11</v>
      </c>
      <c r="C126" s="3" t="s">
        <v>10</v>
      </c>
      <c r="D126" s="4">
        <v>44724</v>
      </c>
      <c r="E126" s="4" t="s">
        <v>106</v>
      </c>
      <c r="F126">
        <v>500</v>
      </c>
      <c r="G126">
        <v>10650</v>
      </c>
      <c r="H126">
        <v>5110</v>
      </c>
      <c r="I126">
        <v>5540</v>
      </c>
    </row>
    <row r="127" spans="1:9" ht="13.8" x14ac:dyDescent="0.25">
      <c r="A127" t="s">
        <v>130</v>
      </c>
      <c r="B127" t="s">
        <v>11</v>
      </c>
      <c r="C127" s="3" t="s">
        <v>15</v>
      </c>
      <c r="D127" s="4">
        <v>44725</v>
      </c>
      <c r="E127" s="4" t="s">
        <v>106</v>
      </c>
      <c r="F127">
        <v>1000</v>
      </c>
      <c r="G127">
        <v>19630</v>
      </c>
      <c r="H127">
        <v>8470</v>
      </c>
      <c r="I127">
        <v>11160</v>
      </c>
    </row>
    <row r="128" spans="1:9" ht="13.8" x14ac:dyDescent="0.25">
      <c r="A128" t="s">
        <v>126</v>
      </c>
      <c r="B128" t="s">
        <v>11</v>
      </c>
      <c r="C128" s="3" t="s">
        <v>15</v>
      </c>
      <c r="D128" s="4">
        <v>44726</v>
      </c>
      <c r="E128" s="4" t="s">
        <v>128</v>
      </c>
      <c r="F128">
        <v>700</v>
      </c>
      <c r="G128">
        <v>12838</v>
      </c>
      <c r="H128">
        <v>5929</v>
      </c>
      <c r="I128">
        <v>6909</v>
      </c>
    </row>
    <row r="129" spans="1:9" ht="13.8" x14ac:dyDescent="0.25">
      <c r="A129" t="s">
        <v>126</v>
      </c>
      <c r="B129" t="s">
        <v>9</v>
      </c>
      <c r="C129" s="3" t="s">
        <v>15</v>
      </c>
      <c r="D129" s="4">
        <v>44727</v>
      </c>
      <c r="E129" s="4" t="s">
        <v>100</v>
      </c>
      <c r="F129">
        <v>200</v>
      </c>
      <c r="G129">
        <v>3856</v>
      </c>
      <c r="H129">
        <v>1694</v>
      </c>
      <c r="I129">
        <v>2162</v>
      </c>
    </row>
    <row r="130" spans="1:9" ht="13.8" x14ac:dyDescent="0.25">
      <c r="A130" t="s">
        <v>130</v>
      </c>
      <c r="B130" t="s">
        <v>11</v>
      </c>
      <c r="C130" s="3" t="s">
        <v>12</v>
      </c>
      <c r="D130" s="4">
        <v>44731</v>
      </c>
      <c r="E130" s="4" t="s">
        <v>110</v>
      </c>
      <c r="F130">
        <v>1000</v>
      </c>
      <c r="G130">
        <v>22140</v>
      </c>
      <c r="H130">
        <v>9840</v>
      </c>
      <c r="I130">
        <v>12300</v>
      </c>
    </row>
    <row r="131" spans="1:9" ht="13.8" x14ac:dyDescent="0.25">
      <c r="A131" t="s">
        <v>126</v>
      </c>
      <c r="B131" t="s">
        <v>11</v>
      </c>
      <c r="C131" s="3" t="s">
        <v>15</v>
      </c>
      <c r="D131" s="4">
        <v>44735</v>
      </c>
      <c r="E131" s="4" t="s">
        <v>107</v>
      </c>
      <c r="F131">
        <v>500</v>
      </c>
      <c r="G131">
        <v>10330</v>
      </c>
      <c r="H131">
        <v>4235</v>
      </c>
      <c r="I131">
        <v>6095</v>
      </c>
    </row>
    <row r="132" spans="1:9" ht="13.8" x14ac:dyDescent="0.25">
      <c r="A132" t="s">
        <v>16</v>
      </c>
      <c r="B132" t="s">
        <v>13</v>
      </c>
      <c r="C132" s="3" t="s">
        <v>15</v>
      </c>
      <c r="D132" s="4">
        <v>44736</v>
      </c>
      <c r="E132" s="4" t="s">
        <v>112</v>
      </c>
      <c r="F132">
        <v>100</v>
      </c>
      <c r="G132">
        <v>1882</v>
      </c>
      <c r="H132">
        <v>847</v>
      </c>
      <c r="I132">
        <v>1035</v>
      </c>
    </row>
    <row r="133" spans="1:9" ht="13.8" x14ac:dyDescent="0.25">
      <c r="A133" t="s">
        <v>126</v>
      </c>
      <c r="B133" t="s">
        <v>9</v>
      </c>
      <c r="C133" s="3" t="s">
        <v>12</v>
      </c>
      <c r="D133" s="4">
        <v>44737</v>
      </c>
      <c r="E133" s="4" t="s">
        <v>100</v>
      </c>
      <c r="F133">
        <v>100</v>
      </c>
      <c r="G133">
        <v>2221</v>
      </c>
      <c r="H133">
        <v>984</v>
      </c>
      <c r="I133">
        <v>1237</v>
      </c>
    </row>
    <row r="134" spans="1:9" ht="13.8" x14ac:dyDescent="0.25">
      <c r="A134" t="s">
        <v>16</v>
      </c>
      <c r="B134" t="s">
        <v>13</v>
      </c>
      <c r="C134" s="3" t="s">
        <v>15</v>
      </c>
      <c r="D134" s="4">
        <v>44738</v>
      </c>
      <c r="E134" s="4" t="s">
        <v>112</v>
      </c>
      <c r="F134">
        <v>700</v>
      </c>
      <c r="G134">
        <v>13734</v>
      </c>
      <c r="H134">
        <v>5929</v>
      </c>
      <c r="I134">
        <v>7805</v>
      </c>
    </row>
    <row r="135" spans="1:9" ht="13.8" x14ac:dyDescent="0.25">
      <c r="A135" t="s">
        <v>131</v>
      </c>
      <c r="B135" t="s">
        <v>13</v>
      </c>
      <c r="C135" s="3" t="s">
        <v>12</v>
      </c>
      <c r="D135" s="4">
        <v>44738</v>
      </c>
      <c r="E135" s="4" t="s">
        <v>115</v>
      </c>
      <c r="F135">
        <v>800</v>
      </c>
      <c r="G135">
        <v>15856</v>
      </c>
      <c r="H135">
        <v>7872</v>
      </c>
      <c r="I135">
        <v>7984</v>
      </c>
    </row>
    <row r="136" spans="1:9" ht="13.8" x14ac:dyDescent="0.25">
      <c r="A136" t="s">
        <v>129</v>
      </c>
      <c r="B136" t="s">
        <v>14</v>
      </c>
      <c r="C136" s="3" t="s">
        <v>12</v>
      </c>
      <c r="D136" s="4">
        <v>44739</v>
      </c>
      <c r="E136" s="4" t="s">
        <v>104</v>
      </c>
      <c r="F136">
        <v>200</v>
      </c>
      <c r="G136">
        <v>4754</v>
      </c>
      <c r="H136">
        <v>1968</v>
      </c>
      <c r="I136">
        <v>2786</v>
      </c>
    </row>
    <row r="137" spans="1:9" ht="13.8" x14ac:dyDescent="0.25">
      <c r="A137" t="s">
        <v>16</v>
      </c>
      <c r="B137" t="s">
        <v>13</v>
      </c>
      <c r="C137" s="3" t="s">
        <v>12</v>
      </c>
      <c r="D137" s="4">
        <v>44742</v>
      </c>
      <c r="E137" s="4" t="s">
        <v>112</v>
      </c>
      <c r="F137">
        <v>100</v>
      </c>
      <c r="G137">
        <v>2231</v>
      </c>
      <c r="H137">
        <v>984</v>
      </c>
      <c r="I137">
        <v>1247</v>
      </c>
    </row>
    <row r="138" spans="1:9" ht="13.8" x14ac:dyDescent="0.25">
      <c r="A138" t="s">
        <v>126</v>
      </c>
      <c r="B138" t="s">
        <v>11</v>
      </c>
      <c r="C138" s="3" t="s">
        <v>10</v>
      </c>
      <c r="D138" s="4">
        <v>44744</v>
      </c>
      <c r="E138" s="4" t="s">
        <v>128</v>
      </c>
      <c r="F138">
        <v>900</v>
      </c>
      <c r="G138">
        <v>21960</v>
      </c>
      <c r="H138">
        <v>9198</v>
      </c>
      <c r="I138">
        <v>12762</v>
      </c>
    </row>
    <row r="139" spans="1:9" ht="13.8" x14ac:dyDescent="0.25">
      <c r="A139" t="s">
        <v>130</v>
      </c>
      <c r="B139" t="s">
        <v>9</v>
      </c>
      <c r="C139" s="3" t="s">
        <v>10</v>
      </c>
      <c r="D139" s="4">
        <v>44745</v>
      </c>
      <c r="E139" s="4" t="s">
        <v>121</v>
      </c>
      <c r="F139">
        <v>300</v>
      </c>
      <c r="G139">
        <v>7167</v>
      </c>
      <c r="H139">
        <v>3066</v>
      </c>
      <c r="I139">
        <v>4101</v>
      </c>
    </row>
    <row r="140" spans="1:9" ht="13.8" x14ac:dyDescent="0.25">
      <c r="A140" t="s">
        <v>129</v>
      </c>
      <c r="B140" t="s">
        <v>13</v>
      </c>
      <c r="C140" s="3" t="s">
        <v>10</v>
      </c>
      <c r="D140" s="4">
        <v>44745</v>
      </c>
      <c r="E140" s="4" t="s">
        <v>101</v>
      </c>
      <c r="F140">
        <v>900</v>
      </c>
      <c r="G140">
        <v>22716</v>
      </c>
      <c r="H140">
        <v>9198</v>
      </c>
      <c r="I140">
        <v>13518</v>
      </c>
    </row>
    <row r="141" spans="1:9" ht="13.8" x14ac:dyDescent="0.25">
      <c r="A141" t="s">
        <v>126</v>
      </c>
      <c r="B141" t="s">
        <v>13</v>
      </c>
      <c r="C141" s="3" t="s">
        <v>10</v>
      </c>
      <c r="D141" s="4">
        <v>44746</v>
      </c>
      <c r="E141" s="4" t="s">
        <v>108</v>
      </c>
      <c r="F141">
        <v>900</v>
      </c>
      <c r="G141">
        <v>19062</v>
      </c>
      <c r="H141">
        <v>9198</v>
      </c>
      <c r="I141">
        <v>9864</v>
      </c>
    </row>
    <row r="142" spans="1:9" ht="13.8" x14ac:dyDescent="0.25">
      <c r="A142" t="s">
        <v>130</v>
      </c>
      <c r="B142" t="s">
        <v>9</v>
      </c>
      <c r="C142" s="3" t="s">
        <v>10</v>
      </c>
      <c r="D142" s="4">
        <v>44747</v>
      </c>
      <c r="E142" s="4" t="s">
        <v>105</v>
      </c>
      <c r="F142">
        <v>300</v>
      </c>
      <c r="G142">
        <v>7593</v>
      </c>
      <c r="H142">
        <v>3066</v>
      </c>
      <c r="I142">
        <v>4527</v>
      </c>
    </row>
    <row r="143" spans="1:9" ht="13.8" x14ac:dyDescent="0.25">
      <c r="A143" t="s">
        <v>16</v>
      </c>
      <c r="B143" t="s">
        <v>13</v>
      </c>
      <c r="C143" s="3" t="s">
        <v>12</v>
      </c>
      <c r="D143" s="4">
        <v>44750</v>
      </c>
      <c r="E143" s="4" t="s">
        <v>112</v>
      </c>
      <c r="F143">
        <v>900</v>
      </c>
      <c r="G143">
        <v>21168</v>
      </c>
      <c r="H143">
        <v>8856</v>
      </c>
      <c r="I143">
        <v>12312</v>
      </c>
    </row>
    <row r="144" spans="1:9" ht="13.8" x14ac:dyDescent="0.25">
      <c r="A144" t="s">
        <v>126</v>
      </c>
      <c r="B144" t="s">
        <v>9</v>
      </c>
      <c r="C144" s="3" t="s">
        <v>10</v>
      </c>
      <c r="D144" s="4">
        <v>44752</v>
      </c>
      <c r="E144" s="4" t="s">
        <v>111</v>
      </c>
      <c r="F144">
        <v>1000</v>
      </c>
      <c r="G144">
        <v>24130</v>
      </c>
      <c r="H144">
        <v>10220</v>
      </c>
      <c r="I144">
        <v>13910</v>
      </c>
    </row>
    <row r="145" spans="1:9" ht="13.8" x14ac:dyDescent="0.25">
      <c r="A145" t="s">
        <v>16</v>
      </c>
      <c r="B145" t="s">
        <v>9</v>
      </c>
      <c r="C145" s="3" t="s">
        <v>10</v>
      </c>
      <c r="D145" s="4">
        <v>44753</v>
      </c>
      <c r="E145" s="4" t="s">
        <v>120</v>
      </c>
      <c r="F145">
        <v>400</v>
      </c>
      <c r="G145">
        <v>8876</v>
      </c>
      <c r="H145">
        <v>4088</v>
      </c>
      <c r="I145">
        <v>4788</v>
      </c>
    </row>
    <row r="146" spans="1:9" ht="13.8" x14ac:dyDescent="0.25">
      <c r="A146" t="s">
        <v>126</v>
      </c>
      <c r="B146" t="s">
        <v>11</v>
      </c>
      <c r="C146" s="3" t="s">
        <v>12</v>
      </c>
      <c r="D146" s="4">
        <v>44756</v>
      </c>
      <c r="E146" s="4" t="s">
        <v>128</v>
      </c>
      <c r="F146">
        <v>900</v>
      </c>
      <c r="G146">
        <v>21555</v>
      </c>
      <c r="H146">
        <v>8856</v>
      </c>
      <c r="I146">
        <v>12699</v>
      </c>
    </row>
    <row r="147" spans="1:9" ht="13.8" x14ac:dyDescent="0.25">
      <c r="A147" t="s">
        <v>126</v>
      </c>
      <c r="B147" t="s">
        <v>11</v>
      </c>
      <c r="C147" s="3" t="s">
        <v>15</v>
      </c>
      <c r="D147" s="4">
        <v>44757</v>
      </c>
      <c r="E147" s="4" t="s">
        <v>107</v>
      </c>
      <c r="F147">
        <v>300</v>
      </c>
      <c r="G147">
        <v>5967</v>
      </c>
      <c r="H147">
        <v>2541</v>
      </c>
      <c r="I147">
        <v>3426</v>
      </c>
    </row>
    <row r="148" spans="1:9" ht="13.8" x14ac:dyDescent="0.25">
      <c r="A148" t="s">
        <v>126</v>
      </c>
      <c r="B148" t="s">
        <v>9</v>
      </c>
      <c r="C148" s="3" t="s">
        <v>10</v>
      </c>
      <c r="D148" s="4">
        <v>44757</v>
      </c>
      <c r="E148" s="4" t="s">
        <v>100</v>
      </c>
      <c r="F148">
        <v>700</v>
      </c>
      <c r="G148">
        <v>15876</v>
      </c>
      <c r="H148">
        <v>7154</v>
      </c>
      <c r="I148">
        <v>8722</v>
      </c>
    </row>
    <row r="149" spans="1:9" ht="13.8" x14ac:dyDescent="0.25">
      <c r="A149" t="s">
        <v>131</v>
      </c>
      <c r="B149" t="s">
        <v>13</v>
      </c>
      <c r="C149" s="3" t="s">
        <v>10</v>
      </c>
      <c r="D149" s="4">
        <v>44759</v>
      </c>
      <c r="E149" s="4" t="s">
        <v>115</v>
      </c>
      <c r="F149">
        <v>1000</v>
      </c>
      <c r="G149">
        <v>25350</v>
      </c>
      <c r="H149">
        <v>10220</v>
      </c>
      <c r="I149">
        <v>15130</v>
      </c>
    </row>
    <row r="150" spans="1:9" ht="13.8" x14ac:dyDescent="0.25">
      <c r="A150" t="s">
        <v>126</v>
      </c>
      <c r="B150" t="s">
        <v>11</v>
      </c>
      <c r="C150" s="3" t="s">
        <v>12</v>
      </c>
      <c r="D150" s="4">
        <v>44760</v>
      </c>
      <c r="E150" s="4" t="s">
        <v>107</v>
      </c>
      <c r="F150">
        <v>500</v>
      </c>
      <c r="G150">
        <v>11545</v>
      </c>
      <c r="H150">
        <v>4920</v>
      </c>
      <c r="I150">
        <v>6625</v>
      </c>
    </row>
    <row r="151" spans="1:9" ht="13.8" x14ac:dyDescent="0.25">
      <c r="A151" t="s">
        <v>131</v>
      </c>
      <c r="B151" t="s">
        <v>13</v>
      </c>
      <c r="C151" s="3" t="s">
        <v>15</v>
      </c>
      <c r="D151" s="4">
        <v>44760</v>
      </c>
      <c r="E151" s="4" t="s">
        <v>122</v>
      </c>
      <c r="F151">
        <v>200</v>
      </c>
      <c r="G151">
        <v>4158</v>
      </c>
      <c r="H151">
        <v>1694</v>
      </c>
      <c r="I151">
        <v>2464</v>
      </c>
    </row>
    <row r="152" spans="1:9" ht="13.8" x14ac:dyDescent="0.25">
      <c r="A152" t="s">
        <v>130</v>
      </c>
      <c r="B152" t="s">
        <v>9</v>
      </c>
      <c r="C152" s="3" t="s">
        <v>15</v>
      </c>
      <c r="D152" s="4">
        <v>44762</v>
      </c>
      <c r="E152" s="4" t="s">
        <v>105</v>
      </c>
      <c r="F152">
        <v>600</v>
      </c>
      <c r="G152">
        <v>12684</v>
      </c>
      <c r="H152">
        <v>5082</v>
      </c>
      <c r="I152">
        <v>7602</v>
      </c>
    </row>
    <row r="153" spans="1:9" ht="13.8" x14ac:dyDescent="0.25">
      <c r="A153" t="s">
        <v>129</v>
      </c>
      <c r="B153" t="s">
        <v>13</v>
      </c>
      <c r="C153" s="3" t="s">
        <v>15</v>
      </c>
      <c r="D153" s="4">
        <v>44764</v>
      </c>
      <c r="E153" s="4" t="s">
        <v>101</v>
      </c>
      <c r="F153">
        <v>1000</v>
      </c>
      <c r="G153">
        <v>18660</v>
      </c>
      <c r="H153">
        <v>8470</v>
      </c>
      <c r="I153">
        <v>10190</v>
      </c>
    </row>
    <row r="154" spans="1:9" ht="13.8" x14ac:dyDescent="0.25">
      <c r="A154" t="s">
        <v>126</v>
      </c>
      <c r="B154" t="s">
        <v>13</v>
      </c>
      <c r="C154" s="3" t="s">
        <v>12</v>
      </c>
      <c r="D154" s="4">
        <v>44765</v>
      </c>
      <c r="E154" s="4" t="s">
        <v>108</v>
      </c>
      <c r="F154">
        <v>500</v>
      </c>
      <c r="G154">
        <v>11660</v>
      </c>
      <c r="H154">
        <v>4920</v>
      </c>
      <c r="I154">
        <v>6740</v>
      </c>
    </row>
    <row r="155" spans="1:9" ht="13.8" x14ac:dyDescent="0.25">
      <c r="A155" t="s">
        <v>130</v>
      </c>
      <c r="B155" t="s">
        <v>9</v>
      </c>
      <c r="C155" s="3" t="s">
        <v>12</v>
      </c>
      <c r="D155" s="4">
        <v>44768</v>
      </c>
      <c r="E155" s="4" t="s">
        <v>105</v>
      </c>
      <c r="F155">
        <v>800</v>
      </c>
      <c r="G155">
        <v>15816</v>
      </c>
      <c r="H155">
        <v>7872</v>
      </c>
      <c r="I155">
        <v>7944</v>
      </c>
    </row>
    <row r="156" spans="1:9" ht="13.8" x14ac:dyDescent="0.25">
      <c r="A156" t="s">
        <v>130</v>
      </c>
      <c r="B156" t="s">
        <v>9</v>
      </c>
      <c r="C156" s="3" t="s">
        <v>10</v>
      </c>
      <c r="D156" s="4">
        <v>44769</v>
      </c>
      <c r="E156" s="4" t="s">
        <v>121</v>
      </c>
      <c r="F156">
        <v>1000</v>
      </c>
      <c r="G156">
        <v>23890</v>
      </c>
      <c r="H156">
        <v>10220</v>
      </c>
      <c r="I156">
        <v>13670</v>
      </c>
    </row>
    <row r="157" spans="1:9" ht="13.8" x14ac:dyDescent="0.25">
      <c r="A157" t="s">
        <v>130</v>
      </c>
      <c r="B157" t="s">
        <v>11</v>
      </c>
      <c r="C157" s="3" t="s">
        <v>12</v>
      </c>
      <c r="D157" s="4">
        <v>44770</v>
      </c>
      <c r="E157" s="4" t="s">
        <v>106</v>
      </c>
      <c r="F157">
        <v>600</v>
      </c>
      <c r="G157">
        <v>13866</v>
      </c>
      <c r="H157">
        <v>5904</v>
      </c>
      <c r="I157">
        <v>7962</v>
      </c>
    </row>
    <row r="158" spans="1:9" ht="13.8" x14ac:dyDescent="0.25">
      <c r="A158" t="s">
        <v>129</v>
      </c>
      <c r="B158" t="s">
        <v>14</v>
      </c>
      <c r="C158" s="3" t="s">
        <v>15</v>
      </c>
      <c r="D158" s="4">
        <v>44771</v>
      </c>
      <c r="E158" s="4" t="s">
        <v>119</v>
      </c>
      <c r="F158">
        <v>1000</v>
      </c>
      <c r="G158">
        <v>17840</v>
      </c>
      <c r="H158">
        <v>8470</v>
      </c>
      <c r="I158">
        <v>9370</v>
      </c>
    </row>
    <row r="159" spans="1:9" ht="13.8" x14ac:dyDescent="0.25">
      <c r="A159" t="s">
        <v>129</v>
      </c>
      <c r="B159" t="s">
        <v>13</v>
      </c>
      <c r="C159" s="3" t="s">
        <v>15</v>
      </c>
      <c r="D159" s="4">
        <v>44771</v>
      </c>
      <c r="E159" s="4" t="s">
        <v>101</v>
      </c>
      <c r="F159">
        <v>800</v>
      </c>
      <c r="G159">
        <v>13936</v>
      </c>
      <c r="H159">
        <v>6776</v>
      </c>
      <c r="I159">
        <v>7160</v>
      </c>
    </row>
    <row r="160" spans="1:9" ht="13.8" x14ac:dyDescent="0.25">
      <c r="A160" t="s">
        <v>126</v>
      </c>
      <c r="B160" t="s">
        <v>11</v>
      </c>
      <c r="C160" s="3" t="s">
        <v>10</v>
      </c>
      <c r="D160" s="4">
        <v>44772</v>
      </c>
      <c r="E160" s="4" t="s">
        <v>128</v>
      </c>
      <c r="F160">
        <v>600</v>
      </c>
      <c r="G160">
        <v>12984</v>
      </c>
      <c r="H160">
        <v>6132</v>
      </c>
      <c r="I160">
        <v>6852</v>
      </c>
    </row>
    <row r="161" spans="1:9" ht="13.8" x14ac:dyDescent="0.25">
      <c r="A161" t="s">
        <v>126</v>
      </c>
      <c r="B161" t="s">
        <v>11</v>
      </c>
      <c r="C161" s="3" t="s">
        <v>12</v>
      </c>
      <c r="D161" s="4">
        <v>44773</v>
      </c>
      <c r="E161" s="4" t="s">
        <v>109</v>
      </c>
      <c r="F161">
        <v>1000</v>
      </c>
      <c r="G161">
        <v>21800</v>
      </c>
      <c r="H161">
        <v>9840</v>
      </c>
      <c r="I161">
        <v>11960</v>
      </c>
    </row>
    <row r="162" spans="1:9" ht="13.8" x14ac:dyDescent="0.25">
      <c r="A162" t="s">
        <v>129</v>
      </c>
      <c r="B162" t="s">
        <v>13</v>
      </c>
      <c r="C162" s="3" t="s">
        <v>15</v>
      </c>
      <c r="D162" s="4">
        <v>44773</v>
      </c>
      <c r="E162" s="4" t="s">
        <v>101</v>
      </c>
      <c r="F162">
        <v>300</v>
      </c>
      <c r="G162">
        <v>5508</v>
      </c>
      <c r="H162">
        <v>2541</v>
      </c>
      <c r="I162">
        <v>2967</v>
      </c>
    </row>
    <row r="163" spans="1:9" ht="13.8" x14ac:dyDescent="0.25">
      <c r="A163" t="s">
        <v>16</v>
      </c>
      <c r="B163" t="s">
        <v>13</v>
      </c>
      <c r="C163" s="3" t="s">
        <v>10</v>
      </c>
      <c r="D163" s="4">
        <v>44776</v>
      </c>
      <c r="E163" s="4" t="s">
        <v>112</v>
      </c>
      <c r="F163">
        <v>400</v>
      </c>
      <c r="G163">
        <v>9704</v>
      </c>
      <c r="H163">
        <v>4088</v>
      </c>
      <c r="I163">
        <v>5616</v>
      </c>
    </row>
    <row r="164" spans="1:9" ht="13.8" x14ac:dyDescent="0.25">
      <c r="A164" t="s">
        <v>131</v>
      </c>
      <c r="B164" t="s">
        <v>13</v>
      </c>
      <c r="C164" s="3" t="s">
        <v>10</v>
      </c>
      <c r="D164" s="4">
        <v>44777</v>
      </c>
      <c r="E164" s="4" t="s">
        <v>122</v>
      </c>
      <c r="F164">
        <v>600</v>
      </c>
      <c r="G164">
        <v>13962</v>
      </c>
      <c r="H164">
        <v>6132</v>
      </c>
      <c r="I164">
        <v>7830</v>
      </c>
    </row>
    <row r="165" spans="1:9" ht="13.8" x14ac:dyDescent="0.25">
      <c r="A165" t="s">
        <v>16</v>
      </c>
      <c r="B165" t="s">
        <v>13</v>
      </c>
      <c r="C165" s="3" t="s">
        <v>15</v>
      </c>
      <c r="D165" s="4">
        <v>44778</v>
      </c>
      <c r="E165" s="4" t="s">
        <v>112</v>
      </c>
      <c r="F165">
        <v>700</v>
      </c>
      <c r="G165">
        <v>13433</v>
      </c>
      <c r="H165">
        <v>5929</v>
      </c>
      <c r="I165">
        <v>7504</v>
      </c>
    </row>
    <row r="166" spans="1:9" ht="13.8" x14ac:dyDescent="0.25">
      <c r="A166" t="s">
        <v>131</v>
      </c>
      <c r="B166" t="s">
        <v>13</v>
      </c>
      <c r="C166" s="3" t="s">
        <v>15</v>
      </c>
      <c r="D166" s="4">
        <v>44779</v>
      </c>
      <c r="E166" s="4" t="s">
        <v>115</v>
      </c>
      <c r="F166">
        <v>800</v>
      </c>
      <c r="G166">
        <v>15288</v>
      </c>
      <c r="H166">
        <v>6776</v>
      </c>
      <c r="I166">
        <v>8512</v>
      </c>
    </row>
    <row r="167" spans="1:9" ht="13.8" x14ac:dyDescent="0.25">
      <c r="A167" t="s">
        <v>130</v>
      </c>
      <c r="B167" t="s">
        <v>9</v>
      </c>
      <c r="C167" s="3" t="s">
        <v>10</v>
      </c>
      <c r="D167" s="4">
        <v>44779</v>
      </c>
      <c r="E167" s="4" t="s">
        <v>105</v>
      </c>
      <c r="F167">
        <v>900</v>
      </c>
      <c r="G167">
        <v>19584</v>
      </c>
      <c r="H167">
        <v>9198</v>
      </c>
      <c r="I167">
        <v>10386</v>
      </c>
    </row>
    <row r="168" spans="1:9" ht="13.8" x14ac:dyDescent="0.25">
      <c r="A168" t="s">
        <v>126</v>
      </c>
      <c r="B168" t="s">
        <v>11</v>
      </c>
      <c r="C168" s="3" t="s">
        <v>10</v>
      </c>
      <c r="D168" s="4">
        <v>44780</v>
      </c>
      <c r="E168" s="4" t="s">
        <v>128</v>
      </c>
      <c r="F168">
        <v>100</v>
      </c>
      <c r="G168">
        <v>2320</v>
      </c>
      <c r="H168">
        <v>1022</v>
      </c>
      <c r="I168">
        <v>1298</v>
      </c>
    </row>
    <row r="169" spans="1:9" ht="13.8" x14ac:dyDescent="0.25">
      <c r="A169" t="s">
        <v>126</v>
      </c>
      <c r="B169" t="s">
        <v>13</v>
      </c>
      <c r="C169" s="3" t="s">
        <v>12</v>
      </c>
      <c r="D169" s="4">
        <v>44785</v>
      </c>
      <c r="E169" s="4" t="s">
        <v>108</v>
      </c>
      <c r="F169">
        <v>800</v>
      </c>
      <c r="G169">
        <v>16936</v>
      </c>
      <c r="H169">
        <v>7872</v>
      </c>
      <c r="I169">
        <v>9064</v>
      </c>
    </row>
    <row r="170" spans="1:9" ht="13.8" x14ac:dyDescent="0.25">
      <c r="A170" t="s">
        <v>126</v>
      </c>
      <c r="B170" t="s">
        <v>9</v>
      </c>
      <c r="C170" s="3" t="s">
        <v>15</v>
      </c>
      <c r="D170" s="4">
        <v>44787</v>
      </c>
      <c r="E170" s="4" t="s">
        <v>100</v>
      </c>
      <c r="F170">
        <v>300</v>
      </c>
      <c r="G170">
        <v>6138</v>
      </c>
      <c r="H170">
        <v>2541</v>
      </c>
      <c r="I170">
        <v>3597</v>
      </c>
    </row>
    <row r="171" spans="1:9" ht="13.8" x14ac:dyDescent="0.25">
      <c r="A171" t="s">
        <v>126</v>
      </c>
      <c r="B171" t="s">
        <v>11</v>
      </c>
      <c r="C171" s="3" t="s">
        <v>12</v>
      </c>
      <c r="D171" s="4">
        <v>44787</v>
      </c>
      <c r="E171" s="4" t="s">
        <v>107</v>
      </c>
      <c r="F171">
        <v>600</v>
      </c>
      <c r="G171">
        <v>12030</v>
      </c>
      <c r="H171">
        <v>5904</v>
      </c>
      <c r="I171">
        <v>6126</v>
      </c>
    </row>
    <row r="172" spans="1:9" ht="13.8" x14ac:dyDescent="0.25">
      <c r="A172" t="s">
        <v>131</v>
      </c>
      <c r="B172" t="s">
        <v>13</v>
      </c>
      <c r="C172" s="3" t="s">
        <v>10</v>
      </c>
      <c r="D172" s="4">
        <v>44789</v>
      </c>
      <c r="E172" s="4" t="s">
        <v>115</v>
      </c>
      <c r="F172">
        <v>400</v>
      </c>
      <c r="G172">
        <v>9384</v>
      </c>
      <c r="H172">
        <v>4088</v>
      </c>
      <c r="I172">
        <v>5296</v>
      </c>
    </row>
    <row r="173" spans="1:9" ht="13.8" x14ac:dyDescent="0.25">
      <c r="A173" t="s">
        <v>16</v>
      </c>
      <c r="B173" t="s">
        <v>13</v>
      </c>
      <c r="C173" s="3" t="s">
        <v>15</v>
      </c>
      <c r="D173" s="4">
        <v>44790</v>
      </c>
      <c r="E173" s="4" t="s">
        <v>112</v>
      </c>
      <c r="F173">
        <v>300</v>
      </c>
      <c r="G173">
        <v>5904</v>
      </c>
      <c r="H173">
        <v>2541</v>
      </c>
      <c r="I173">
        <v>3363</v>
      </c>
    </row>
    <row r="174" spans="1:9" ht="13.8" x14ac:dyDescent="0.25">
      <c r="A174" t="s">
        <v>16</v>
      </c>
      <c r="B174" t="s">
        <v>13</v>
      </c>
      <c r="C174" s="3" t="s">
        <v>15</v>
      </c>
      <c r="D174" s="4">
        <v>44792</v>
      </c>
      <c r="E174" s="4" t="s">
        <v>112</v>
      </c>
      <c r="F174">
        <v>1000</v>
      </c>
      <c r="G174">
        <v>21120</v>
      </c>
      <c r="H174">
        <v>8470</v>
      </c>
      <c r="I174">
        <v>12650</v>
      </c>
    </row>
    <row r="175" spans="1:9" ht="13.8" x14ac:dyDescent="0.25">
      <c r="A175" t="s">
        <v>131</v>
      </c>
      <c r="B175" t="s">
        <v>13</v>
      </c>
      <c r="C175" s="3" t="s">
        <v>10</v>
      </c>
      <c r="D175" s="4">
        <v>44793</v>
      </c>
      <c r="E175" s="4" t="s">
        <v>115</v>
      </c>
      <c r="F175">
        <v>900</v>
      </c>
      <c r="G175">
        <v>18684</v>
      </c>
      <c r="H175">
        <v>9198</v>
      </c>
      <c r="I175">
        <v>9486</v>
      </c>
    </row>
    <row r="176" spans="1:9" ht="13.8" x14ac:dyDescent="0.25">
      <c r="A176" t="s">
        <v>126</v>
      </c>
      <c r="B176" t="s">
        <v>9</v>
      </c>
      <c r="C176" s="3" t="s">
        <v>15</v>
      </c>
      <c r="D176" s="4">
        <v>44793</v>
      </c>
      <c r="E176" s="4" t="s">
        <v>100</v>
      </c>
      <c r="F176">
        <v>100</v>
      </c>
      <c r="G176">
        <v>1836</v>
      </c>
      <c r="H176">
        <v>847</v>
      </c>
      <c r="I176">
        <v>989</v>
      </c>
    </row>
    <row r="177" spans="1:9" ht="13.8" x14ac:dyDescent="0.25">
      <c r="A177" t="s">
        <v>126</v>
      </c>
      <c r="B177" t="s">
        <v>13</v>
      </c>
      <c r="C177" s="3" t="s">
        <v>10</v>
      </c>
      <c r="D177" s="4">
        <v>44795</v>
      </c>
      <c r="E177" s="4" t="s">
        <v>108</v>
      </c>
      <c r="F177">
        <v>600</v>
      </c>
      <c r="G177">
        <v>15006</v>
      </c>
      <c r="H177">
        <v>6132</v>
      </c>
      <c r="I177">
        <v>8874</v>
      </c>
    </row>
    <row r="178" spans="1:9" ht="13.8" x14ac:dyDescent="0.25">
      <c r="A178" t="s">
        <v>126</v>
      </c>
      <c r="B178" t="s">
        <v>11</v>
      </c>
      <c r="C178" s="3" t="s">
        <v>12</v>
      </c>
      <c r="D178" s="4">
        <v>44795</v>
      </c>
      <c r="E178" s="4" t="s">
        <v>109</v>
      </c>
      <c r="F178">
        <v>900</v>
      </c>
      <c r="G178">
        <v>19989</v>
      </c>
      <c r="H178">
        <v>8856</v>
      </c>
      <c r="I178">
        <v>11133</v>
      </c>
    </row>
    <row r="179" spans="1:9" ht="13.8" x14ac:dyDescent="0.25">
      <c r="A179" t="s">
        <v>16</v>
      </c>
      <c r="B179" t="s">
        <v>14</v>
      </c>
      <c r="C179" s="3" t="s">
        <v>17</v>
      </c>
      <c r="D179" s="4">
        <v>44798</v>
      </c>
      <c r="E179" s="4" t="s">
        <v>116</v>
      </c>
      <c r="F179">
        <v>800</v>
      </c>
      <c r="G179">
        <v>17856</v>
      </c>
      <c r="H179">
        <v>8176</v>
      </c>
      <c r="I179">
        <v>9680</v>
      </c>
    </row>
    <row r="180" spans="1:9" ht="13.8" x14ac:dyDescent="0.25">
      <c r="A180" t="s">
        <v>126</v>
      </c>
      <c r="B180" t="s">
        <v>9</v>
      </c>
      <c r="C180" s="3" t="s">
        <v>15</v>
      </c>
      <c r="D180" s="4">
        <v>44798</v>
      </c>
      <c r="E180" s="4" t="s">
        <v>100</v>
      </c>
      <c r="F180">
        <v>100</v>
      </c>
      <c r="G180">
        <v>1913</v>
      </c>
      <c r="H180">
        <v>847</v>
      </c>
      <c r="I180">
        <v>1066</v>
      </c>
    </row>
    <row r="181" spans="1:9" ht="13.8" x14ac:dyDescent="0.25">
      <c r="A181" t="s">
        <v>126</v>
      </c>
      <c r="B181" t="s">
        <v>11</v>
      </c>
      <c r="C181" s="3" t="s">
        <v>10</v>
      </c>
      <c r="D181" s="4">
        <v>44798</v>
      </c>
      <c r="E181" s="4" t="s">
        <v>128</v>
      </c>
      <c r="F181">
        <v>400</v>
      </c>
      <c r="G181">
        <v>8744</v>
      </c>
      <c r="H181">
        <v>4088</v>
      </c>
      <c r="I181">
        <v>4656</v>
      </c>
    </row>
    <row r="182" spans="1:9" ht="13.8" x14ac:dyDescent="0.25">
      <c r="A182" t="s">
        <v>126</v>
      </c>
      <c r="B182" t="s">
        <v>11</v>
      </c>
      <c r="C182" s="3" t="s">
        <v>10</v>
      </c>
      <c r="D182" s="4">
        <v>44799</v>
      </c>
      <c r="E182" s="4" t="s">
        <v>109</v>
      </c>
      <c r="F182">
        <v>900</v>
      </c>
      <c r="G182">
        <v>19368</v>
      </c>
      <c r="H182">
        <v>9198</v>
      </c>
      <c r="I182">
        <v>10170</v>
      </c>
    </row>
    <row r="183" spans="1:9" ht="13.8" x14ac:dyDescent="0.25">
      <c r="A183" t="s">
        <v>129</v>
      </c>
      <c r="B183" t="s">
        <v>9</v>
      </c>
      <c r="C183" s="3" t="s">
        <v>15</v>
      </c>
      <c r="D183" s="4">
        <v>44800</v>
      </c>
      <c r="E183" s="4" t="s">
        <v>118</v>
      </c>
      <c r="F183">
        <v>100</v>
      </c>
      <c r="G183">
        <v>1819</v>
      </c>
      <c r="H183">
        <v>847</v>
      </c>
      <c r="I183">
        <v>972</v>
      </c>
    </row>
    <row r="184" spans="1:9" ht="13.8" x14ac:dyDescent="0.25">
      <c r="A184" t="s">
        <v>126</v>
      </c>
      <c r="B184" t="s">
        <v>13</v>
      </c>
      <c r="C184" s="3" t="s">
        <v>10</v>
      </c>
      <c r="D184" s="4">
        <v>44801</v>
      </c>
      <c r="E184" s="4" t="s">
        <v>108</v>
      </c>
      <c r="F184">
        <v>500</v>
      </c>
      <c r="G184">
        <v>10990</v>
      </c>
      <c r="H184">
        <v>5110</v>
      </c>
      <c r="I184">
        <v>5880</v>
      </c>
    </row>
    <row r="185" spans="1:9" ht="13.8" x14ac:dyDescent="0.25">
      <c r="A185" t="s">
        <v>126</v>
      </c>
      <c r="B185" t="s">
        <v>13</v>
      </c>
      <c r="C185" s="3" t="s">
        <v>10</v>
      </c>
      <c r="D185" s="4">
        <v>44801</v>
      </c>
      <c r="E185" s="4" t="s">
        <v>108</v>
      </c>
      <c r="F185">
        <v>200</v>
      </c>
      <c r="G185">
        <v>4440</v>
      </c>
      <c r="H185">
        <v>2044</v>
      </c>
      <c r="I185">
        <v>2396</v>
      </c>
    </row>
    <row r="186" spans="1:9" ht="13.8" x14ac:dyDescent="0.25">
      <c r="A186" t="s">
        <v>130</v>
      </c>
      <c r="B186" t="s">
        <v>11</v>
      </c>
      <c r="C186" s="3" t="s">
        <v>15</v>
      </c>
      <c r="D186" s="4">
        <v>44802</v>
      </c>
      <c r="E186" s="4" t="s">
        <v>106</v>
      </c>
      <c r="F186">
        <v>300</v>
      </c>
      <c r="G186">
        <v>6309</v>
      </c>
      <c r="H186">
        <v>2541</v>
      </c>
      <c r="I186">
        <v>3768</v>
      </c>
    </row>
    <row r="187" spans="1:9" ht="13.8" x14ac:dyDescent="0.25">
      <c r="A187" t="s">
        <v>131</v>
      </c>
      <c r="B187" t="s">
        <v>13</v>
      </c>
      <c r="C187" s="3" t="s">
        <v>12</v>
      </c>
      <c r="D187" s="4">
        <v>44803</v>
      </c>
      <c r="E187" s="4" t="s">
        <v>115</v>
      </c>
      <c r="F187">
        <v>800</v>
      </c>
      <c r="G187">
        <v>18904</v>
      </c>
      <c r="H187">
        <v>7872</v>
      </c>
      <c r="I187">
        <v>11032</v>
      </c>
    </row>
    <row r="188" spans="1:9" ht="13.8" x14ac:dyDescent="0.25">
      <c r="A188" t="s">
        <v>127</v>
      </c>
      <c r="B188" t="s">
        <v>11</v>
      </c>
      <c r="C188" s="3" t="s">
        <v>10</v>
      </c>
      <c r="D188" s="4">
        <v>44805</v>
      </c>
      <c r="E188" s="4" t="s">
        <v>123</v>
      </c>
      <c r="F188">
        <v>800</v>
      </c>
      <c r="G188">
        <v>18072</v>
      </c>
      <c r="H188">
        <v>8176</v>
      </c>
      <c r="I188">
        <v>9896</v>
      </c>
    </row>
    <row r="189" spans="1:9" ht="13.8" x14ac:dyDescent="0.25">
      <c r="A189" t="s">
        <v>129</v>
      </c>
      <c r="B189" t="s">
        <v>13</v>
      </c>
      <c r="C189" s="3" t="s">
        <v>15</v>
      </c>
      <c r="D189" s="4">
        <v>44805</v>
      </c>
      <c r="E189" s="4" t="s">
        <v>101</v>
      </c>
      <c r="F189">
        <v>100</v>
      </c>
      <c r="G189">
        <v>2012</v>
      </c>
      <c r="H189">
        <v>847</v>
      </c>
      <c r="I189">
        <v>1165</v>
      </c>
    </row>
    <row r="190" spans="1:9" ht="13.8" x14ac:dyDescent="0.25">
      <c r="A190" t="s">
        <v>126</v>
      </c>
      <c r="B190" t="s">
        <v>9</v>
      </c>
      <c r="C190" s="3" t="s">
        <v>15</v>
      </c>
      <c r="D190" s="4">
        <v>44808</v>
      </c>
      <c r="E190" s="4" t="s">
        <v>100</v>
      </c>
      <c r="F190">
        <v>500</v>
      </c>
      <c r="G190">
        <v>10295</v>
      </c>
      <c r="H190">
        <v>4235</v>
      </c>
      <c r="I190">
        <v>6060</v>
      </c>
    </row>
    <row r="191" spans="1:9" ht="13.8" x14ac:dyDescent="0.25">
      <c r="A191" t="s">
        <v>126</v>
      </c>
      <c r="B191" t="s">
        <v>9</v>
      </c>
      <c r="C191" s="3" t="s">
        <v>15</v>
      </c>
      <c r="D191" s="4">
        <v>44809</v>
      </c>
      <c r="E191" s="4" t="s">
        <v>100</v>
      </c>
      <c r="F191">
        <v>400</v>
      </c>
      <c r="G191">
        <v>7944</v>
      </c>
      <c r="H191">
        <v>3388</v>
      </c>
      <c r="I191">
        <v>4556</v>
      </c>
    </row>
    <row r="192" spans="1:9" ht="13.8" x14ac:dyDescent="0.25">
      <c r="A192" t="s">
        <v>126</v>
      </c>
      <c r="B192" t="s">
        <v>11</v>
      </c>
      <c r="C192" s="3" t="s">
        <v>15</v>
      </c>
      <c r="D192" s="4">
        <v>44810</v>
      </c>
      <c r="E192" s="4" t="s">
        <v>107</v>
      </c>
      <c r="F192">
        <v>100</v>
      </c>
      <c r="G192">
        <v>1957</v>
      </c>
      <c r="H192">
        <v>847</v>
      </c>
      <c r="I192">
        <v>1110</v>
      </c>
    </row>
    <row r="193" spans="1:9" ht="13.8" x14ac:dyDescent="0.25">
      <c r="A193" t="s">
        <v>130</v>
      </c>
      <c r="B193" t="s">
        <v>11</v>
      </c>
      <c r="C193" s="3" t="s">
        <v>12</v>
      </c>
      <c r="D193" s="4">
        <v>44814</v>
      </c>
      <c r="E193" s="4" t="s">
        <v>106</v>
      </c>
      <c r="F193">
        <v>700</v>
      </c>
      <c r="G193">
        <v>15680</v>
      </c>
      <c r="H193">
        <v>6888</v>
      </c>
      <c r="I193">
        <v>8792</v>
      </c>
    </row>
    <row r="194" spans="1:9" ht="13.8" x14ac:dyDescent="0.25">
      <c r="A194" t="s">
        <v>126</v>
      </c>
      <c r="B194" t="s">
        <v>13</v>
      </c>
      <c r="C194" s="3" t="s">
        <v>12</v>
      </c>
      <c r="D194" s="4">
        <v>44814</v>
      </c>
      <c r="E194" s="4" t="s">
        <v>108</v>
      </c>
      <c r="F194">
        <v>600</v>
      </c>
      <c r="G194">
        <v>12756</v>
      </c>
      <c r="H194">
        <v>5904</v>
      </c>
      <c r="I194">
        <v>6852</v>
      </c>
    </row>
    <row r="195" spans="1:9" ht="13.8" x14ac:dyDescent="0.25">
      <c r="A195" t="s">
        <v>16</v>
      </c>
      <c r="B195" t="s">
        <v>13</v>
      </c>
      <c r="C195" s="3" t="s">
        <v>15</v>
      </c>
      <c r="D195" s="4">
        <v>44815</v>
      </c>
      <c r="E195" s="4" t="s">
        <v>112</v>
      </c>
      <c r="F195">
        <v>300</v>
      </c>
      <c r="G195">
        <v>5826</v>
      </c>
      <c r="H195">
        <v>2541</v>
      </c>
      <c r="I195">
        <v>3285</v>
      </c>
    </row>
    <row r="196" spans="1:9" ht="13.8" x14ac:dyDescent="0.25">
      <c r="A196" t="s">
        <v>126</v>
      </c>
      <c r="B196" t="s">
        <v>11</v>
      </c>
      <c r="C196" s="3" t="s">
        <v>10</v>
      </c>
      <c r="D196" s="4">
        <v>44817</v>
      </c>
      <c r="E196" s="4" t="s">
        <v>109</v>
      </c>
      <c r="F196">
        <v>800</v>
      </c>
      <c r="G196">
        <v>20008</v>
      </c>
      <c r="H196">
        <v>8176</v>
      </c>
      <c r="I196">
        <v>11832</v>
      </c>
    </row>
    <row r="197" spans="1:9" ht="13.8" x14ac:dyDescent="0.25">
      <c r="A197" t="s">
        <v>126</v>
      </c>
      <c r="B197" t="s">
        <v>11</v>
      </c>
      <c r="C197" s="3" t="s">
        <v>15</v>
      </c>
      <c r="D197" s="4">
        <v>44818</v>
      </c>
      <c r="E197" s="4" t="s">
        <v>109</v>
      </c>
      <c r="F197">
        <v>300</v>
      </c>
      <c r="G197">
        <v>5457</v>
      </c>
      <c r="H197">
        <v>2541</v>
      </c>
      <c r="I197">
        <v>2916</v>
      </c>
    </row>
    <row r="198" spans="1:9" ht="13.8" x14ac:dyDescent="0.25">
      <c r="A198" t="s">
        <v>16</v>
      </c>
      <c r="B198" t="s">
        <v>13</v>
      </c>
      <c r="C198" s="3" t="s">
        <v>15</v>
      </c>
      <c r="D198" s="4">
        <v>44819</v>
      </c>
      <c r="E198" s="4" t="s">
        <v>112</v>
      </c>
      <c r="F198">
        <v>600</v>
      </c>
      <c r="G198">
        <v>12330</v>
      </c>
      <c r="H198">
        <v>5082</v>
      </c>
      <c r="I198">
        <v>7248</v>
      </c>
    </row>
    <row r="199" spans="1:9" ht="13.8" x14ac:dyDescent="0.25">
      <c r="A199" t="s">
        <v>126</v>
      </c>
      <c r="B199" t="s">
        <v>13</v>
      </c>
      <c r="C199" s="3" t="s">
        <v>12</v>
      </c>
      <c r="D199" s="4">
        <v>44822</v>
      </c>
      <c r="E199" s="4" t="s">
        <v>108</v>
      </c>
      <c r="F199">
        <v>500</v>
      </c>
      <c r="G199">
        <v>11845</v>
      </c>
      <c r="H199">
        <v>4920</v>
      </c>
      <c r="I199">
        <v>6925</v>
      </c>
    </row>
    <row r="200" spans="1:9" ht="13.8" x14ac:dyDescent="0.25">
      <c r="A200" t="s">
        <v>129</v>
      </c>
      <c r="B200" t="s">
        <v>13</v>
      </c>
      <c r="C200" s="3" t="s">
        <v>12</v>
      </c>
      <c r="D200" s="4">
        <v>44823</v>
      </c>
      <c r="E200" s="4" t="s">
        <v>117</v>
      </c>
      <c r="F200">
        <v>800</v>
      </c>
      <c r="G200">
        <v>16784</v>
      </c>
      <c r="H200">
        <v>7872</v>
      </c>
      <c r="I200">
        <v>8912</v>
      </c>
    </row>
    <row r="201" spans="1:9" ht="13.8" x14ac:dyDescent="0.25">
      <c r="A201" t="s">
        <v>130</v>
      </c>
      <c r="B201" t="s">
        <v>9</v>
      </c>
      <c r="C201" s="3" t="s">
        <v>15</v>
      </c>
      <c r="D201" s="4">
        <v>44826</v>
      </c>
      <c r="E201" s="4" t="s">
        <v>105</v>
      </c>
      <c r="F201">
        <v>1000</v>
      </c>
      <c r="G201">
        <v>17200</v>
      </c>
      <c r="H201">
        <v>8470</v>
      </c>
      <c r="I201">
        <v>8730</v>
      </c>
    </row>
    <row r="202" spans="1:9" ht="13.8" x14ac:dyDescent="0.25">
      <c r="A202" t="s">
        <v>126</v>
      </c>
      <c r="B202" t="s">
        <v>11</v>
      </c>
      <c r="C202" s="3" t="s">
        <v>15</v>
      </c>
      <c r="D202" s="4">
        <v>44827</v>
      </c>
      <c r="E202" s="4" t="s">
        <v>109</v>
      </c>
      <c r="F202">
        <v>600</v>
      </c>
      <c r="G202">
        <v>10602</v>
      </c>
      <c r="H202">
        <v>5082</v>
      </c>
      <c r="I202">
        <v>5520</v>
      </c>
    </row>
    <row r="203" spans="1:9" ht="13.8" x14ac:dyDescent="0.25">
      <c r="A203" t="s">
        <v>126</v>
      </c>
      <c r="B203" t="s">
        <v>13</v>
      </c>
      <c r="C203" s="3" t="s">
        <v>15</v>
      </c>
      <c r="D203" s="4">
        <v>44829</v>
      </c>
      <c r="E203" s="4" t="s">
        <v>108</v>
      </c>
      <c r="F203">
        <v>500</v>
      </c>
      <c r="G203">
        <v>9350</v>
      </c>
      <c r="H203">
        <v>4235</v>
      </c>
      <c r="I203">
        <v>5115</v>
      </c>
    </row>
    <row r="204" spans="1:9" ht="13.8" x14ac:dyDescent="0.25">
      <c r="A204" t="s">
        <v>130</v>
      </c>
      <c r="B204" t="s">
        <v>9</v>
      </c>
      <c r="C204" s="3" t="s">
        <v>10</v>
      </c>
      <c r="D204" s="4">
        <v>44829</v>
      </c>
      <c r="E204" s="4" t="s">
        <v>105</v>
      </c>
      <c r="F204">
        <v>100</v>
      </c>
      <c r="G204">
        <v>2095</v>
      </c>
      <c r="H204">
        <v>1022</v>
      </c>
      <c r="I204">
        <v>1073</v>
      </c>
    </row>
    <row r="205" spans="1:9" ht="13.8" x14ac:dyDescent="0.25">
      <c r="A205" t="s">
        <v>130</v>
      </c>
      <c r="B205" t="s">
        <v>9</v>
      </c>
      <c r="C205" s="3" t="s">
        <v>12</v>
      </c>
      <c r="D205" s="4">
        <v>44830</v>
      </c>
      <c r="E205" s="4" t="s">
        <v>105</v>
      </c>
      <c r="F205">
        <v>600</v>
      </c>
      <c r="G205">
        <v>13728</v>
      </c>
      <c r="H205">
        <v>5904</v>
      </c>
      <c r="I205">
        <v>7824</v>
      </c>
    </row>
    <row r="206" spans="1:9" ht="13.8" x14ac:dyDescent="0.25">
      <c r="A206" t="s">
        <v>126</v>
      </c>
      <c r="B206" t="s">
        <v>11</v>
      </c>
      <c r="C206" s="3" t="s">
        <v>15</v>
      </c>
      <c r="D206" s="4">
        <v>44831</v>
      </c>
      <c r="E206" s="4" t="s">
        <v>128</v>
      </c>
      <c r="F206">
        <v>900</v>
      </c>
      <c r="G206">
        <v>17712</v>
      </c>
      <c r="H206">
        <v>7623</v>
      </c>
      <c r="I206">
        <v>10089</v>
      </c>
    </row>
    <row r="207" spans="1:9" ht="13.8" x14ac:dyDescent="0.25">
      <c r="A207" t="s">
        <v>129</v>
      </c>
      <c r="B207" t="s">
        <v>13</v>
      </c>
      <c r="C207" s="3" t="s">
        <v>12</v>
      </c>
      <c r="D207" s="4">
        <v>44831</v>
      </c>
      <c r="E207" s="4" t="s">
        <v>101</v>
      </c>
      <c r="F207">
        <v>1000</v>
      </c>
      <c r="G207">
        <v>23080</v>
      </c>
      <c r="H207">
        <v>9840</v>
      </c>
      <c r="I207">
        <v>13240</v>
      </c>
    </row>
    <row r="208" spans="1:9" ht="13.8" x14ac:dyDescent="0.25">
      <c r="A208" t="s">
        <v>129</v>
      </c>
      <c r="B208" t="s">
        <v>13</v>
      </c>
      <c r="C208" s="3" t="s">
        <v>15</v>
      </c>
      <c r="D208" s="4">
        <v>44832</v>
      </c>
      <c r="E208" s="4" t="s">
        <v>101</v>
      </c>
      <c r="F208">
        <v>800</v>
      </c>
      <c r="G208">
        <v>13552</v>
      </c>
      <c r="H208">
        <v>6776</v>
      </c>
      <c r="I208">
        <v>6776</v>
      </c>
    </row>
    <row r="209" spans="1:9" ht="13.8" x14ac:dyDescent="0.25">
      <c r="A209" t="s">
        <v>130</v>
      </c>
      <c r="B209" t="s">
        <v>9</v>
      </c>
      <c r="C209" s="3" t="s">
        <v>10</v>
      </c>
      <c r="D209" s="4">
        <v>44833</v>
      </c>
      <c r="E209" s="4" t="s">
        <v>105</v>
      </c>
      <c r="F209">
        <v>600</v>
      </c>
      <c r="G209">
        <v>12480</v>
      </c>
      <c r="H209">
        <v>6132</v>
      </c>
      <c r="I209">
        <v>6348</v>
      </c>
    </row>
    <row r="210" spans="1:9" ht="13.8" x14ac:dyDescent="0.25">
      <c r="A210" t="s">
        <v>126</v>
      </c>
      <c r="B210" t="s">
        <v>11</v>
      </c>
      <c r="C210" s="3" t="s">
        <v>15</v>
      </c>
      <c r="D210" s="4">
        <v>44834</v>
      </c>
      <c r="E210" s="4" t="s">
        <v>109</v>
      </c>
      <c r="F210">
        <v>900</v>
      </c>
      <c r="G210">
        <v>15759</v>
      </c>
      <c r="H210">
        <v>7623</v>
      </c>
      <c r="I210">
        <v>8136</v>
      </c>
    </row>
    <row r="211" spans="1:9" ht="13.8" x14ac:dyDescent="0.25">
      <c r="A211" t="s">
        <v>126</v>
      </c>
      <c r="B211" t="s">
        <v>11</v>
      </c>
      <c r="C211" s="3" t="s">
        <v>12</v>
      </c>
      <c r="D211" s="4">
        <v>44836</v>
      </c>
      <c r="E211" s="4" t="s">
        <v>128</v>
      </c>
      <c r="F211">
        <v>200</v>
      </c>
      <c r="G211">
        <v>4866</v>
      </c>
      <c r="H211">
        <v>1968</v>
      </c>
      <c r="I211">
        <v>2898</v>
      </c>
    </row>
    <row r="212" spans="1:9" ht="13.8" x14ac:dyDescent="0.25">
      <c r="A212" t="s">
        <v>126</v>
      </c>
      <c r="B212" t="s">
        <v>9</v>
      </c>
      <c r="C212" s="3" t="s">
        <v>15</v>
      </c>
      <c r="D212" s="4">
        <v>44837</v>
      </c>
      <c r="E212" s="4" t="s">
        <v>100</v>
      </c>
      <c r="F212">
        <v>100</v>
      </c>
      <c r="G212">
        <v>1877</v>
      </c>
      <c r="H212">
        <v>847</v>
      </c>
      <c r="I212">
        <v>1030</v>
      </c>
    </row>
    <row r="213" spans="1:9" ht="13.8" x14ac:dyDescent="0.25">
      <c r="A213" t="s">
        <v>129</v>
      </c>
      <c r="B213" t="s">
        <v>13</v>
      </c>
      <c r="C213" s="3" t="s">
        <v>10</v>
      </c>
      <c r="D213" s="4">
        <v>44840</v>
      </c>
      <c r="E213" s="4" t="s">
        <v>117</v>
      </c>
      <c r="F213">
        <v>800</v>
      </c>
      <c r="G213">
        <v>16936</v>
      </c>
      <c r="H213">
        <v>8176</v>
      </c>
      <c r="I213">
        <v>8760</v>
      </c>
    </row>
    <row r="214" spans="1:9" ht="13.8" x14ac:dyDescent="0.25">
      <c r="A214" t="s">
        <v>129</v>
      </c>
      <c r="B214" t="s">
        <v>13</v>
      </c>
      <c r="C214" s="3" t="s">
        <v>10</v>
      </c>
      <c r="D214" s="4">
        <v>44841</v>
      </c>
      <c r="E214" s="4" t="s">
        <v>101</v>
      </c>
      <c r="F214">
        <v>700</v>
      </c>
      <c r="G214">
        <v>15715</v>
      </c>
      <c r="H214">
        <v>7154</v>
      </c>
      <c r="I214">
        <v>8561</v>
      </c>
    </row>
    <row r="215" spans="1:9" ht="13.8" x14ac:dyDescent="0.25">
      <c r="A215" t="s">
        <v>126</v>
      </c>
      <c r="B215" t="s">
        <v>11</v>
      </c>
      <c r="C215" s="3" t="s">
        <v>10</v>
      </c>
      <c r="D215" s="4">
        <v>44842</v>
      </c>
      <c r="E215" s="4" t="s">
        <v>109</v>
      </c>
      <c r="F215">
        <v>800</v>
      </c>
      <c r="G215">
        <v>18208</v>
      </c>
      <c r="H215">
        <v>8176</v>
      </c>
      <c r="I215">
        <v>10032</v>
      </c>
    </row>
    <row r="216" spans="1:9" ht="13.8" x14ac:dyDescent="0.25">
      <c r="A216" t="s">
        <v>16</v>
      </c>
      <c r="B216" t="s">
        <v>14</v>
      </c>
      <c r="C216" s="3" t="s">
        <v>12</v>
      </c>
      <c r="D216" s="4">
        <v>44842</v>
      </c>
      <c r="E216" s="4" t="s">
        <v>116</v>
      </c>
      <c r="F216">
        <v>100</v>
      </c>
      <c r="G216">
        <v>2358</v>
      </c>
      <c r="H216">
        <v>984</v>
      </c>
      <c r="I216">
        <v>1374</v>
      </c>
    </row>
    <row r="217" spans="1:9" ht="13.8" x14ac:dyDescent="0.25">
      <c r="A217" t="s">
        <v>126</v>
      </c>
      <c r="B217" t="s">
        <v>11</v>
      </c>
      <c r="C217" s="3" t="s">
        <v>10</v>
      </c>
      <c r="D217" s="4">
        <v>44844</v>
      </c>
      <c r="E217" s="4" t="s">
        <v>107</v>
      </c>
      <c r="F217">
        <v>400</v>
      </c>
      <c r="G217">
        <v>8560</v>
      </c>
      <c r="H217">
        <v>4088</v>
      </c>
      <c r="I217">
        <v>4472</v>
      </c>
    </row>
    <row r="218" spans="1:9" ht="13.8" x14ac:dyDescent="0.25">
      <c r="A218" t="s">
        <v>126</v>
      </c>
      <c r="B218" t="s">
        <v>11</v>
      </c>
      <c r="C218" s="3" t="s">
        <v>12</v>
      </c>
      <c r="D218" s="4">
        <v>44846</v>
      </c>
      <c r="E218" s="4" t="s">
        <v>107</v>
      </c>
      <c r="F218">
        <v>1000</v>
      </c>
      <c r="G218">
        <v>20190</v>
      </c>
      <c r="H218">
        <v>9840</v>
      </c>
      <c r="I218">
        <v>10350</v>
      </c>
    </row>
    <row r="219" spans="1:9" ht="13.8" x14ac:dyDescent="0.25">
      <c r="A219" t="s">
        <v>126</v>
      </c>
      <c r="B219" t="s">
        <v>14</v>
      </c>
      <c r="C219" s="3" t="s">
        <v>10</v>
      </c>
      <c r="D219" s="4">
        <v>44847</v>
      </c>
      <c r="E219" s="4" t="s">
        <v>113</v>
      </c>
      <c r="F219">
        <v>300</v>
      </c>
      <c r="G219">
        <v>7032</v>
      </c>
      <c r="H219">
        <v>3066</v>
      </c>
      <c r="I219">
        <v>3966</v>
      </c>
    </row>
    <row r="220" spans="1:9" ht="13.8" x14ac:dyDescent="0.25">
      <c r="A220" t="s">
        <v>126</v>
      </c>
      <c r="B220" t="s">
        <v>11</v>
      </c>
      <c r="C220" s="3" t="s">
        <v>10</v>
      </c>
      <c r="D220" s="4">
        <v>44849</v>
      </c>
      <c r="E220" s="4" t="s">
        <v>109</v>
      </c>
      <c r="F220">
        <v>100</v>
      </c>
      <c r="G220">
        <v>2517</v>
      </c>
      <c r="H220">
        <v>1022</v>
      </c>
      <c r="I220">
        <v>1495</v>
      </c>
    </row>
    <row r="221" spans="1:9" ht="13.8" x14ac:dyDescent="0.25">
      <c r="A221" t="s">
        <v>16</v>
      </c>
      <c r="B221" t="s">
        <v>13</v>
      </c>
      <c r="C221" s="3" t="s">
        <v>10</v>
      </c>
      <c r="D221" s="4">
        <v>44850</v>
      </c>
      <c r="E221" s="4" t="s">
        <v>112</v>
      </c>
      <c r="F221">
        <v>500</v>
      </c>
      <c r="G221">
        <v>10550</v>
      </c>
      <c r="H221">
        <v>5110</v>
      </c>
      <c r="I221">
        <v>5440</v>
      </c>
    </row>
    <row r="222" spans="1:9" ht="13.8" x14ac:dyDescent="0.25">
      <c r="A222" t="s">
        <v>131</v>
      </c>
      <c r="B222" t="s">
        <v>13</v>
      </c>
      <c r="C222" s="3" t="s">
        <v>15</v>
      </c>
      <c r="D222" s="4">
        <v>44850</v>
      </c>
      <c r="E222" s="4" t="s">
        <v>115</v>
      </c>
      <c r="F222">
        <v>700</v>
      </c>
      <c r="G222">
        <v>14133</v>
      </c>
      <c r="H222">
        <v>5929</v>
      </c>
      <c r="I222">
        <v>8204</v>
      </c>
    </row>
    <row r="223" spans="1:9" ht="13.8" x14ac:dyDescent="0.25">
      <c r="A223" t="s">
        <v>16</v>
      </c>
      <c r="B223" t="s">
        <v>13</v>
      </c>
      <c r="C223" s="3" t="s">
        <v>10</v>
      </c>
      <c r="D223" s="4">
        <v>44851</v>
      </c>
      <c r="E223" s="4" t="s">
        <v>112</v>
      </c>
      <c r="F223">
        <v>300</v>
      </c>
      <c r="G223">
        <v>6495</v>
      </c>
      <c r="H223">
        <v>3066</v>
      </c>
      <c r="I223">
        <v>3429</v>
      </c>
    </row>
    <row r="224" spans="1:9" ht="13.8" x14ac:dyDescent="0.25">
      <c r="A224" t="s">
        <v>126</v>
      </c>
      <c r="B224" t="s">
        <v>11</v>
      </c>
      <c r="C224" s="3" t="s">
        <v>15</v>
      </c>
      <c r="D224" s="4">
        <v>44852</v>
      </c>
      <c r="E224" s="4" t="s">
        <v>109</v>
      </c>
      <c r="F224">
        <v>400</v>
      </c>
      <c r="G224">
        <v>7520</v>
      </c>
      <c r="H224">
        <v>3388</v>
      </c>
      <c r="I224">
        <v>4132</v>
      </c>
    </row>
    <row r="225" spans="1:9" ht="13.8" x14ac:dyDescent="0.25">
      <c r="A225" t="s">
        <v>126</v>
      </c>
      <c r="B225" t="s">
        <v>13</v>
      </c>
      <c r="C225" s="3" t="s">
        <v>10</v>
      </c>
      <c r="D225" s="4">
        <v>44854</v>
      </c>
      <c r="E225" s="4" t="s">
        <v>108</v>
      </c>
      <c r="F225">
        <v>900</v>
      </c>
      <c r="G225">
        <v>21834</v>
      </c>
      <c r="H225">
        <v>9198</v>
      </c>
      <c r="I225">
        <v>12636</v>
      </c>
    </row>
    <row r="226" spans="1:9" ht="13.8" x14ac:dyDescent="0.25">
      <c r="A226" t="s">
        <v>126</v>
      </c>
      <c r="B226" t="s">
        <v>11</v>
      </c>
      <c r="C226" s="3" t="s">
        <v>15</v>
      </c>
      <c r="D226" s="4">
        <v>44854</v>
      </c>
      <c r="E226" s="4" t="s">
        <v>109</v>
      </c>
      <c r="F226">
        <v>800</v>
      </c>
      <c r="G226">
        <v>14136</v>
      </c>
      <c r="H226">
        <v>6776</v>
      </c>
      <c r="I226">
        <v>7360</v>
      </c>
    </row>
    <row r="227" spans="1:9" ht="13.8" x14ac:dyDescent="0.25">
      <c r="A227" t="s">
        <v>130</v>
      </c>
      <c r="B227" t="s">
        <v>9</v>
      </c>
      <c r="C227" s="3" t="s">
        <v>15</v>
      </c>
      <c r="D227" s="4">
        <v>44856</v>
      </c>
      <c r="E227" s="4" t="s">
        <v>105</v>
      </c>
      <c r="F227">
        <v>800</v>
      </c>
      <c r="G227">
        <v>16008</v>
      </c>
      <c r="H227">
        <v>6776</v>
      </c>
      <c r="I227">
        <v>9232</v>
      </c>
    </row>
    <row r="228" spans="1:9" ht="13.8" x14ac:dyDescent="0.25">
      <c r="A228" t="s">
        <v>131</v>
      </c>
      <c r="B228" t="s">
        <v>13</v>
      </c>
      <c r="C228" s="3" t="s">
        <v>12</v>
      </c>
      <c r="D228" s="4">
        <v>44856</v>
      </c>
      <c r="E228" s="4" t="s">
        <v>122</v>
      </c>
      <c r="F228">
        <v>500</v>
      </c>
      <c r="G228">
        <v>11220</v>
      </c>
      <c r="H228">
        <v>4920</v>
      </c>
      <c r="I228">
        <v>6300</v>
      </c>
    </row>
    <row r="229" spans="1:9" ht="13.8" x14ac:dyDescent="0.25">
      <c r="A229" t="s">
        <v>129</v>
      </c>
      <c r="B229" t="s">
        <v>13</v>
      </c>
      <c r="C229" s="3" t="s">
        <v>12</v>
      </c>
      <c r="D229" s="4">
        <v>44857</v>
      </c>
      <c r="E229" s="4" t="s">
        <v>101</v>
      </c>
      <c r="F229">
        <v>1000</v>
      </c>
      <c r="G229">
        <v>23040</v>
      </c>
      <c r="H229">
        <v>9840</v>
      </c>
      <c r="I229">
        <v>13200</v>
      </c>
    </row>
    <row r="230" spans="1:9" ht="13.8" x14ac:dyDescent="0.25">
      <c r="A230" t="s">
        <v>16</v>
      </c>
      <c r="B230" t="s">
        <v>13</v>
      </c>
      <c r="C230" s="3" t="s">
        <v>12</v>
      </c>
      <c r="D230" s="4">
        <v>44859</v>
      </c>
      <c r="E230" s="4" t="s">
        <v>112</v>
      </c>
      <c r="F230">
        <v>500</v>
      </c>
      <c r="G230">
        <v>10955</v>
      </c>
      <c r="H230">
        <v>4920</v>
      </c>
      <c r="I230">
        <v>6035</v>
      </c>
    </row>
    <row r="231" spans="1:9" ht="13.8" x14ac:dyDescent="0.25">
      <c r="A231" t="s">
        <v>16</v>
      </c>
      <c r="B231" t="s">
        <v>13</v>
      </c>
      <c r="C231" s="3" t="s">
        <v>10</v>
      </c>
      <c r="D231" s="4">
        <v>44859</v>
      </c>
      <c r="E231" s="4" t="s">
        <v>112</v>
      </c>
      <c r="F231">
        <v>900</v>
      </c>
      <c r="G231">
        <v>21762</v>
      </c>
      <c r="H231">
        <v>9198</v>
      </c>
      <c r="I231">
        <v>12564</v>
      </c>
    </row>
    <row r="232" spans="1:9" ht="13.8" x14ac:dyDescent="0.25">
      <c r="A232" t="s">
        <v>16</v>
      </c>
      <c r="B232" t="s">
        <v>13</v>
      </c>
      <c r="C232" s="3" t="s">
        <v>15</v>
      </c>
      <c r="D232" s="4">
        <v>44861</v>
      </c>
      <c r="E232" s="4" t="s">
        <v>112</v>
      </c>
      <c r="F232">
        <v>800</v>
      </c>
      <c r="G232">
        <v>15976</v>
      </c>
      <c r="H232">
        <v>6776</v>
      </c>
      <c r="I232">
        <v>9200</v>
      </c>
    </row>
    <row r="233" spans="1:9" ht="13.8" x14ac:dyDescent="0.25">
      <c r="A233" t="s">
        <v>126</v>
      </c>
      <c r="B233" t="s">
        <v>11</v>
      </c>
      <c r="C233" s="3" t="s">
        <v>12</v>
      </c>
      <c r="D233" s="4">
        <v>44864</v>
      </c>
      <c r="E233" s="4" t="s">
        <v>109</v>
      </c>
      <c r="F233">
        <v>1000</v>
      </c>
      <c r="G233">
        <v>20540</v>
      </c>
      <c r="H233">
        <v>9840</v>
      </c>
      <c r="I233">
        <v>10700</v>
      </c>
    </row>
    <row r="234" spans="1:9" ht="13.8" x14ac:dyDescent="0.25">
      <c r="A234" t="s">
        <v>126</v>
      </c>
      <c r="B234" t="s">
        <v>11</v>
      </c>
      <c r="C234" s="3" t="s">
        <v>15</v>
      </c>
      <c r="D234" s="4">
        <v>44865</v>
      </c>
      <c r="E234" s="4" t="s">
        <v>128</v>
      </c>
      <c r="F234">
        <v>500</v>
      </c>
      <c r="G234">
        <v>9475</v>
      </c>
      <c r="H234">
        <v>4235</v>
      </c>
      <c r="I234">
        <v>5240</v>
      </c>
    </row>
    <row r="235" spans="1:9" ht="13.8" x14ac:dyDescent="0.25">
      <c r="A235" t="s">
        <v>130</v>
      </c>
      <c r="B235" t="s">
        <v>9</v>
      </c>
      <c r="C235" s="3" t="s">
        <v>10</v>
      </c>
      <c r="D235" s="4">
        <v>44866</v>
      </c>
      <c r="E235" s="4" t="s">
        <v>105</v>
      </c>
      <c r="F235">
        <v>100</v>
      </c>
      <c r="G235">
        <v>2343</v>
      </c>
      <c r="H235">
        <v>1022</v>
      </c>
      <c r="I235">
        <v>1321</v>
      </c>
    </row>
    <row r="236" spans="1:9" ht="13.8" x14ac:dyDescent="0.25">
      <c r="A236" t="s">
        <v>126</v>
      </c>
      <c r="B236" t="s">
        <v>11</v>
      </c>
      <c r="C236" s="3" t="s">
        <v>10</v>
      </c>
      <c r="D236" s="4">
        <v>44869</v>
      </c>
      <c r="E236" s="4" t="s">
        <v>128</v>
      </c>
      <c r="F236">
        <v>500</v>
      </c>
      <c r="G236">
        <v>10645</v>
      </c>
      <c r="H236">
        <v>5110</v>
      </c>
      <c r="I236">
        <v>5535</v>
      </c>
    </row>
    <row r="237" spans="1:9" ht="13.8" x14ac:dyDescent="0.25">
      <c r="A237" t="s">
        <v>126</v>
      </c>
      <c r="B237" t="s">
        <v>11</v>
      </c>
      <c r="C237" s="3" t="s">
        <v>15</v>
      </c>
      <c r="D237" s="4">
        <v>44870</v>
      </c>
      <c r="E237" s="4" t="s">
        <v>128</v>
      </c>
      <c r="F237">
        <v>400</v>
      </c>
      <c r="G237">
        <v>8468</v>
      </c>
      <c r="H237">
        <v>3388</v>
      </c>
      <c r="I237">
        <v>5080</v>
      </c>
    </row>
    <row r="238" spans="1:9" ht="13.8" x14ac:dyDescent="0.25">
      <c r="A238" t="s">
        <v>126</v>
      </c>
      <c r="B238" t="s">
        <v>11</v>
      </c>
      <c r="C238" s="3" t="s">
        <v>15</v>
      </c>
      <c r="D238" s="4">
        <v>44873</v>
      </c>
      <c r="E238" s="4" t="s">
        <v>109</v>
      </c>
      <c r="F238">
        <v>400</v>
      </c>
      <c r="G238">
        <v>8196</v>
      </c>
      <c r="H238">
        <v>3388</v>
      </c>
      <c r="I238">
        <v>4808</v>
      </c>
    </row>
    <row r="239" spans="1:9" ht="13.8" x14ac:dyDescent="0.25">
      <c r="A239" t="s">
        <v>126</v>
      </c>
      <c r="B239" t="s">
        <v>11</v>
      </c>
      <c r="C239" s="3" t="s">
        <v>12</v>
      </c>
      <c r="D239" s="4">
        <v>44876</v>
      </c>
      <c r="E239" s="4" t="s">
        <v>109</v>
      </c>
      <c r="F239">
        <v>500</v>
      </c>
      <c r="G239">
        <v>11295</v>
      </c>
      <c r="H239">
        <v>4920</v>
      </c>
      <c r="I239">
        <v>6375</v>
      </c>
    </row>
    <row r="240" spans="1:9" ht="13.8" x14ac:dyDescent="0.25">
      <c r="A240" t="s">
        <v>130</v>
      </c>
      <c r="B240" t="s">
        <v>11</v>
      </c>
      <c r="C240" s="3" t="s">
        <v>10</v>
      </c>
      <c r="D240" s="4">
        <v>44878</v>
      </c>
      <c r="E240" s="4" t="s">
        <v>106</v>
      </c>
      <c r="F240">
        <v>800</v>
      </c>
      <c r="G240">
        <v>19376</v>
      </c>
      <c r="H240">
        <v>8176</v>
      </c>
      <c r="I240">
        <v>11200</v>
      </c>
    </row>
    <row r="241" spans="1:9" ht="13.8" x14ac:dyDescent="0.25">
      <c r="A241" t="s">
        <v>126</v>
      </c>
      <c r="B241" t="s">
        <v>11</v>
      </c>
      <c r="C241" s="3" t="s">
        <v>12</v>
      </c>
      <c r="D241" s="4">
        <v>44878</v>
      </c>
      <c r="E241" s="4" t="s">
        <v>128</v>
      </c>
      <c r="F241">
        <v>600</v>
      </c>
      <c r="G241">
        <v>14466</v>
      </c>
      <c r="H241">
        <v>5904</v>
      </c>
      <c r="I241">
        <v>8562</v>
      </c>
    </row>
    <row r="242" spans="1:9" ht="13.8" x14ac:dyDescent="0.25">
      <c r="A242" t="s">
        <v>126</v>
      </c>
      <c r="B242" t="s">
        <v>13</v>
      </c>
      <c r="C242" s="3" t="s">
        <v>15</v>
      </c>
      <c r="D242" s="4">
        <v>44880</v>
      </c>
      <c r="E242" s="4" t="s">
        <v>108</v>
      </c>
      <c r="F242">
        <v>900</v>
      </c>
      <c r="G242">
        <v>15255</v>
      </c>
      <c r="H242">
        <v>7623</v>
      </c>
      <c r="I242">
        <v>7632</v>
      </c>
    </row>
    <row r="243" spans="1:9" ht="13.8" x14ac:dyDescent="0.25">
      <c r="A243" t="s">
        <v>131</v>
      </c>
      <c r="B243" t="s">
        <v>13</v>
      </c>
      <c r="C243" s="3" t="s">
        <v>12</v>
      </c>
      <c r="D243" s="4">
        <v>44880</v>
      </c>
      <c r="E243" s="4" t="s">
        <v>115</v>
      </c>
      <c r="F243">
        <v>900</v>
      </c>
      <c r="G243">
        <v>21033</v>
      </c>
      <c r="H243">
        <v>8856</v>
      </c>
      <c r="I243">
        <v>12177</v>
      </c>
    </row>
    <row r="244" spans="1:9" ht="13.8" x14ac:dyDescent="0.25">
      <c r="A244" t="s">
        <v>131</v>
      </c>
      <c r="B244" t="s">
        <v>14</v>
      </c>
      <c r="C244" s="3" t="s">
        <v>15</v>
      </c>
      <c r="D244" s="4">
        <v>44881</v>
      </c>
      <c r="E244" s="4" t="s">
        <v>124</v>
      </c>
      <c r="F244">
        <v>1000</v>
      </c>
      <c r="G244">
        <v>17250</v>
      </c>
      <c r="H244">
        <v>8470</v>
      </c>
      <c r="I244">
        <v>8780</v>
      </c>
    </row>
    <row r="245" spans="1:9" ht="13.8" x14ac:dyDescent="0.25">
      <c r="A245" t="s">
        <v>130</v>
      </c>
      <c r="B245" t="s">
        <v>9</v>
      </c>
      <c r="C245" s="3" t="s">
        <v>12</v>
      </c>
      <c r="D245" s="4">
        <v>44882</v>
      </c>
      <c r="E245" s="4" t="s">
        <v>105</v>
      </c>
      <c r="F245">
        <v>600</v>
      </c>
      <c r="G245">
        <v>13200</v>
      </c>
      <c r="H245">
        <v>5904</v>
      </c>
      <c r="I245">
        <v>7296</v>
      </c>
    </row>
    <row r="246" spans="1:9" ht="13.8" x14ac:dyDescent="0.25">
      <c r="A246" t="s">
        <v>130</v>
      </c>
      <c r="B246" t="s">
        <v>11</v>
      </c>
      <c r="C246" s="3" t="s">
        <v>17</v>
      </c>
      <c r="D246" s="4">
        <v>44885</v>
      </c>
      <c r="E246" s="4" t="s">
        <v>110</v>
      </c>
      <c r="F246">
        <v>1000</v>
      </c>
      <c r="G246">
        <v>24420</v>
      </c>
      <c r="H246">
        <v>10220</v>
      </c>
      <c r="I246">
        <v>14200</v>
      </c>
    </row>
    <row r="247" spans="1:9" ht="13.8" x14ac:dyDescent="0.25">
      <c r="A247" t="s">
        <v>126</v>
      </c>
      <c r="B247" t="s">
        <v>11</v>
      </c>
      <c r="C247" s="3" t="s">
        <v>15</v>
      </c>
      <c r="D247" s="4">
        <v>44885</v>
      </c>
      <c r="E247" s="4" t="s">
        <v>128</v>
      </c>
      <c r="F247">
        <v>200</v>
      </c>
      <c r="G247">
        <v>3672</v>
      </c>
      <c r="H247">
        <v>1694</v>
      </c>
      <c r="I247">
        <v>1978</v>
      </c>
    </row>
    <row r="248" spans="1:9" ht="13.8" x14ac:dyDescent="0.25">
      <c r="A248" t="s">
        <v>126</v>
      </c>
      <c r="B248" t="s">
        <v>11</v>
      </c>
      <c r="C248" s="3" t="s">
        <v>12</v>
      </c>
      <c r="D248" s="4">
        <v>44886</v>
      </c>
      <c r="E248" s="4" t="s">
        <v>109</v>
      </c>
      <c r="F248">
        <v>300</v>
      </c>
      <c r="G248">
        <v>7053</v>
      </c>
      <c r="H248">
        <v>2952</v>
      </c>
      <c r="I248">
        <v>4101</v>
      </c>
    </row>
    <row r="249" spans="1:9" ht="13.8" x14ac:dyDescent="0.25">
      <c r="A249" t="s">
        <v>130</v>
      </c>
      <c r="B249" t="s">
        <v>11</v>
      </c>
      <c r="C249" s="3" t="s">
        <v>15</v>
      </c>
      <c r="D249" s="4">
        <v>44888</v>
      </c>
      <c r="E249" s="4" t="s">
        <v>106</v>
      </c>
      <c r="F249">
        <v>900</v>
      </c>
      <c r="G249">
        <v>17136</v>
      </c>
      <c r="H249">
        <v>7623</v>
      </c>
      <c r="I249">
        <v>9513</v>
      </c>
    </row>
    <row r="250" spans="1:9" ht="13.8" x14ac:dyDescent="0.25">
      <c r="A250" t="s">
        <v>126</v>
      </c>
      <c r="B250" t="s">
        <v>11</v>
      </c>
      <c r="C250" s="3" t="s">
        <v>12</v>
      </c>
      <c r="D250" s="4">
        <v>44888</v>
      </c>
      <c r="E250" s="4" t="s">
        <v>109</v>
      </c>
      <c r="F250">
        <v>100</v>
      </c>
      <c r="G250">
        <v>2410</v>
      </c>
      <c r="H250">
        <v>984</v>
      </c>
      <c r="I250">
        <v>1426</v>
      </c>
    </row>
    <row r="251" spans="1:9" ht="13.8" x14ac:dyDescent="0.25">
      <c r="A251" t="s">
        <v>130</v>
      </c>
      <c r="B251" t="s">
        <v>11</v>
      </c>
      <c r="C251" s="3" t="s">
        <v>12</v>
      </c>
      <c r="D251" s="4">
        <v>44889</v>
      </c>
      <c r="E251" s="4" t="s">
        <v>106</v>
      </c>
      <c r="F251">
        <v>300</v>
      </c>
      <c r="G251">
        <v>6462</v>
      </c>
      <c r="H251">
        <v>2952</v>
      </c>
      <c r="I251">
        <v>3510</v>
      </c>
    </row>
    <row r="252" spans="1:9" ht="13.8" x14ac:dyDescent="0.25">
      <c r="A252" t="s">
        <v>129</v>
      </c>
      <c r="B252" t="s">
        <v>9</v>
      </c>
      <c r="C252" s="3" t="s">
        <v>10</v>
      </c>
      <c r="D252" s="4">
        <v>44890</v>
      </c>
      <c r="E252" s="4" t="s">
        <v>118</v>
      </c>
      <c r="F252">
        <v>100</v>
      </c>
      <c r="G252">
        <v>2538</v>
      </c>
      <c r="H252">
        <v>1022</v>
      </c>
      <c r="I252">
        <v>1516</v>
      </c>
    </row>
    <row r="253" spans="1:9" ht="13.8" x14ac:dyDescent="0.25">
      <c r="A253" t="s">
        <v>126</v>
      </c>
      <c r="B253" t="s">
        <v>11</v>
      </c>
      <c r="C253" s="3" t="s">
        <v>12</v>
      </c>
      <c r="D253" s="4">
        <v>44893</v>
      </c>
      <c r="E253" s="4" t="s">
        <v>128</v>
      </c>
      <c r="F253">
        <v>500</v>
      </c>
      <c r="G253">
        <v>9890</v>
      </c>
      <c r="H253">
        <v>4920</v>
      </c>
      <c r="I253">
        <v>4970</v>
      </c>
    </row>
    <row r="254" spans="1:9" ht="13.8" x14ac:dyDescent="0.25">
      <c r="A254" t="s">
        <v>130</v>
      </c>
      <c r="B254" t="s">
        <v>9</v>
      </c>
      <c r="C254" s="3" t="s">
        <v>12</v>
      </c>
      <c r="D254" s="4">
        <v>44893</v>
      </c>
      <c r="E254" s="4" t="s">
        <v>105</v>
      </c>
      <c r="F254">
        <v>100</v>
      </c>
      <c r="G254">
        <v>2004</v>
      </c>
      <c r="H254">
        <v>984</v>
      </c>
      <c r="I254">
        <v>1020</v>
      </c>
    </row>
    <row r="255" spans="1:9" ht="13.8" x14ac:dyDescent="0.25">
      <c r="A255" t="s">
        <v>126</v>
      </c>
      <c r="B255" t="s">
        <v>11</v>
      </c>
      <c r="C255" s="3" t="s">
        <v>10</v>
      </c>
      <c r="D255" s="4">
        <v>44894</v>
      </c>
      <c r="E255" s="4" t="s">
        <v>128</v>
      </c>
      <c r="F255">
        <v>300</v>
      </c>
      <c r="G255">
        <v>7569</v>
      </c>
      <c r="H255">
        <v>3066</v>
      </c>
      <c r="I255">
        <v>4503</v>
      </c>
    </row>
    <row r="256" spans="1:9" ht="13.8" x14ac:dyDescent="0.25">
      <c r="A256" t="s">
        <v>130</v>
      </c>
      <c r="B256" t="s">
        <v>11</v>
      </c>
      <c r="C256" s="3" t="s">
        <v>15</v>
      </c>
      <c r="D256" s="4">
        <v>44895</v>
      </c>
      <c r="E256" s="4" t="s">
        <v>106</v>
      </c>
      <c r="F256">
        <v>300</v>
      </c>
      <c r="G256">
        <v>5592</v>
      </c>
      <c r="H256">
        <v>2541</v>
      </c>
      <c r="I256">
        <v>3051</v>
      </c>
    </row>
    <row r="257" spans="1:9" ht="13.8" x14ac:dyDescent="0.25">
      <c r="A257" t="s">
        <v>126</v>
      </c>
      <c r="B257" t="s">
        <v>11</v>
      </c>
      <c r="C257" s="3" t="s">
        <v>12</v>
      </c>
      <c r="D257" s="4">
        <v>44896</v>
      </c>
      <c r="E257" s="4" t="s">
        <v>107</v>
      </c>
      <c r="F257">
        <v>200</v>
      </c>
      <c r="G257">
        <v>3942</v>
      </c>
      <c r="H257">
        <v>1968</v>
      </c>
      <c r="I257">
        <v>1974</v>
      </c>
    </row>
    <row r="258" spans="1:9" ht="13.8" x14ac:dyDescent="0.25">
      <c r="A258" t="s">
        <v>16</v>
      </c>
      <c r="B258" t="s">
        <v>9</v>
      </c>
      <c r="C258" s="3" t="s">
        <v>12</v>
      </c>
      <c r="D258" s="4">
        <v>44897</v>
      </c>
      <c r="E258" s="4" t="s">
        <v>125</v>
      </c>
      <c r="F258">
        <v>800</v>
      </c>
      <c r="G258">
        <v>19344</v>
      </c>
      <c r="H258">
        <v>7872</v>
      </c>
      <c r="I258">
        <v>11472</v>
      </c>
    </row>
    <row r="259" spans="1:9" ht="13.8" x14ac:dyDescent="0.25">
      <c r="A259" t="s">
        <v>126</v>
      </c>
      <c r="B259" t="s">
        <v>13</v>
      </c>
      <c r="C259" s="3" t="s">
        <v>12</v>
      </c>
      <c r="D259" s="4">
        <v>44899</v>
      </c>
      <c r="E259" s="4" t="s">
        <v>108</v>
      </c>
      <c r="F259">
        <v>900</v>
      </c>
      <c r="G259">
        <v>21546</v>
      </c>
      <c r="H259">
        <v>8856</v>
      </c>
      <c r="I259">
        <v>12690</v>
      </c>
    </row>
    <row r="260" spans="1:9" ht="13.8" x14ac:dyDescent="0.25">
      <c r="A260" t="s">
        <v>16</v>
      </c>
      <c r="B260" t="s">
        <v>9</v>
      </c>
      <c r="C260" s="3" t="s">
        <v>12</v>
      </c>
      <c r="D260" s="4">
        <v>44900</v>
      </c>
      <c r="E260" s="4" t="s">
        <v>125</v>
      </c>
      <c r="F260">
        <v>500</v>
      </c>
      <c r="G260">
        <v>10760</v>
      </c>
      <c r="H260">
        <v>4920</v>
      </c>
      <c r="I260">
        <v>5840</v>
      </c>
    </row>
    <row r="261" spans="1:9" ht="13.8" x14ac:dyDescent="0.25">
      <c r="A261" t="s">
        <v>129</v>
      </c>
      <c r="B261" t="s">
        <v>13</v>
      </c>
      <c r="C261" s="3" t="s">
        <v>15</v>
      </c>
      <c r="D261" s="4">
        <v>44900</v>
      </c>
      <c r="E261" s="4" t="s">
        <v>101</v>
      </c>
      <c r="F261">
        <v>900</v>
      </c>
      <c r="G261">
        <v>18243</v>
      </c>
      <c r="H261">
        <v>7623</v>
      </c>
      <c r="I261">
        <v>10620</v>
      </c>
    </row>
    <row r="262" spans="1:9" ht="13.8" x14ac:dyDescent="0.25">
      <c r="A262" t="s">
        <v>126</v>
      </c>
      <c r="B262" t="s">
        <v>9</v>
      </c>
      <c r="C262" s="3" t="s">
        <v>15</v>
      </c>
      <c r="D262" s="4">
        <v>44901</v>
      </c>
      <c r="E262" s="4" t="s">
        <v>100</v>
      </c>
      <c r="F262">
        <v>800</v>
      </c>
      <c r="G262">
        <v>16856</v>
      </c>
      <c r="H262">
        <v>6776</v>
      </c>
      <c r="I262">
        <v>10080</v>
      </c>
    </row>
    <row r="263" spans="1:9" ht="13.8" x14ac:dyDescent="0.25">
      <c r="A263" t="s">
        <v>16</v>
      </c>
      <c r="B263" t="s">
        <v>13</v>
      </c>
      <c r="C263" s="3" t="s">
        <v>15</v>
      </c>
      <c r="D263" s="4">
        <v>44903</v>
      </c>
      <c r="E263" s="4" t="s">
        <v>112</v>
      </c>
      <c r="F263">
        <v>700</v>
      </c>
      <c r="G263">
        <v>14105</v>
      </c>
      <c r="H263">
        <v>5929</v>
      </c>
      <c r="I263">
        <v>8176</v>
      </c>
    </row>
    <row r="264" spans="1:9" ht="13.8" x14ac:dyDescent="0.25">
      <c r="A264" t="s">
        <v>126</v>
      </c>
      <c r="B264" t="s">
        <v>11</v>
      </c>
      <c r="C264" s="3" t="s">
        <v>15</v>
      </c>
      <c r="D264" s="4">
        <v>44903</v>
      </c>
      <c r="E264" s="4" t="s">
        <v>107</v>
      </c>
      <c r="F264">
        <v>100</v>
      </c>
      <c r="G264">
        <v>2111</v>
      </c>
      <c r="H264">
        <v>847</v>
      </c>
      <c r="I264">
        <v>1264</v>
      </c>
    </row>
    <row r="265" spans="1:9" ht="13.8" x14ac:dyDescent="0.25">
      <c r="A265" t="s">
        <v>126</v>
      </c>
      <c r="B265" t="s">
        <v>9</v>
      </c>
      <c r="C265" s="3" t="s">
        <v>10</v>
      </c>
      <c r="D265" s="4">
        <v>44904</v>
      </c>
      <c r="E265" s="4" t="s">
        <v>114</v>
      </c>
      <c r="F265">
        <v>400</v>
      </c>
      <c r="G265">
        <v>9660</v>
      </c>
      <c r="H265">
        <v>4088</v>
      </c>
      <c r="I265">
        <v>5572</v>
      </c>
    </row>
    <row r="266" spans="1:9" ht="13.8" x14ac:dyDescent="0.25">
      <c r="A266" t="s">
        <v>16</v>
      </c>
      <c r="B266" t="s">
        <v>13</v>
      </c>
      <c r="C266" s="3" t="s">
        <v>15</v>
      </c>
      <c r="D266" s="4">
        <v>44905</v>
      </c>
      <c r="E266" s="4" t="s">
        <v>112</v>
      </c>
      <c r="F266">
        <v>100</v>
      </c>
      <c r="G266">
        <v>1878</v>
      </c>
      <c r="H266">
        <v>847</v>
      </c>
      <c r="I266">
        <v>1031</v>
      </c>
    </row>
    <row r="267" spans="1:9" ht="13.8" x14ac:dyDescent="0.25">
      <c r="A267" t="s">
        <v>126</v>
      </c>
      <c r="B267" t="s">
        <v>11</v>
      </c>
      <c r="C267" s="3" t="s">
        <v>12</v>
      </c>
      <c r="D267" s="4">
        <v>44905</v>
      </c>
      <c r="E267" s="4" t="s">
        <v>128</v>
      </c>
      <c r="F267">
        <v>600</v>
      </c>
      <c r="G267">
        <v>12888</v>
      </c>
      <c r="H267">
        <v>5904</v>
      </c>
      <c r="I267">
        <v>6984</v>
      </c>
    </row>
    <row r="268" spans="1:9" ht="13.8" x14ac:dyDescent="0.25">
      <c r="A268" t="s">
        <v>126</v>
      </c>
      <c r="B268" t="s">
        <v>11</v>
      </c>
      <c r="C268" s="3" t="s">
        <v>15</v>
      </c>
      <c r="D268" s="4">
        <v>44907</v>
      </c>
      <c r="E268" s="4" t="s">
        <v>107</v>
      </c>
      <c r="F268">
        <v>100</v>
      </c>
      <c r="G268">
        <v>2108</v>
      </c>
      <c r="H268">
        <v>847</v>
      </c>
      <c r="I268">
        <v>1261</v>
      </c>
    </row>
    <row r="269" spans="1:9" ht="13.8" x14ac:dyDescent="0.25">
      <c r="A269" t="s">
        <v>16</v>
      </c>
      <c r="B269" t="s">
        <v>13</v>
      </c>
      <c r="C269" s="3" t="s">
        <v>15</v>
      </c>
      <c r="D269" s="4">
        <v>44909</v>
      </c>
      <c r="E269" s="4" t="s">
        <v>112</v>
      </c>
      <c r="F269">
        <v>600</v>
      </c>
      <c r="G269">
        <v>11964</v>
      </c>
      <c r="H269">
        <v>5082</v>
      </c>
      <c r="I269">
        <v>6882</v>
      </c>
    </row>
    <row r="270" spans="1:9" ht="13.8" x14ac:dyDescent="0.25">
      <c r="A270" t="s">
        <v>16</v>
      </c>
      <c r="B270" t="s">
        <v>13</v>
      </c>
      <c r="C270" s="3" t="s">
        <v>10</v>
      </c>
      <c r="D270" s="4">
        <v>44910</v>
      </c>
      <c r="E270" s="4" t="s">
        <v>112</v>
      </c>
      <c r="F270">
        <v>900</v>
      </c>
      <c r="G270">
        <v>20664</v>
      </c>
      <c r="H270">
        <v>9198</v>
      </c>
      <c r="I270">
        <v>11466</v>
      </c>
    </row>
    <row r="271" spans="1:9" ht="13.8" x14ac:dyDescent="0.25">
      <c r="A271" t="s">
        <v>126</v>
      </c>
      <c r="B271" t="s">
        <v>11</v>
      </c>
      <c r="C271" s="3" t="s">
        <v>10</v>
      </c>
      <c r="D271" s="4">
        <v>44910</v>
      </c>
      <c r="E271" s="4" t="s">
        <v>107</v>
      </c>
      <c r="F271">
        <v>300</v>
      </c>
      <c r="G271">
        <v>6732</v>
      </c>
      <c r="H271">
        <v>3066</v>
      </c>
      <c r="I271">
        <v>3666</v>
      </c>
    </row>
    <row r="272" spans="1:9" ht="13.8" x14ac:dyDescent="0.25">
      <c r="A272" t="s">
        <v>16</v>
      </c>
      <c r="B272" t="s">
        <v>13</v>
      </c>
      <c r="C272" s="3" t="s">
        <v>15</v>
      </c>
      <c r="D272" s="4">
        <v>44913</v>
      </c>
      <c r="E272" s="4" t="s">
        <v>112</v>
      </c>
      <c r="F272">
        <v>900</v>
      </c>
      <c r="G272">
        <v>15651</v>
      </c>
      <c r="H272">
        <v>7623</v>
      </c>
      <c r="I272">
        <v>8028</v>
      </c>
    </row>
    <row r="273" spans="1:9" ht="13.8" x14ac:dyDescent="0.25">
      <c r="A273" t="s">
        <v>131</v>
      </c>
      <c r="B273" t="s">
        <v>13</v>
      </c>
      <c r="C273" s="3" t="s">
        <v>15</v>
      </c>
      <c r="D273" s="4">
        <v>44914</v>
      </c>
      <c r="E273" s="4" t="s">
        <v>115</v>
      </c>
      <c r="F273">
        <v>600</v>
      </c>
      <c r="G273">
        <v>11274</v>
      </c>
      <c r="H273">
        <v>5082</v>
      </c>
      <c r="I273">
        <v>6192</v>
      </c>
    </row>
    <row r="274" spans="1:9" ht="13.8" x14ac:dyDescent="0.25">
      <c r="A274" t="s">
        <v>126</v>
      </c>
      <c r="B274" t="s">
        <v>9</v>
      </c>
      <c r="C274" s="3" t="s">
        <v>15</v>
      </c>
      <c r="D274" s="4">
        <v>44915</v>
      </c>
      <c r="E274" s="4" t="s">
        <v>100</v>
      </c>
      <c r="F274">
        <v>800</v>
      </c>
      <c r="G274">
        <v>14408</v>
      </c>
      <c r="H274">
        <v>6776</v>
      </c>
      <c r="I274">
        <v>7632</v>
      </c>
    </row>
    <row r="275" spans="1:9" ht="13.8" x14ac:dyDescent="0.25">
      <c r="A275" t="s">
        <v>126</v>
      </c>
      <c r="B275" t="s">
        <v>11</v>
      </c>
      <c r="C275" s="3" t="s">
        <v>10</v>
      </c>
      <c r="D275" s="4">
        <v>44916</v>
      </c>
      <c r="E275" s="4" t="s">
        <v>107</v>
      </c>
      <c r="F275">
        <v>100</v>
      </c>
      <c r="G275">
        <v>2213</v>
      </c>
      <c r="H275">
        <v>1022</v>
      </c>
      <c r="I275">
        <v>1191</v>
      </c>
    </row>
    <row r="276" spans="1:9" ht="13.8" x14ac:dyDescent="0.25">
      <c r="A276" t="s">
        <v>126</v>
      </c>
      <c r="B276" t="s">
        <v>11</v>
      </c>
      <c r="C276" s="3" t="s">
        <v>15</v>
      </c>
      <c r="D276" s="4">
        <v>44917</v>
      </c>
      <c r="E276" s="4" t="s">
        <v>107</v>
      </c>
      <c r="F276">
        <v>500</v>
      </c>
      <c r="G276">
        <v>8725</v>
      </c>
      <c r="H276">
        <v>4235</v>
      </c>
      <c r="I276">
        <v>4490</v>
      </c>
    </row>
    <row r="277" spans="1:9" ht="13.8" x14ac:dyDescent="0.25">
      <c r="A277" t="s">
        <v>130</v>
      </c>
      <c r="B277" t="s">
        <v>11</v>
      </c>
      <c r="C277" s="3" t="s">
        <v>10</v>
      </c>
      <c r="D277" s="4">
        <v>44919</v>
      </c>
      <c r="E277" s="4" t="s">
        <v>106</v>
      </c>
      <c r="F277">
        <v>900</v>
      </c>
      <c r="G277">
        <v>18666</v>
      </c>
      <c r="H277">
        <v>9198</v>
      </c>
      <c r="I277">
        <v>9468</v>
      </c>
    </row>
    <row r="278" spans="1:9" ht="13.8" x14ac:dyDescent="0.25">
      <c r="A278" t="s">
        <v>130</v>
      </c>
      <c r="B278" t="s">
        <v>11</v>
      </c>
      <c r="C278" s="3" t="s">
        <v>15</v>
      </c>
      <c r="D278" s="4">
        <v>44920</v>
      </c>
      <c r="E278" s="4" t="s">
        <v>106</v>
      </c>
      <c r="F278">
        <v>100</v>
      </c>
      <c r="G278">
        <v>2055</v>
      </c>
      <c r="H278">
        <v>847</v>
      </c>
      <c r="I278">
        <v>1208</v>
      </c>
    </row>
    <row r="279" spans="1:9" ht="13.8" x14ac:dyDescent="0.25">
      <c r="A279" t="s">
        <v>126</v>
      </c>
      <c r="B279" t="s">
        <v>11</v>
      </c>
      <c r="C279" s="3" t="s">
        <v>12</v>
      </c>
      <c r="D279" s="4">
        <v>44920</v>
      </c>
      <c r="E279" s="4" t="s">
        <v>128</v>
      </c>
      <c r="F279">
        <v>500</v>
      </c>
      <c r="G279">
        <v>10475</v>
      </c>
      <c r="H279">
        <v>4920</v>
      </c>
      <c r="I279">
        <v>5555</v>
      </c>
    </row>
    <row r="280" spans="1:9" ht="13.8" x14ac:dyDescent="0.25">
      <c r="A280" t="s">
        <v>16</v>
      </c>
      <c r="B280" t="s">
        <v>13</v>
      </c>
      <c r="C280" s="3" t="s">
        <v>10</v>
      </c>
      <c r="D280" s="4">
        <v>44922</v>
      </c>
      <c r="E280" s="4" t="s">
        <v>112</v>
      </c>
      <c r="F280">
        <v>600</v>
      </c>
      <c r="G280">
        <v>14178</v>
      </c>
      <c r="H280">
        <v>6132</v>
      </c>
      <c r="I280">
        <v>8046</v>
      </c>
    </row>
    <row r="281" spans="1:9" ht="13.8" x14ac:dyDescent="0.25">
      <c r="A281" t="s">
        <v>126</v>
      </c>
      <c r="B281" t="s">
        <v>11</v>
      </c>
      <c r="C281" s="3" t="s">
        <v>15</v>
      </c>
      <c r="D281" s="4">
        <v>44922</v>
      </c>
      <c r="E281" s="4" t="s">
        <v>128</v>
      </c>
      <c r="F281">
        <v>100</v>
      </c>
      <c r="G281">
        <v>1861</v>
      </c>
      <c r="H281">
        <v>847</v>
      </c>
      <c r="I281">
        <v>1014</v>
      </c>
    </row>
    <row r="282" spans="1:9" ht="13.8" x14ac:dyDescent="0.25">
      <c r="A282" t="s">
        <v>126</v>
      </c>
      <c r="B282" t="s">
        <v>13</v>
      </c>
      <c r="C282" s="3" t="s">
        <v>15</v>
      </c>
      <c r="D282" s="4">
        <v>44923</v>
      </c>
      <c r="E282" s="4" t="s">
        <v>108</v>
      </c>
      <c r="F282">
        <v>500</v>
      </c>
      <c r="G282">
        <v>9460</v>
      </c>
      <c r="H282">
        <v>4235</v>
      </c>
      <c r="I282">
        <v>5225</v>
      </c>
    </row>
    <row r="283" spans="1:9" ht="13.8" x14ac:dyDescent="0.25">
      <c r="A283" t="s">
        <v>130</v>
      </c>
      <c r="B283" t="s">
        <v>9</v>
      </c>
      <c r="C283" s="3" t="s">
        <v>15</v>
      </c>
      <c r="D283" s="4">
        <v>44924</v>
      </c>
      <c r="E283" s="4" t="s">
        <v>105</v>
      </c>
      <c r="F283">
        <v>600</v>
      </c>
      <c r="G283">
        <v>10290</v>
      </c>
      <c r="H283">
        <v>5082</v>
      </c>
      <c r="I283">
        <v>5208</v>
      </c>
    </row>
    <row r="284" spans="1:9" ht="13.8" x14ac:dyDescent="0.25">
      <c r="A284" t="s">
        <v>130</v>
      </c>
      <c r="B284" t="s">
        <v>11</v>
      </c>
      <c r="C284" s="3" t="s">
        <v>15</v>
      </c>
      <c r="D284" s="4">
        <v>44928</v>
      </c>
      <c r="E284" s="4" t="s">
        <v>106</v>
      </c>
      <c r="F284">
        <v>500</v>
      </c>
      <c r="G284">
        <v>10245</v>
      </c>
      <c r="H284">
        <v>4235</v>
      </c>
      <c r="I284">
        <v>6010</v>
      </c>
    </row>
    <row r="285" spans="1:9" ht="13.8" x14ac:dyDescent="0.25">
      <c r="A285" t="s">
        <v>126</v>
      </c>
      <c r="B285" t="s">
        <v>11</v>
      </c>
      <c r="C285" s="3" t="s">
        <v>10</v>
      </c>
      <c r="D285" s="4">
        <v>44929</v>
      </c>
      <c r="E285" s="4" t="s">
        <v>128</v>
      </c>
      <c r="F285">
        <v>500</v>
      </c>
      <c r="G285">
        <v>11240</v>
      </c>
      <c r="H285">
        <v>5110</v>
      </c>
      <c r="I285">
        <v>6130</v>
      </c>
    </row>
    <row r="286" spans="1:9" ht="13.8" x14ac:dyDescent="0.25">
      <c r="A286" t="s">
        <v>126</v>
      </c>
      <c r="B286" t="s">
        <v>11</v>
      </c>
      <c r="C286" s="3" t="s">
        <v>10</v>
      </c>
      <c r="D286" s="4">
        <v>44930</v>
      </c>
      <c r="E286" s="4" t="s">
        <v>128</v>
      </c>
      <c r="F286">
        <v>400</v>
      </c>
      <c r="G286">
        <v>9204</v>
      </c>
      <c r="H286">
        <v>4088</v>
      </c>
      <c r="I286">
        <v>5116</v>
      </c>
    </row>
    <row r="287" spans="1:9" ht="13.8" x14ac:dyDescent="0.25">
      <c r="A287" t="s">
        <v>126</v>
      </c>
      <c r="B287" t="s">
        <v>11</v>
      </c>
      <c r="C287" s="3" t="s">
        <v>15</v>
      </c>
      <c r="D287" s="4">
        <v>44931</v>
      </c>
      <c r="E287" s="4" t="s">
        <v>107</v>
      </c>
      <c r="F287">
        <v>400</v>
      </c>
      <c r="G287">
        <v>6860</v>
      </c>
      <c r="H287">
        <v>3388</v>
      </c>
      <c r="I287">
        <v>3472</v>
      </c>
    </row>
    <row r="288" spans="1:9" ht="13.8" x14ac:dyDescent="0.25">
      <c r="A288" t="s">
        <v>127</v>
      </c>
      <c r="B288" t="s">
        <v>13</v>
      </c>
      <c r="C288" s="3" t="s">
        <v>10</v>
      </c>
      <c r="D288" s="4">
        <v>44933</v>
      </c>
      <c r="E288" s="4" t="s">
        <v>102</v>
      </c>
      <c r="F288">
        <v>600</v>
      </c>
      <c r="G288">
        <v>13806</v>
      </c>
      <c r="H288">
        <v>6132</v>
      </c>
      <c r="I288">
        <v>7674</v>
      </c>
    </row>
    <row r="289" spans="1:9" ht="13.8" x14ac:dyDescent="0.25">
      <c r="A289" t="s">
        <v>129</v>
      </c>
      <c r="B289" t="s">
        <v>14</v>
      </c>
      <c r="C289" s="3" t="s">
        <v>10</v>
      </c>
      <c r="D289" s="4">
        <v>44935</v>
      </c>
      <c r="E289" s="4" t="s">
        <v>119</v>
      </c>
      <c r="F289">
        <v>900</v>
      </c>
      <c r="G289">
        <v>21015</v>
      </c>
      <c r="H289">
        <v>9198</v>
      </c>
      <c r="I289">
        <v>11817</v>
      </c>
    </row>
    <row r="290" spans="1:9" ht="13.8" x14ac:dyDescent="0.25">
      <c r="A290" t="s">
        <v>126</v>
      </c>
      <c r="B290" t="s">
        <v>11</v>
      </c>
      <c r="C290" s="3" t="s">
        <v>10</v>
      </c>
      <c r="D290" s="4">
        <v>44936</v>
      </c>
      <c r="E290" s="4" t="s">
        <v>128</v>
      </c>
      <c r="F290">
        <v>900</v>
      </c>
      <c r="G290">
        <v>21465</v>
      </c>
      <c r="H290">
        <v>9198</v>
      </c>
      <c r="I290">
        <v>12267</v>
      </c>
    </row>
    <row r="291" spans="1:9" ht="13.8" x14ac:dyDescent="0.25">
      <c r="A291" t="s">
        <v>126</v>
      </c>
      <c r="B291" t="s">
        <v>11</v>
      </c>
      <c r="C291" s="3" t="s">
        <v>10</v>
      </c>
      <c r="D291" s="4">
        <v>44938</v>
      </c>
      <c r="E291" s="4" t="s">
        <v>128</v>
      </c>
      <c r="F291">
        <v>400</v>
      </c>
      <c r="G291">
        <v>9144</v>
      </c>
      <c r="H291">
        <v>4088</v>
      </c>
      <c r="I291">
        <v>5056</v>
      </c>
    </row>
    <row r="292" spans="1:9" ht="13.8" x14ac:dyDescent="0.25">
      <c r="A292" t="s">
        <v>126</v>
      </c>
      <c r="B292" t="s">
        <v>13</v>
      </c>
      <c r="C292" s="3" t="s">
        <v>15</v>
      </c>
      <c r="D292" s="4">
        <v>44940</v>
      </c>
      <c r="E292" s="4" t="s">
        <v>108</v>
      </c>
      <c r="F292">
        <v>100</v>
      </c>
      <c r="G292">
        <v>1740</v>
      </c>
      <c r="H292">
        <v>847</v>
      </c>
      <c r="I292">
        <v>893</v>
      </c>
    </row>
    <row r="293" spans="1:9" ht="13.8" x14ac:dyDescent="0.25">
      <c r="A293" t="s">
        <v>129</v>
      </c>
      <c r="B293" t="s">
        <v>13</v>
      </c>
      <c r="C293" s="3" t="s">
        <v>15</v>
      </c>
      <c r="D293" s="4">
        <v>44940</v>
      </c>
      <c r="E293" s="4" t="s">
        <v>101</v>
      </c>
      <c r="F293">
        <v>1000</v>
      </c>
      <c r="G293">
        <v>19110</v>
      </c>
      <c r="H293">
        <v>8470</v>
      </c>
      <c r="I293">
        <v>10640</v>
      </c>
    </row>
    <row r="294" spans="1:9" ht="13.8" x14ac:dyDescent="0.25">
      <c r="A294" t="s">
        <v>129</v>
      </c>
      <c r="B294" t="s">
        <v>13</v>
      </c>
      <c r="C294" s="3" t="s">
        <v>10</v>
      </c>
      <c r="D294" s="4">
        <v>44942</v>
      </c>
      <c r="E294" s="4" t="s">
        <v>101</v>
      </c>
      <c r="F294">
        <v>900</v>
      </c>
      <c r="G294">
        <v>21888</v>
      </c>
      <c r="H294">
        <v>9198</v>
      </c>
      <c r="I294">
        <v>12690</v>
      </c>
    </row>
    <row r="295" spans="1:9" ht="13.8" x14ac:dyDescent="0.25">
      <c r="A295" t="s">
        <v>16</v>
      </c>
      <c r="B295" t="s">
        <v>13</v>
      </c>
      <c r="C295" s="3" t="s">
        <v>12</v>
      </c>
      <c r="D295" s="4">
        <v>44943</v>
      </c>
      <c r="E295" s="4" t="s">
        <v>112</v>
      </c>
      <c r="F295">
        <v>300</v>
      </c>
      <c r="G295">
        <v>5961</v>
      </c>
      <c r="H295">
        <v>2952</v>
      </c>
      <c r="I295">
        <v>3009</v>
      </c>
    </row>
    <row r="296" spans="1:9" ht="13.8" x14ac:dyDescent="0.25">
      <c r="A296" t="s">
        <v>126</v>
      </c>
      <c r="B296" t="s">
        <v>11</v>
      </c>
      <c r="C296" s="3" t="s">
        <v>15</v>
      </c>
      <c r="D296" s="4">
        <v>44946</v>
      </c>
      <c r="E296" s="4" t="s">
        <v>109</v>
      </c>
      <c r="F296">
        <v>900</v>
      </c>
      <c r="G296">
        <v>17505</v>
      </c>
      <c r="H296">
        <v>7623</v>
      </c>
      <c r="I296">
        <v>9882</v>
      </c>
    </row>
    <row r="297" spans="1:9" ht="13.8" x14ac:dyDescent="0.25">
      <c r="A297" t="s">
        <v>16</v>
      </c>
      <c r="B297" t="s">
        <v>13</v>
      </c>
      <c r="C297" s="3" t="s">
        <v>12</v>
      </c>
      <c r="D297" s="4">
        <v>44947</v>
      </c>
      <c r="E297" s="4" t="s">
        <v>112</v>
      </c>
      <c r="F297">
        <v>300</v>
      </c>
      <c r="G297">
        <v>7032</v>
      </c>
      <c r="H297">
        <v>2952</v>
      </c>
      <c r="I297">
        <v>4080</v>
      </c>
    </row>
    <row r="298" spans="1:9" ht="13.8" x14ac:dyDescent="0.25">
      <c r="A298" t="s">
        <v>16</v>
      </c>
      <c r="B298" t="s">
        <v>13</v>
      </c>
      <c r="C298" s="3" t="s">
        <v>12</v>
      </c>
      <c r="D298" s="4">
        <v>44948</v>
      </c>
      <c r="E298" s="4" t="s">
        <v>112</v>
      </c>
      <c r="F298">
        <v>300</v>
      </c>
      <c r="G298">
        <v>6735</v>
      </c>
      <c r="H298">
        <v>2952</v>
      </c>
      <c r="I298">
        <v>3783</v>
      </c>
    </row>
    <row r="299" spans="1:9" ht="13.8" x14ac:dyDescent="0.25">
      <c r="A299" t="s">
        <v>16</v>
      </c>
      <c r="B299" t="s">
        <v>13</v>
      </c>
      <c r="C299" s="3" t="s">
        <v>15</v>
      </c>
      <c r="D299" s="4">
        <v>44949</v>
      </c>
      <c r="E299" s="4" t="s">
        <v>112</v>
      </c>
      <c r="F299">
        <v>400</v>
      </c>
      <c r="G299">
        <v>8164</v>
      </c>
      <c r="H299">
        <v>3388</v>
      </c>
      <c r="I299">
        <v>4776</v>
      </c>
    </row>
    <row r="300" spans="1:9" ht="13.8" x14ac:dyDescent="0.25">
      <c r="A300" t="s">
        <v>129</v>
      </c>
      <c r="B300" t="s">
        <v>13</v>
      </c>
      <c r="C300" s="3" t="s">
        <v>15</v>
      </c>
      <c r="D300" s="4">
        <v>44950</v>
      </c>
      <c r="E300" s="4" t="s">
        <v>101</v>
      </c>
      <c r="F300">
        <v>300</v>
      </c>
      <c r="G300">
        <v>6207</v>
      </c>
      <c r="H300">
        <v>2541</v>
      </c>
      <c r="I300">
        <v>3666</v>
      </c>
    </row>
    <row r="301" spans="1:9" ht="13.8" x14ac:dyDescent="0.25">
      <c r="A301" t="s">
        <v>16</v>
      </c>
      <c r="B301" t="s">
        <v>13</v>
      </c>
      <c r="C301" s="3" t="s">
        <v>12</v>
      </c>
      <c r="D301" s="4">
        <v>44951</v>
      </c>
      <c r="E301" s="4" t="s">
        <v>112</v>
      </c>
      <c r="F301">
        <v>300</v>
      </c>
      <c r="G301">
        <v>6240</v>
      </c>
      <c r="H301">
        <v>2952</v>
      </c>
      <c r="I301">
        <v>3288</v>
      </c>
    </row>
    <row r="302" spans="1:9" ht="13.8" x14ac:dyDescent="0.25">
      <c r="A302" t="s">
        <v>126</v>
      </c>
      <c r="B302" t="s">
        <v>11</v>
      </c>
      <c r="C302" s="3" t="s">
        <v>15</v>
      </c>
      <c r="D302" s="4">
        <v>44953</v>
      </c>
      <c r="E302" s="4" t="s">
        <v>128</v>
      </c>
      <c r="F302">
        <v>500</v>
      </c>
      <c r="G302">
        <v>10445</v>
      </c>
      <c r="H302">
        <v>4235</v>
      </c>
      <c r="I302">
        <v>6210</v>
      </c>
    </row>
    <row r="303" spans="1:9" ht="13.8" x14ac:dyDescent="0.25">
      <c r="A303" t="s">
        <v>129</v>
      </c>
      <c r="B303" t="s">
        <v>13</v>
      </c>
      <c r="C303" s="3" t="s">
        <v>15</v>
      </c>
      <c r="D303" s="4">
        <v>44955</v>
      </c>
      <c r="E303" s="4" t="s">
        <v>101</v>
      </c>
      <c r="F303">
        <v>800</v>
      </c>
      <c r="G303">
        <v>14224</v>
      </c>
      <c r="H303">
        <v>6776</v>
      </c>
      <c r="I303">
        <v>7448</v>
      </c>
    </row>
    <row r="304" spans="1:9" ht="13.8" x14ac:dyDescent="0.25">
      <c r="A304" t="s">
        <v>126</v>
      </c>
      <c r="B304" t="s">
        <v>13</v>
      </c>
      <c r="C304" s="3" t="s">
        <v>10</v>
      </c>
      <c r="D304" s="4">
        <v>44956</v>
      </c>
      <c r="E304" s="4" t="s">
        <v>108</v>
      </c>
      <c r="F304">
        <v>400</v>
      </c>
      <c r="G304">
        <v>10044</v>
      </c>
      <c r="H304">
        <v>4088</v>
      </c>
      <c r="I304">
        <v>5956</v>
      </c>
    </row>
    <row r="305" spans="1:9" ht="13.8" x14ac:dyDescent="0.25">
      <c r="A305" t="s">
        <v>126</v>
      </c>
      <c r="B305" t="s">
        <v>11</v>
      </c>
      <c r="C305" s="3" t="s">
        <v>15</v>
      </c>
      <c r="D305" s="4">
        <v>44957</v>
      </c>
      <c r="E305" s="4" t="s">
        <v>109</v>
      </c>
      <c r="F305">
        <v>1000</v>
      </c>
      <c r="G305">
        <v>19250</v>
      </c>
      <c r="H305">
        <v>8470</v>
      </c>
      <c r="I305">
        <v>10780</v>
      </c>
    </row>
    <row r="306" spans="1:9" ht="13.8" x14ac:dyDescent="0.25">
      <c r="A306" t="s">
        <v>16</v>
      </c>
      <c r="B306" t="s">
        <v>13</v>
      </c>
      <c r="C306" s="3" t="s">
        <v>12</v>
      </c>
      <c r="D306" s="4">
        <v>44958</v>
      </c>
      <c r="E306" s="4" t="s">
        <v>112</v>
      </c>
      <c r="F306">
        <v>200</v>
      </c>
      <c r="G306">
        <v>4740</v>
      </c>
      <c r="H306">
        <v>1968</v>
      </c>
      <c r="I306">
        <v>2772</v>
      </c>
    </row>
    <row r="307" spans="1:9" ht="13.8" x14ac:dyDescent="0.25">
      <c r="A307" t="s">
        <v>130</v>
      </c>
      <c r="B307" t="s">
        <v>9</v>
      </c>
      <c r="C307" s="3" t="s">
        <v>12</v>
      </c>
      <c r="D307" s="4">
        <v>44958</v>
      </c>
      <c r="E307" s="4" t="s">
        <v>105</v>
      </c>
      <c r="F307">
        <v>600</v>
      </c>
      <c r="G307">
        <v>12672</v>
      </c>
      <c r="H307">
        <v>5904</v>
      </c>
      <c r="I307">
        <v>6768</v>
      </c>
    </row>
    <row r="308" spans="1:9" ht="13.8" x14ac:dyDescent="0.25">
      <c r="A308" t="s">
        <v>16</v>
      </c>
      <c r="B308" t="s">
        <v>13</v>
      </c>
      <c r="C308" s="3" t="s">
        <v>15</v>
      </c>
      <c r="D308" s="4">
        <v>44962</v>
      </c>
      <c r="E308" s="4" t="s">
        <v>112</v>
      </c>
      <c r="F308">
        <v>700</v>
      </c>
      <c r="G308">
        <v>13314</v>
      </c>
      <c r="H308">
        <v>5929</v>
      </c>
      <c r="I308">
        <v>7385</v>
      </c>
    </row>
    <row r="309" spans="1:9" ht="13.8" x14ac:dyDescent="0.25">
      <c r="A309" t="s">
        <v>126</v>
      </c>
      <c r="B309" t="s">
        <v>11</v>
      </c>
      <c r="C309" s="3" t="s">
        <v>12</v>
      </c>
      <c r="D309" s="4">
        <v>44963</v>
      </c>
      <c r="E309" s="4" t="s">
        <v>128</v>
      </c>
      <c r="F309">
        <v>200</v>
      </c>
      <c r="G309">
        <v>4280</v>
      </c>
      <c r="H309">
        <v>1968</v>
      </c>
      <c r="I309">
        <v>2312</v>
      </c>
    </row>
    <row r="310" spans="1:9" ht="13.8" x14ac:dyDescent="0.25">
      <c r="A310" t="s">
        <v>130</v>
      </c>
      <c r="B310" t="s">
        <v>11</v>
      </c>
      <c r="C310" s="3" t="s">
        <v>15</v>
      </c>
      <c r="D310" s="4">
        <v>44965</v>
      </c>
      <c r="E310" s="4" t="s">
        <v>106</v>
      </c>
      <c r="F310">
        <v>300</v>
      </c>
      <c r="G310">
        <v>6045</v>
      </c>
      <c r="H310">
        <v>2541</v>
      </c>
      <c r="I310">
        <v>3504</v>
      </c>
    </row>
    <row r="311" spans="1:9" ht="13.8" x14ac:dyDescent="0.25">
      <c r="A311" t="s">
        <v>129</v>
      </c>
      <c r="B311" t="s">
        <v>13</v>
      </c>
      <c r="C311" s="3" t="s">
        <v>15</v>
      </c>
      <c r="D311" s="4">
        <v>44966</v>
      </c>
      <c r="E311" s="4" t="s">
        <v>101</v>
      </c>
      <c r="F311">
        <v>400</v>
      </c>
      <c r="G311">
        <v>7180</v>
      </c>
      <c r="H311">
        <v>3388</v>
      </c>
      <c r="I311">
        <v>3792</v>
      </c>
    </row>
    <row r="312" spans="1:9" ht="13.8" x14ac:dyDescent="0.25">
      <c r="A312" t="s">
        <v>126</v>
      </c>
      <c r="B312" t="s">
        <v>11</v>
      </c>
      <c r="C312" s="3" t="s">
        <v>12</v>
      </c>
      <c r="D312" s="4">
        <v>44970</v>
      </c>
      <c r="E312" s="4" t="s">
        <v>109</v>
      </c>
      <c r="F312">
        <v>600</v>
      </c>
      <c r="G312">
        <v>12798</v>
      </c>
      <c r="H312">
        <v>5904</v>
      </c>
      <c r="I312">
        <v>6894</v>
      </c>
    </row>
    <row r="313" spans="1:9" ht="13.8" x14ac:dyDescent="0.25">
      <c r="A313" t="s">
        <v>129</v>
      </c>
      <c r="B313" t="s">
        <v>13</v>
      </c>
      <c r="C313" s="3" t="s">
        <v>15</v>
      </c>
      <c r="D313" s="4">
        <v>44972</v>
      </c>
      <c r="E313" s="4" t="s">
        <v>101</v>
      </c>
      <c r="F313">
        <v>100</v>
      </c>
      <c r="G313">
        <v>2066</v>
      </c>
      <c r="H313">
        <v>847</v>
      </c>
      <c r="I313">
        <v>1219</v>
      </c>
    </row>
    <row r="314" spans="1:9" ht="13.8" x14ac:dyDescent="0.25">
      <c r="A314" t="s">
        <v>126</v>
      </c>
      <c r="B314" t="s">
        <v>9</v>
      </c>
      <c r="C314" s="3" t="s">
        <v>12</v>
      </c>
      <c r="D314" s="4">
        <v>44973</v>
      </c>
      <c r="E314" s="4" t="s">
        <v>100</v>
      </c>
      <c r="F314">
        <v>200</v>
      </c>
      <c r="G314">
        <v>4742</v>
      </c>
      <c r="H314">
        <v>1968</v>
      </c>
      <c r="I314">
        <v>2774</v>
      </c>
    </row>
    <row r="315" spans="1:9" ht="13.8" x14ac:dyDescent="0.25">
      <c r="A315" t="s">
        <v>130</v>
      </c>
      <c r="B315" t="s">
        <v>9</v>
      </c>
      <c r="C315" s="3" t="s">
        <v>15</v>
      </c>
      <c r="D315" s="4">
        <v>44974</v>
      </c>
      <c r="E315" s="4" t="s">
        <v>105</v>
      </c>
      <c r="F315">
        <v>200</v>
      </c>
      <c r="G315">
        <v>3876</v>
      </c>
      <c r="H315">
        <v>1694</v>
      </c>
      <c r="I315">
        <v>2182</v>
      </c>
    </row>
    <row r="316" spans="1:9" ht="13.8" x14ac:dyDescent="0.25">
      <c r="A316" t="s">
        <v>126</v>
      </c>
      <c r="B316" t="s">
        <v>11</v>
      </c>
      <c r="C316" s="3" t="s">
        <v>12</v>
      </c>
      <c r="D316" s="4">
        <v>44976</v>
      </c>
      <c r="E316" s="4" t="s">
        <v>107</v>
      </c>
      <c r="F316">
        <v>400</v>
      </c>
      <c r="G316">
        <v>9088</v>
      </c>
      <c r="H316">
        <v>3936</v>
      </c>
      <c r="I316">
        <v>5152</v>
      </c>
    </row>
    <row r="317" spans="1:9" ht="13.8" x14ac:dyDescent="0.25">
      <c r="A317" t="s">
        <v>130</v>
      </c>
      <c r="B317" t="s">
        <v>9</v>
      </c>
      <c r="C317" s="3" t="s">
        <v>10</v>
      </c>
      <c r="D317" s="4">
        <v>44976</v>
      </c>
      <c r="E317" s="4" t="s">
        <v>105</v>
      </c>
      <c r="F317">
        <v>1000</v>
      </c>
      <c r="G317">
        <v>25080</v>
      </c>
      <c r="H317">
        <v>10220</v>
      </c>
      <c r="I317">
        <v>14860</v>
      </c>
    </row>
    <row r="318" spans="1:9" ht="13.8" x14ac:dyDescent="0.25">
      <c r="A318" t="s">
        <v>131</v>
      </c>
      <c r="B318" t="s">
        <v>13</v>
      </c>
      <c r="C318" s="3" t="s">
        <v>15</v>
      </c>
      <c r="D318" s="4">
        <v>44977</v>
      </c>
      <c r="E318" s="4" t="s">
        <v>115</v>
      </c>
      <c r="F318">
        <v>400</v>
      </c>
      <c r="G318">
        <v>7152</v>
      </c>
      <c r="H318">
        <v>3388</v>
      </c>
      <c r="I318">
        <v>3764</v>
      </c>
    </row>
    <row r="319" spans="1:9" ht="13.8" x14ac:dyDescent="0.25">
      <c r="A319" t="s">
        <v>126</v>
      </c>
      <c r="B319" t="s">
        <v>11</v>
      </c>
      <c r="C319" s="3" t="s">
        <v>12</v>
      </c>
      <c r="D319" s="4">
        <v>44977</v>
      </c>
      <c r="E319" s="4" t="s">
        <v>128</v>
      </c>
      <c r="F319">
        <v>800</v>
      </c>
      <c r="G319">
        <v>18504</v>
      </c>
      <c r="H319">
        <v>7872</v>
      </c>
      <c r="I319">
        <v>10632</v>
      </c>
    </row>
    <row r="320" spans="1:9" ht="13.8" x14ac:dyDescent="0.25">
      <c r="A320" t="s">
        <v>126</v>
      </c>
      <c r="B320" t="s">
        <v>9</v>
      </c>
      <c r="C320" s="3" t="s">
        <v>12</v>
      </c>
      <c r="D320" s="4">
        <v>44979</v>
      </c>
      <c r="E320" s="4" t="s">
        <v>100</v>
      </c>
      <c r="F320">
        <v>600</v>
      </c>
      <c r="G320">
        <v>12282</v>
      </c>
      <c r="H320">
        <v>5904</v>
      </c>
      <c r="I320">
        <v>6378</v>
      </c>
    </row>
    <row r="321" spans="1:9" ht="13.8" x14ac:dyDescent="0.25">
      <c r="A321" t="s">
        <v>126</v>
      </c>
      <c r="B321" t="s">
        <v>11</v>
      </c>
      <c r="C321" s="3" t="s">
        <v>10</v>
      </c>
      <c r="D321" s="4">
        <v>44981</v>
      </c>
      <c r="E321" s="4" t="s">
        <v>128</v>
      </c>
      <c r="F321">
        <v>1000</v>
      </c>
      <c r="G321">
        <v>20940</v>
      </c>
      <c r="H321">
        <v>10220</v>
      </c>
      <c r="I321">
        <v>10720</v>
      </c>
    </row>
    <row r="322" spans="1:9" ht="13.8" x14ac:dyDescent="0.25">
      <c r="A322" t="s">
        <v>130</v>
      </c>
      <c r="B322" t="s">
        <v>9</v>
      </c>
      <c r="C322" s="3" t="s">
        <v>15</v>
      </c>
      <c r="D322" s="4">
        <v>44983</v>
      </c>
      <c r="E322" s="4" t="s">
        <v>105</v>
      </c>
      <c r="F322">
        <v>700</v>
      </c>
      <c r="G322">
        <v>12145</v>
      </c>
      <c r="H322">
        <v>5929</v>
      </c>
      <c r="I322">
        <v>6216</v>
      </c>
    </row>
    <row r="323" spans="1:9" ht="13.8" x14ac:dyDescent="0.25">
      <c r="A323" t="s">
        <v>126</v>
      </c>
      <c r="B323" t="s">
        <v>9</v>
      </c>
      <c r="C323" s="3" t="s">
        <v>10</v>
      </c>
      <c r="D323" s="4">
        <v>44983</v>
      </c>
      <c r="E323" s="4" t="s">
        <v>100</v>
      </c>
      <c r="F323">
        <v>1000</v>
      </c>
      <c r="G323">
        <v>22680</v>
      </c>
      <c r="H323">
        <v>10220</v>
      </c>
      <c r="I323">
        <v>12460</v>
      </c>
    </row>
    <row r="324" spans="1:9" ht="13.8" x14ac:dyDescent="0.25">
      <c r="A324" t="s">
        <v>126</v>
      </c>
      <c r="B324" t="s">
        <v>11</v>
      </c>
      <c r="C324" s="3" t="s">
        <v>10</v>
      </c>
      <c r="D324" s="4">
        <v>44983</v>
      </c>
      <c r="E324" s="4" t="s">
        <v>107</v>
      </c>
      <c r="F324">
        <v>700</v>
      </c>
      <c r="G324">
        <v>17367</v>
      </c>
      <c r="H324">
        <v>7154</v>
      </c>
      <c r="I324">
        <v>10213</v>
      </c>
    </row>
    <row r="325" spans="1:9" ht="13.8" x14ac:dyDescent="0.25">
      <c r="A325" t="s">
        <v>130</v>
      </c>
      <c r="B325" t="s">
        <v>11</v>
      </c>
      <c r="C325" s="3" t="s">
        <v>15</v>
      </c>
      <c r="D325" s="4">
        <v>44984</v>
      </c>
      <c r="E325" s="4" t="s">
        <v>106</v>
      </c>
      <c r="F325">
        <v>600</v>
      </c>
      <c r="G325">
        <v>11922</v>
      </c>
      <c r="H325">
        <v>5082</v>
      </c>
      <c r="I325">
        <v>6840</v>
      </c>
    </row>
    <row r="326" spans="1:9" ht="13.8" x14ac:dyDescent="0.25">
      <c r="A326" t="s">
        <v>16</v>
      </c>
      <c r="B326" t="s">
        <v>9</v>
      </c>
      <c r="C326" s="3" t="s">
        <v>10</v>
      </c>
      <c r="D326" s="4">
        <v>44984</v>
      </c>
      <c r="E326" s="4" t="s">
        <v>125</v>
      </c>
      <c r="F326">
        <v>200</v>
      </c>
      <c r="G326">
        <v>4614</v>
      </c>
      <c r="H326">
        <v>2044</v>
      </c>
      <c r="I326">
        <v>2570</v>
      </c>
    </row>
    <row r="327" spans="1:9" ht="13.8" x14ac:dyDescent="0.25">
      <c r="A327" t="s">
        <v>130</v>
      </c>
      <c r="B327" t="s">
        <v>11</v>
      </c>
      <c r="C327" s="3" t="s">
        <v>10</v>
      </c>
      <c r="D327" s="4">
        <v>44985</v>
      </c>
      <c r="E327" s="4" t="s">
        <v>106</v>
      </c>
      <c r="F327">
        <v>1000</v>
      </c>
      <c r="G327">
        <v>20490</v>
      </c>
      <c r="H327">
        <v>10220</v>
      </c>
      <c r="I327">
        <v>10270</v>
      </c>
    </row>
    <row r="328" spans="1:9" ht="13.8" x14ac:dyDescent="0.25">
      <c r="A328" t="s">
        <v>126</v>
      </c>
      <c r="B328" t="s">
        <v>11</v>
      </c>
      <c r="C328" s="3" t="s">
        <v>10</v>
      </c>
      <c r="D328" s="4">
        <v>44988</v>
      </c>
      <c r="E328" s="4" t="s">
        <v>128</v>
      </c>
      <c r="F328">
        <v>400</v>
      </c>
      <c r="G328">
        <v>8620</v>
      </c>
      <c r="H328">
        <v>4088</v>
      </c>
      <c r="I328">
        <v>4532</v>
      </c>
    </row>
    <row r="329" spans="1:9" ht="13.8" x14ac:dyDescent="0.25">
      <c r="A329" t="s">
        <v>126</v>
      </c>
      <c r="B329" t="s">
        <v>11</v>
      </c>
      <c r="C329" s="3" t="s">
        <v>12</v>
      </c>
      <c r="D329" s="4">
        <v>44989</v>
      </c>
      <c r="E329" s="4" t="s">
        <v>107</v>
      </c>
      <c r="F329">
        <v>500</v>
      </c>
      <c r="G329">
        <v>11860</v>
      </c>
      <c r="H329">
        <v>4920</v>
      </c>
      <c r="I329">
        <v>6940</v>
      </c>
    </row>
    <row r="330" spans="1:9" ht="13.8" x14ac:dyDescent="0.25">
      <c r="A330" t="s">
        <v>131</v>
      </c>
      <c r="B330" t="s">
        <v>13</v>
      </c>
      <c r="C330" s="3" t="s">
        <v>15</v>
      </c>
      <c r="D330" s="4">
        <v>44991</v>
      </c>
      <c r="E330" s="4" t="s">
        <v>115</v>
      </c>
      <c r="F330">
        <v>800</v>
      </c>
      <c r="G330">
        <v>14984</v>
      </c>
      <c r="H330">
        <v>6776</v>
      </c>
      <c r="I330">
        <v>8208</v>
      </c>
    </row>
    <row r="331" spans="1:9" ht="13.8" x14ac:dyDescent="0.25">
      <c r="A331" t="s">
        <v>126</v>
      </c>
      <c r="B331" t="s">
        <v>9</v>
      </c>
      <c r="C331" s="3" t="s">
        <v>15</v>
      </c>
      <c r="D331" s="4">
        <v>44991</v>
      </c>
      <c r="E331" s="4" t="s">
        <v>100</v>
      </c>
      <c r="F331">
        <v>200</v>
      </c>
      <c r="G331">
        <v>4010</v>
      </c>
      <c r="H331">
        <v>1694</v>
      </c>
      <c r="I331">
        <v>2316</v>
      </c>
    </row>
    <row r="332" spans="1:9" ht="13.8" x14ac:dyDescent="0.25">
      <c r="A332" t="s">
        <v>130</v>
      </c>
      <c r="B332" t="s">
        <v>9</v>
      </c>
      <c r="C332" s="3" t="s">
        <v>10</v>
      </c>
      <c r="D332" s="4">
        <v>44994</v>
      </c>
      <c r="E332" s="4" t="s">
        <v>105</v>
      </c>
      <c r="F332">
        <v>500</v>
      </c>
      <c r="G332">
        <v>12505</v>
      </c>
      <c r="H332">
        <v>5110</v>
      </c>
      <c r="I332">
        <v>7395</v>
      </c>
    </row>
    <row r="333" spans="1:9" ht="13.8" x14ac:dyDescent="0.25">
      <c r="A333" t="s">
        <v>130</v>
      </c>
      <c r="B333" t="s">
        <v>9</v>
      </c>
      <c r="C333" s="3" t="s">
        <v>15</v>
      </c>
      <c r="D333" s="4">
        <v>44998</v>
      </c>
      <c r="E333" s="4" t="s">
        <v>105</v>
      </c>
      <c r="F333">
        <v>100</v>
      </c>
      <c r="G333">
        <v>1704</v>
      </c>
      <c r="H333">
        <v>847</v>
      </c>
      <c r="I333">
        <v>857</v>
      </c>
    </row>
    <row r="334" spans="1:9" ht="13.8" x14ac:dyDescent="0.25">
      <c r="A334" t="s">
        <v>126</v>
      </c>
      <c r="B334" t="s">
        <v>11</v>
      </c>
      <c r="C334" s="3" t="s">
        <v>10</v>
      </c>
      <c r="D334" s="4">
        <v>44998</v>
      </c>
      <c r="E334" s="4" t="s">
        <v>107</v>
      </c>
      <c r="F334">
        <v>300</v>
      </c>
      <c r="G334">
        <v>7305</v>
      </c>
      <c r="H334">
        <v>3066</v>
      </c>
      <c r="I334">
        <v>4239</v>
      </c>
    </row>
    <row r="335" spans="1:9" ht="13.8" x14ac:dyDescent="0.25">
      <c r="A335" t="s">
        <v>126</v>
      </c>
      <c r="B335" t="s">
        <v>11</v>
      </c>
      <c r="C335" s="3" t="s">
        <v>10</v>
      </c>
      <c r="D335" s="4">
        <v>44999</v>
      </c>
      <c r="E335" s="4" t="s">
        <v>107</v>
      </c>
      <c r="F335">
        <v>500</v>
      </c>
      <c r="G335">
        <v>11965</v>
      </c>
      <c r="H335">
        <v>5110</v>
      </c>
      <c r="I335">
        <v>6855</v>
      </c>
    </row>
    <row r="336" spans="1:9" ht="13.8" x14ac:dyDescent="0.25">
      <c r="A336" t="s">
        <v>131</v>
      </c>
      <c r="B336" t="s">
        <v>13</v>
      </c>
      <c r="C336" s="3" t="s">
        <v>10</v>
      </c>
      <c r="D336" s="4">
        <v>45001</v>
      </c>
      <c r="E336" s="4" t="s">
        <v>115</v>
      </c>
      <c r="F336">
        <v>400</v>
      </c>
      <c r="G336">
        <v>9240</v>
      </c>
      <c r="H336">
        <v>4088</v>
      </c>
      <c r="I336">
        <v>5152</v>
      </c>
    </row>
    <row r="337" spans="1:9" ht="13.8" x14ac:dyDescent="0.25">
      <c r="A337" t="s">
        <v>126</v>
      </c>
      <c r="B337" t="s">
        <v>9</v>
      </c>
      <c r="C337" s="3" t="s">
        <v>12</v>
      </c>
      <c r="D337" s="4">
        <v>45001</v>
      </c>
      <c r="E337" s="4" t="s">
        <v>100</v>
      </c>
      <c r="F337">
        <v>200</v>
      </c>
      <c r="G337">
        <v>4526</v>
      </c>
      <c r="H337">
        <v>1968</v>
      </c>
      <c r="I337">
        <v>2558</v>
      </c>
    </row>
    <row r="338" spans="1:9" ht="13.8" x14ac:dyDescent="0.25">
      <c r="A338" t="s">
        <v>126</v>
      </c>
      <c r="B338" t="s">
        <v>11</v>
      </c>
      <c r="C338" s="3" t="s">
        <v>12</v>
      </c>
      <c r="D338" s="4">
        <v>45003</v>
      </c>
      <c r="E338" s="4" t="s">
        <v>107</v>
      </c>
      <c r="F338">
        <v>500</v>
      </c>
      <c r="G338">
        <v>11695</v>
      </c>
      <c r="H338">
        <v>4920</v>
      </c>
      <c r="I338">
        <v>6775</v>
      </c>
    </row>
    <row r="339" spans="1:9" ht="13.8" x14ac:dyDescent="0.25">
      <c r="A339" t="s">
        <v>16</v>
      </c>
      <c r="B339" t="s">
        <v>13</v>
      </c>
      <c r="C339" s="3" t="s">
        <v>12</v>
      </c>
      <c r="D339" s="4">
        <v>45004</v>
      </c>
      <c r="E339" s="4" t="s">
        <v>112</v>
      </c>
      <c r="F339">
        <v>100</v>
      </c>
      <c r="G339">
        <v>2272</v>
      </c>
      <c r="H339">
        <v>984</v>
      </c>
      <c r="I339">
        <v>1288</v>
      </c>
    </row>
    <row r="340" spans="1:9" ht="13.8" x14ac:dyDescent="0.25">
      <c r="A340" t="s">
        <v>126</v>
      </c>
      <c r="B340" t="s">
        <v>9</v>
      </c>
      <c r="C340" s="3" t="s">
        <v>12</v>
      </c>
      <c r="D340" s="4">
        <v>45005</v>
      </c>
      <c r="E340" s="4" t="s">
        <v>100</v>
      </c>
      <c r="F340">
        <v>100</v>
      </c>
      <c r="G340">
        <v>2157</v>
      </c>
      <c r="H340">
        <v>984</v>
      </c>
      <c r="I340">
        <v>1173</v>
      </c>
    </row>
    <row r="341" spans="1:9" ht="13.8" x14ac:dyDescent="0.25">
      <c r="A341" t="s">
        <v>130</v>
      </c>
      <c r="B341" t="s">
        <v>11</v>
      </c>
      <c r="C341" s="3" t="s">
        <v>10</v>
      </c>
      <c r="D341" s="4">
        <v>45007</v>
      </c>
      <c r="E341" s="4" t="s">
        <v>106</v>
      </c>
      <c r="F341">
        <v>400</v>
      </c>
      <c r="G341">
        <v>8732</v>
      </c>
      <c r="H341">
        <v>4088</v>
      </c>
      <c r="I341">
        <v>4644</v>
      </c>
    </row>
    <row r="342" spans="1:9" ht="13.8" x14ac:dyDescent="0.25">
      <c r="A342" t="s">
        <v>126</v>
      </c>
      <c r="B342" t="s">
        <v>11</v>
      </c>
      <c r="C342" s="3" t="s">
        <v>12</v>
      </c>
      <c r="D342" s="4">
        <v>45008</v>
      </c>
      <c r="E342" s="4" t="s">
        <v>109</v>
      </c>
      <c r="F342">
        <v>800</v>
      </c>
      <c r="G342">
        <v>15856</v>
      </c>
      <c r="H342">
        <v>7872</v>
      </c>
      <c r="I342">
        <v>7984</v>
      </c>
    </row>
    <row r="343" spans="1:9" ht="13.8" x14ac:dyDescent="0.25">
      <c r="A343" t="s">
        <v>129</v>
      </c>
      <c r="B343" t="s">
        <v>9</v>
      </c>
      <c r="C343" s="3" t="s">
        <v>17</v>
      </c>
      <c r="D343" s="4">
        <v>45009</v>
      </c>
      <c r="E343" s="4" t="s">
        <v>103</v>
      </c>
      <c r="F343">
        <v>100</v>
      </c>
      <c r="G343">
        <v>2484</v>
      </c>
      <c r="H343">
        <v>1022</v>
      </c>
      <c r="I343">
        <v>1462</v>
      </c>
    </row>
    <row r="344" spans="1:9" ht="13.8" x14ac:dyDescent="0.25">
      <c r="A344" t="s">
        <v>129</v>
      </c>
      <c r="B344" t="s">
        <v>13</v>
      </c>
      <c r="C344" s="3" t="s">
        <v>12</v>
      </c>
      <c r="D344" s="4">
        <v>45009</v>
      </c>
      <c r="E344" s="4" t="s">
        <v>101</v>
      </c>
      <c r="F344">
        <v>1000</v>
      </c>
      <c r="G344">
        <v>23820</v>
      </c>
      <c r="H344">
        <v>9840</v>
      </c>
      <c r="I344">
        <v>13980</v>
      </c>
    </row>
    <row r="345" spans="1:9" ht="13.8" x14ac:dyDescent="0.25">
      <c r="A345" t="s">
        <v>126</v>
      </c>
      <c r="B345" t="s">
        <v>11</v>
      </c>
      <c r="C345" s="3" t="s">
        <v>12</v>
      </c>
      <c r="D345" s="4">
        <v>45010</v>
      </c>
      <c r="E345" s="4" t="s">
        <v>128</v>
      </c>
      <c r="F345">
        <v>200</v>
      </c>
      <c r="G345">
        <v>4472</v>
      </c>
      <c r="H345">
        <v>1968</v>
      </c>
      <c r="I345">
        <v>2504</v>
      </c>
    </row>
    <row r="346" spans="1:9" ht="13.8" x14ac:dyDescent="0.25">
      <c r="A346" t="s">
        <v>130</v>
      </c>
      <c r="B346" t="s">
        <v>9</v>
      </c>
      <c r="C346" s="3" t="s">
        <v>15</v>
      </c>
      <c r="D346" s="4">
        <v>45011</v>
      </c>
      <c r="E346" s="4" t="s">
        <v>105</v>
      </c>
      <c r="F346">
        <v>700</v>
      </c>
      <c r="G346">
        <v>11858</v>
      </c>
      <c r="H346">
        <v>5929</v>
      </c>
      <c r="I346">
        <v>5929</v>
      </c>
    </row>
    <row r="347" spans="1:9" ht="13.8" x14ac:dyDescent="0.25">
      <c r="A347" t="s">
        <v>130</v>
      </c>
      <c r="B347" t="s">
        <v>9</v>
      </c>
      <c r="C347" s="3" t="s">
        <v>15</v>
      </c>
      <c r="D347" s="4">
        <v>45013</v>
      </c>
      <c r="E347" s="4" t="s">
        <v>105</v>
      </c>
      <c r="F347">
        <v>500</v>
      </c>
      <c r="G347">
        <v>9855</v>
      </c>
      <c r="H347">
        <v>4235</v>
      </c>
      <c r="I347">
        <v>5620</v>
      </c>
    </row>
    <row r="348" spans="1:9" ht="13.8" x14ac:dyDescent="0.25">
      <c r="A348" t="s">
        <v>129</v>
      </c>
      <c r="B348" t="s">
        <v>13</v>
      </c>
      <c r="C348" s="3" t="s">
        <v>12</v>
      </c>
      <c r="D348" s="4">
        <v>45015</v>
      </c>
      <c r="E348" s="4" t="s">
        <v>101</v>
      </c>
      <c r="F348">
        <v>800</v>
      </c>
      <c r="G348">
        <v>17240</v>
      </c>
      <c r="H348">
        <v>7872</v>
      </c>
      <c r="I348">
        <v>9368</v>
      </c>
    </row>
    <row r="349" spans="1:9" ht="13.8" x14ac:dyDescent="0.25">
      <c r="A349" t="s">
        <v>126</v>
      </c>
      <c r="B349" t="s">
        <v>9</v>
      </c>
      <c r="C349" s="3" t="s">
        <v>10</v>
      </c>
      <c r="D349" s="4">
        <v>45016</v>
      </c>
      <c r="E349" s="4" t="s">
        <v>100</v>
      </c>
      <c r="F349">
        <v>600</v>
      </c>
      <c r="G349">
        <v>13542</v>
      </c>
      <c r="H349">
        <v>6132</v>
      </c>
      <c r="I349">
        <v>7410</v>
      </c>
    </row>
    <row r="350" spans="1:9" ht="13.8" x14ac:dyDescent="0.25">
      <c r="A350" t="s">
        <v>16</v>
      </c>
      <c r="B350" t="s">
        <v>14</v>
      </c>
      <c r="C350" s="3" t="s">
        <v>17</v>
      </c>
      <c r="D350" s="4">
        <v>45017</v>
      </c>
      <c r="E350" s="4" t="s">
        <v>116</v>
      </c>
      <c r="F350">
        <v>300</v>
      </c>
      <c r="G350">
        <v>5859</v>
      </c>
      <c r="H350">
        <v>2541</v>
      </c>
      <c r="I350">
        <v>3318</v>
      </c>
    </row>
    <row r="351" spans="1:9" ht="13.8" x14ac:dyDescent="0.25">
      <c r="A351" t="s">
        <v>16</v>
      </c>
      <c r="B351" t="s">
        <v>13</v>
      </c>
      <c r="C351" s="3" t="s">
        <v>12</v>
      </c>
      <c r="D351" s="4">
        <v>45019</v>
      </c>
      <c r="E351" s="4" t="s">
        <v>112</v>
      </c>
      <c r="F351">
        <v>300</v>
      </c>
      <c r="G351">
        <v>7233</v>
      </c>
      <c r="H351">
        <v>2952</v>
      </c>
      <c r="I351">
        <v>4281</v>
      </c>
    </row>
    <row r="352" spans="1:9" ht="13.8" x14ac:dyDescent="0.25">
      <c r="A352" t="s">
        <v>126</v>
      </c>
      <c r="B352" t="s">
        <v>9</v>
      </c>
      <c r="C352" s="3" t="s">
        <v>15</v>
      </c>
      <c r="D352" s="4">
        <v>45020</v>
      </c>
      <c r="E352" s="4" t="s">
        <v>100</v>
      </c>
      <c r="F352">
        <v>400</v>
      </c>
      <c r="G352">
        <v>7752</v>
      </c>
      <c r="H352">
        <v>3388</v>
      </c>
      <c r="I352">
        <v>4364</v>
      </c>
    </row>
    <row r="353" spans="1:9" ht="13.8" x14ac:dyDescent="0.25">
      <c r="A353" t="s">
        <v>130</v>
      </c>
      <c r="B353" t="s">
        <v>9</v>
      </c>
      <c r="C353" s="3" t="s">
        <v>10</v>
      </c>
      <c r="D353" s="4">
        <v>45020</v>
      </c>
      <c r="E353" s="4" t="s">
        <v>105</v>
      </c>
      <c r="F353">
        <v>700</v>
      </c>
      <c r="G353">
        <v>15435</v>
      </c>
      <c r="H353">
        <v>7154</v>
      </c>
      <c r="I353">
        <v>8281</v>
      </c>
    </row>
    <row r="354" spans="1:9" ht="13.8" x14ac:dyDescent="0.25">
      <c r="A354" t="s">
        <v>16</v>
      </c>
      <c r="B354" t="s">
        <v>13</v>
      </c>
      <c r="C354" s="3" t="s">
        <v>10</v>
      </c>
      <c r="D354" s="4">
        <v>45021</v>
      </c>
      <c r="E354" s="4" t="s">
        <v>112</v>
      </c>
      <c r="F354">
        <v>100</v>
      </c>
      <c r="G354">
        <v>2178</v>
      </c>
      <c r="H354">
        <v>1022</v>
      </c>
      <c r="I354">
        <v>1156</v>
      </c>
    </row>
    <row r="355" spans="1:9" ht="13.8" x14ac:dyDescent="0.25">
      <c r="A355" t="s">
        <v>126</v>
      </c>
      <c r="B355" t="s">
        <v>11</v>
      </c>
      <c r="C355" s="3" t="s">
        <v>15</v>
      </c>
      <c r="D355" s="4">
        <v>45021</v>
      </c>
      <c r="E355" s="4" t="s">
        <v>109</v>
      </c>
      <c r="F355">
        <v>500</v>
      </c>
      <c r="G355">
        <v>9575</v>
      </c>
      <c r="H355">
        <v>4235</v>
      </c>
      <c r="I355">
        <v>5340</v>
      </c>
    </row>
    <row r="356" spans="1:9" ht="13.8" x14ac:dyDescent="0.25">
      <c r="A356" t="s">
        <v>126</v>
      </c>
      <c r="B356" t="s">
        <v>9</v>
      </c>
      <c r="C356" s="3" t="s">
        <v>15</v>
      </c>
      <c r="D356" s="4">
        <v>45023</v>
      </c>
      <c r="E356" s="4" t="s">
        <v>100</v>
      </c>
      <c r="F356">
        <v>500</v>
      </c>
      <c r="G356">
        <v>10460</v>
      </c>
      <c r="H356">
        <v>4235</v>
      </c>
      <c r="I356">
        <v>6225</v>
      </c>
    </row>
    <row r="357" spans="1:9" ht="13.8" x14ac:dyDescent="0.25">
      <c r="A357" t="s">
        <v>130</v>
      </c>
      <c r="B357" t="s">
        <v>9</v>
      </c>
      <c r="C357" s="3" t="s">
        <v>15</v>
      </c>
      <c r="D357" s="4">
        <v>45026</v>
      </c>
      <c r="E357" s="4" t="s">
        <v>105</v>
      </c>
      <c r="F357">
        <v>400</v>
      </c>
      <c r="G357">
        <v>8132</v>
      </c>
      <c r="H357">
        <v>3388</v>
      </c>
      <c r="I357">
        <v>4744</v>
      </c>
    </row>
    <row r="358" spans="1:9" ht="13.8" x14ac:dyDescent="0.25">
      <c r="A358" t="s">
        <v>126</v>
      </c>
      <c r="B358" t="s">
        <v>9</v>
      </c>
      <c r="C358" s="3" t="s">
        <v>10</v>
      </c>
      <c r="D358" s="4">
        <v>45026</v>
      </c>
      <c r="E358" s="4" t="s">
        <v>100</v>
      </c>
      <c r="F358">
        <v>800</v>
      </c>
      <c r="G358">
        <v>18344</v>
      </c>
      <c r="H358">
        <v>8176</v>
      </c>
      <c r="I358">
        <v>10168</v>
      </c>
    </row>
    <row r="359" spans="1:9" ht="13.8" x14ac:dyDescent="0.25">
      <c r="A359" t="s">
        <v>126</v>
      </c>
      <c r="B359" t="s">
        <v>11</v>
      </c>
      <c r="C359" s="3" t="s">
        <v>12</v>
      </c>
      <c r="D359" s="4">
        <v>45028</v>
      </c>
      <c r="E359" s="4" t="s">
        <v>128</v>
      </c>
      <c r="F359">
        <v>400</v>
      </c>
      <c r="G359">
        <v>8776</v>
      </c>
      <c r="H359">
        <v>3936</v>
      </c>
      <c r="I359">
        <v>4840</v>
      </c>
    </row>
    <row r="360" spans="1:9" ht="13.8" x14ac:dyDescent="0.25">
      <c r="A360" t="s">
        <v>129</v>
      </c>
      <c r="B360" t="s">
        <v>13</v>
      </c>
      <c r="C360" s="3" t="s">
        <v>12</v>
      </c>
      <c r="D360" s="4">
        <v>45029</v>
      </c>
      <c r="E360" s="4" t="s">
        <v>101</v>
      </c>
      <c r="F360">
        <v>900</v>
      </c>
      <c r="G360">
        <v>20403</v>
      </c>
      <c r="H360">
        <v>8856</v>
      </c>
      <c r="I360">
        <v>11547</v>
      </c>
    </row>
    <row r="361" spans="1:9" ht="13.8" x14ac:dyDescent="0.25">
      <c r="A361" t="s">
        <v>127</v>
      </c>
      <c r="B361" t="s">
        <v>11</v>
      </c>
      <c r="C361" s="3" t="s">
        <v>12</v>
      </c>
      <c r="D361" s="4">
        <v>45030</v>
      </c>
      <c r="E361" s="4" t="s">
        <v>123</v>
      </c>
      <c r="F361">
        <v>600</v>
      </c>
      <c r="G361">
        <v>14004</v>
      </c>
      <c r="H361">
        <v>5904</v>
      </c>
      <c r="I361">
        <v>8100</v>
      </c>
    </row>
    <row r="362" spans="1:9" ht="13.8" x14ac:dyDescent="0.25">
      <c r="A362" t="s">
        <v>126</v>
      </c>
      <c r="B362" t="s">
        <v>9</v>
      </c>
      <c r="C362" s="3" t="s">
        <v>15</v>
      </c>
      <c r="D362" s="4">
        <v>45031</v>
      </c>
      <c r="E362" s="4" t="s">
        <v>100</v>
      </c>
      <c r="F362">
        <v>800</v>
      </c>
      <c r="G362">
        <v>14216</v>
      </c>
      <c r="H362">
        <v>6776</v>
      </c>
      <c r="I362">
        <v>7440</v>
      </c>
    </row>
    <row r="363" spans="1:9" ht="13.8" x14ac:dyDescent="0.25">
      <c r="A363" t="s">
        <v>130</v>
      </c>
      <c r="B363" t="s">
        <v>9</v>
      </c>
      <c r="C363" s="3" t="s">
        <v>15</v>
      </c>
      <c r="D363" s="4">
        <v>45036</v>
      </c>
      <c r="E363" s="4" t="s">
        <v>105</v>
      </c>
      <c r="F363">
        <v>900</v>
      </c>
      <c r="G363">
        <v>17172</v>
      </c>
      <c r="H363">
        <v>7623</v>
      </c>
      <c r="I363">
        <v>9549</v>
      </c>
    </row>
    <row r="364" spans="1:9" ht="13.8" x14ac:dyDescent="0.25">
      <c r="A364" t="s">
        <v>130</v>
      </c>
      <c r="B364" t="s">
        <v>9</v>
      </c>
      <c r="C364" s="3" t="s">
        <v>10</v>
      </c>
      <c r="D364" s="4">
        <v>45037</v>
      </c>
      <c r="E364" s="4" t="s">
        <v>105</v>
      </c>
      <c r="F364">
        <v>1000</v>
      </c>
      <c r="G364">
        <v>20670</v>
      </c>
      <c r="H364">
        <v>10220</v>
      </c>
      <c r="I364">
        <v>10450</v>
      </c>
    </row>
    <row r="365" spans="1:9" ht="13.8" x14ac:dyDescent="0.25">
      <c r="A365" t="s">
        <v>129</v>
      </c>
      <c r="B365" t="s">
        <v>13</v>
      </c>
      <c r="C365" s="3" t="s">
        <v>15</v>
      </c>
      <c r="D365" s="4">
        <v>45038</v>
      </c>
      <c r="E365" s="4" t="s">
        <v>101</v>
      </c>
      <c r="F365">
        <v>400</v>
      </c>
      <c r="G365">
        <v>7376</v>
      </c>
      <c r="H365">
        <v>3388</v>
      </c>
      <c r="I365">
        <v>3988</v>
      </c>
    </row>
    <row r="366" spans="1:9" ht="13.8" x14ac:dyDescent="0.25">
      <c r="A366" t="s">
        <v>129</v>
      </c>
      <c r="B366" t="s">
        <v>9</v>
      </c>
      <c r="C366" s="3" t="s">
        <v>10</v>
      </c>
      <c r="D366" s="4">
        <v>45040</v>
      </c>
      <c r="E366" s="4" t="s">
        <v>103</v>
      </c>
      <c r="F366">
        <v>800</v>
      </c>
      <c r="G366">
        <v>17728</v>
      </c>
      <c r="H366">
        <v>8176</v>
      </c>
      <c r="I366">
        <v>9552</v>
      </c>
    </row>
    <row r="367" spans="1:9" ht="13.8" x14ac:dyDescent="0.25">
      <c r="A367" t="s">
        <v>126</v>
      </c>
      <c r="B367" t="s">
        <v>9</v>
      </c>
      <c r="C367" s="3" t="s">
        <v>12</v>
      </c>
      <c r="D367" s="4">
        <v>45041</v>
      </c>
      <c r="E367" s="4" t="s">
        <v>111</v>
      </c>
      <c r="F367">
        <v>1000</v>
      </c>
      <c r="G367">
        <v>20950</v>
      </c>
      <c r="H367">
        <v>9840</v>
      </c>
      <c r="I367">
        <v>11110</v>
      </c>
    </row>
    <row r="368" spans="1:9" ht="13.8" x14ac:dyDescent="0.25">
      <c r="A368" t="s">
        <v>126</v>
      </c>
      <c r="B368" t="s">
        <v>9</v>
      </c>
      <c r="C368" s="3" t="s">
        <v>15</v>
      </c>
      <c r="D368" s="4">
        <v>45042</v>
      </c>
      <c r="E368" s="4" t="s">
        <v>100</v>
      </c>
      <c r="F368">
        <v>400</v>
      </c>
      <c r="G368">
        <v>7852</v>
      </c>
      <c r="H368">
        <v>3388</v>
      </c>
      <c r="I368">
        <v>4464</v>
      </c>
    </row>
    <row r="369" spans="1:9" ht="13.8" x14ac:dyDescent="0.25">
      <c r="A369" t="s">
        <v>129</v>
      </c>
      <c r="B369" t="s">
        <v>13</v>
      </c>
      <c r="C369" s="3" t="s">
        <v>15</v>
      </c>
      <c r="D369" s="4">
        <v>45043</v>
      </c>
      <c r="E369" s="4" t="s">
        <v>101</v>
      </c>
      <c r="F369">
        <v>600</v>
      </c>
      <c r="G369">
        <v>12360</v>
      </c>
      <c r="H369">
        <v>5082</v>
      </c>
      <c r="I369">
        <v>7278</v>
      </c>
    </row>
    <row r="370" spans="1:9" ht="13.8" x14ac:dyDescent="0.25">
      <c r="A370" t="s">
        <v>126</v>
      </c>
      <c r="B370" t="s">
        <v>11</v>
      </c>
      <c r="C370" s="3" t="s">
        <v>15</v>
      </c>
      <c r="D370" s="4">
        <v>45045</v>
      </c>
      <c r="E370" s="4" t="s">
        <v>128</v>
      </c>
      <c r="F370">
        <v>300</v>
      </c>
      <c r="G370">
        <v>6069</v>
      </c>
      <c r="H370">
        <v>2541</v>
      </c>
      <c r="I370">
        <v>3528</v>
      </c>
    </row>
    <row r="371" spans="1:9" ht="13.8" x14ac:dyDescent="0.25">
      <c r="A371" t="s">
        <v>126</v>
      </c>
      <c r="B371" t="s">
        <v>9</v>
      </c>
      <c r="C371" s="3" t="s">
        <v>12</v>
      </c>
      <c r="D371" s="4">
        <v>45045</v>
      </c>
      <c r="E371" s="4" t="s">
        <v>100</v>
      </c>
      <c r="F371">
        <v>900</v>
      </c>
      <c r="G371">
        <v>18990</v>
      </c>
      <c r="H371">
        <v>8856</v>
      </c>
      <c r="I371">
        <v>10134</v>
      </c>
    </row>
    <row r="372" spans="1:9" ht="13.8" x14ac:dyDescent="0.25">
      <c r="A372" t="s">
        <v>126</v>
      </c>
      <c r="B372" t="s">
        <v>13</v>
      </c>
      <c r="C372" s="3" t="s">
        <v>15</v>
      </c>
      <c r="D372" s="4">
        <v>45047</v>
      </c>
      <c r="E372" s="4" t="s">
        <v>108</v>
      </c>
      <c r="F372">
        <v>1000</v>
      </c>
      <c r="G372">
        <v>20310</v>
      </c>
      <c r="H372">
        <v>8470</v>
      </c>
      <c r="I372">
        <v>11840</v>
      </c>
    </row>
    <row r="373" spans="1:9" ht="13.8" x14ac:dyDescent="0.25">
      <c r="A373" t="s">
        <v>126</v>
      </c>
      <c r="B373" t="s">
        <v>13</v>
      </c>
      <c r="C373" s="3" t="s">
        <v>12</v>
      </c>
      <c r="D373" s="4">
        <v>45047</v>
      </c>
      <c r="E373" s="4" t="s">
        <v>108</v>
      </c>
      <c r="F373">
        <v>300</v>
      </c>
      <c r="G373">
        <v>6018</v>
      </c>
      <c r="H373">
        <v>2952</v>
      </c>
      <c r="I373">
        <v>3066</v>
      </c>
    </row>
    <row r="374" spans="1:9" ht="13.8" x14ac:dyDescent="0.25">
      <c r="A374" t="s">
        <v>126</v>
      </c>
      <c r="B374" t="s">
        <v>13</v>
      </c>
      <c r="C374" s="3" t="s">
        <v>10</v>
      </c>
      <c r="D374" s="4">
        <v>45048</v>
      </c>
      <c r="E374" s="4" t="s">
        <v>108</v>
      </c>
      <c r="F374">
        <v>1000</v>
      </c>
      <c r="G374">
        <v>25310</v>
      </c>
      <c r="H374">
        <v>10220</v>
      </c>
      <c r="I374">
        <v>15090</v>
      </c>
    </row>
    <row r="375" spans="1:9" ht="13.8" x14ac:dyDescent="0.25">
      <c r="A375" t="s">
        <v>130</v>
      </c>
      <c r="B375" t="s">
        <v>11</v>
      </c>
      <c r="C375" s="3" t="s">
        <v>12</v>
      </c>
      <c r="D375" s="4">
        <v>45049</v>
      </c>
      <c r="E375" s="4" t="s">
        <v>106</v>
      </c>
      <c r="F375">
        <v>200</v>
      </c>
      <c r="G375">
        <v>4378</v>
      </c>
      <c r="H375">
        <v>1968</v>
      </c>
      <c r="I375">
        <v>2410</v>
      </c>
    </row>
    <row r="376" spans="1:9" ht="13.8" x14ac:dyDescent="0.25">
      <c r="A376" t="s">
        <v>130</v>
      </c>
      <c r="B376" t="s">
        <v>9</v>
      </c>
      <c r="C376" s="3" t="s">
        <v>12</v>
      </c>
      <c r="D376" s="4">
        <v>45051</v>
      </c>
      <c r="E376" s="4" t="s">
        <v>105</v>
      </c>
      <c r="F376">
        <v>700</v>
      </c>
      <c r="G376">
        <v>15407</v>
      </c>
      <c r="H376">
        <v>6888</v>
      </c>
      <c r="I376">
        <v>8519</v>
      </c>
    </row>
    <row r="377" spans="1:9" ht="13.8" x14ac:dyDescent="0.25">
      <c r="A377" t="s">
        <v>129</v>
      </c>
      <c r="B377" t="s">
        <v>13</v>
      </c>
      <c r="C377" s="3" t="s">
        <v>15</v>
      </c>
      <c r="D377" s="4">
        <v>45052</v>
      </c>
      <c r="E377" s="4" t="s">
        <v>101</v>
      </c>
      <c r="F377">
        <v>1000</v>
      </c>
      <c r="G377">
        <v>18290</v>
      </c>
      <c r="H377">
        <v>8470</v>
      </c>
      <c r="I377">
        <v>9820</v>
      </c>
    </row>
    <row r="378" spans="1:9" ht="13.8" x14ac:dyDescent="0.25">
      <c r="A378" t="s">
        <v>126</v>
      </c>
      <c r="B378" t="s">
        <v>13</v>
      </c>
      <c r="C378" s="3" t="s">
        <v>15</v>
      </c>
      <c r="D378" s="4">
        <v>45053</v>
      </c>
      <c r="E378" s="4" t="s">
        <v>108</v>
      </c>
      <c r="F378">
        <v>100</v>
      </c>
      <c r="G378">
        <v>1842</v>
      </c>
      <c r="H378">
        <v>847</v>
      </c>
      <c r="I378">
        <v>995</v>
      </c>
    </row>
    <row r="379" spans="1:9" ht="13.8" x14ac:dyDescent="0.25">
      <c r="A379" t="s">
        <v>126</v>
      </c>
      <c r="B379" t="s">
        <v>11</v>
      </c>
      <c r="C379" s="3" t="s">
        <v>10</v>
      </c>
      <c r="D379" s="4">
        <v>45053</v>
      </c>
      <c r="E379" s="4" t="s">
        <v>109</v>
      </c>
      <c r="F379">
        <v>500</v>
      </c>
      <c r="G379">
        <v>10400</v>
      </c>
      <c r="H379">
        <v>5110</v>
      </c>
      <c r="I379">
        <v>5290</v>
      </c>
    </row>
    <row r="380" spans="1:9" ht="13.8" x14ac:dyDescent="0.25">
      <c r="A380" t="s">
        <v>126</v>
      </c>
      <c r="B380" t="s">
        <v>9</v>
      </c>
      <c r="C380" s="3" t="s">
        <v>15</v>
      </c>
      <c r="D380" s="4">
        <v>45054</v>
      </c>
      <c r="E380" s="4" t="s">
        <v>100</v>
      </c>
      <c r="F380">
        <v>100</v>
      </c>
      <c r="G380">
        <v>1982</v>
      </c>
      <c r="H380">
        <v>847</v>
      </c>
      <c r="I380">
        <v>1135</v>
      </c>
    </row>
    <row r="381" spans="1:9" ht="13.8" x14ac:dyDescent="0.25">
      <c r="A381" t="s">
        <v>126</v>
      </c>
      <c r="B381" t="s">
        <v>11</v>
      </c>
      <c r="C381" s="3" t="s">
        <v>10</v>
      </c>
      <c r="D381" s="4">
        <v>45056</v>
      </c>
      <c r="E381" s="4" t="s">
        <v>109</v>
      </c>
      <c r="F381">
        <v>300</v>
      </c>
      <c r="G381">
        <v>6789</v>
      </c>
      <c r="H381">
        <v>3066</v>
      </c>
      <c r="I381">
        <v>3723</v>
      </c>
    </row>
    <row r="382" spans="1:9" ht="13.8" x14ac:dyDescent="0.25">
      <c r="A382" t="s">
        <v>131</v>
      </c>
      <c r="B382" t="s">
        <v>13</v>
      </c>
      <c r="C382" s="3" t="s">
        <v>12</v>
      </c>
      <c r="D382" s="4">
        <v>45057</v>
      </c>
      <c r="E382" s="4" t="s">
        <v>115</v>
      </c>
      <c r="F382">
        <v>300</v>
      </c>
      <c r="G382">
        <v>7245</v>
      </c>
      <c r="H382">
        <v>2952</v>
      </c>
      <c r="I382">
        <v>4293</v>
      </c>
    </row>
    <row r="383" spans="1:9" ht="13.8" x14ac:dyDescent="0.25">
      <c r="A383" t="s">
        <v>16</v>
      </c>
      <c r="B383" t="s">
        <v>13</v>
      </c>
      <c r="C383" s="3" t="s">
        <v>10</v>
      </c>
      <c r="D383" s="4">
        <v>45058</v>
      </c>
      <c r="E383" s="4" t="s">
        <v>112</v>
      </c>
      <c r="F383">
        <v>500</v>
      </c>
      <c r="G383">
        <v>11000</v>
      </c>
      <c r="H383">
        <v>5110</v>
      </c>
      <c r="I383">
        <v>5890</v>
      </c>
    </row>
    <row r="384" spans="1:9" ht="13.8" x14ac:dyDescent="0.25">
      <c r="A384" t="s">
        <v>131</v>
      </c>
      <c r="B384" t="s">
        <v>13</v>
      </c>
      <c r="C384" s="3" t="s">
        <v>15</v>
      </c>
      <c r="D384" s="4">
        <v>45059</v>
      </c>
      <c r="E384" s="4" t="s">
        <v>115</v>
      </c>
      <c r="F384">
        <v>500</v>
      </c>
      <c r="G384">
        <v>9155</v>
      </c>
      <c r="H384">
        <v>4235</v>
      </c>
      <c r="I384">
        <v>4920</v>
      </c>
    </row>
    <row r="385" spans="1:9" ht="13.8" x14ac:dyDescent="0.25">
      <c r="A385" t="s">
        <v>130</v>
      </c>
      <c r="B385" t="s">
        <v>9</v>
      </c>
      <c r="C385" s="3" t="s">
        <v>12</v>
      </c>
      <c r="D385" s="4">
        <v>45059</v>
      </c>
      <c r="E385" s="4" t="s">
        <v>105</v>
      </c>
      <c r="F385">
        <v>400</v>
      </c>
      <c r="G385">
        <v>9760</v>
      </c>
      <c r="H385">
        <v>3936</v>
      </c>
      <c r="I385">
        <v>5824</v>
      </c>
    </row>
    <row r="386" spans="1:9" ht="13.8" x14ac:dyDescent="0.25">
      <c r="A386" t="s">
        <v>126</v>
      </c>
      <c r="B386" t="s">
        <v>9</v>
      </c>
      <c r="C386" s="3" t="s">
        <v>10</v>
      </c>
      <c r="D386" s="4">
        <v>45061</v>
      </c>
      <c r="E386" s="4" t="s">
        <v>100</v>
      </c>
      <c r="F386">
        <v>400</v>
      </c>
      <c r="G386">
        <v>9156</v>
      </c>
      <c r="H386">
        <v>4088</v>
      </c>
      <c r="I386">
        <v>5068</v>
      </c>
    </row>
    <row r="387" spans="1:9" ht="13.8" x14ac:dyDescent="0.25">
      <c r="A387" t="s">
        <v>126</v>
      </c>
      <c r="B387" t="s">
        <v>11</v>
      </c>
      <c r="C387" s="3" t="s">
        <v>10</v>
      </c>
      <c r="D387" s="4">
        <v>45064</v>
      </c>
      <c r="E387" s="4" t="s">
        <v>128</v>
      </c>
      <c r="F387">
        <v>500</v>
      </c>
      <c r="G387">
        <v>10385</v>
      </c>
      <c r="H387">
        <v>5110</v>
      </c>
      <c r="I387">
        <v>5275</v>
      </c>
    </row>
    <row r="388" spans="1:9" ht="13.8" x14ac:dyDescent="0.25">
      <c r="A388" t="s">
        <v>130</v>
      </c>
      <c r="B388" t="s">
        <v>11</v>
      </c>
      <c r="C388" s="3" t="s">
        <v>12</v>
      </c>
      <c r="D388" s="4">
        <v>45066</v>
      </c>
      <c r="E388" s="4" t="s">
        <v>106</v>
      </c>
      <c r="F388">
        <v>700</v>
      </c>
      <c r="G388">
        <v>14203</v>
      </c>
      <c r="H388">
        <v>6888</v>
      </c>
      <c r="I388">
        <v>7315</v>
      </c>
    </row>
    <row r="389" spans="1:9" ht="13.8" x14ac:dyDescent="0.25">
      <c r="A389" t="s">
        <v>126</v>
      </c>
      <c r="B389" t="s">
        <v>11</v>
      </c>
      <c r="C389" s="3" t="s">
        <v>10</v>
      </c>
      <c r="D389" s="4">
        <v>45067</v>
      </c>
      <c r="E389" s="4" t="s">
        <v>109</v>
      </c>
      <c r="F389">
        <v>600</v>
      </c>
      <c r="G389">
        <v>14634</v>
      </c>
      <c r="H389">
        <v>6132</v>
      </c>
      <c r="I389">
        <v>8502</v>
      </c>
    </row>
    <row r="390" spans="1:9" ht="13.8" x14ac:dyDescent="0.25">
      <c r="A390" t="s">
        <v>16</v>
      </c>
      <c r="B390" t="s">
        <v>13</v>
      </c>
      <c r="C390" s="3" t="s">
        <v>10</v>
      </c>
      <c r="D390" s="4">
        <v>45068</v>
      </c>
      <c r="E390" s="4" t="s">
        <v>112</v>
      </c>
      <c r="F390">
        <v>100</v>
      </c>
      <c r="G390">
        <v>2149</v>
      </c>
      <c r="H390">
        <v>1022</v>
      </c>
      <c r="I390">
        <v>1127</v>
      </c>
    </row>
    <row r="391" spans="1:9" ht="13.8" x14ac:dyDescent="0.25">
      <c r="A391" t="s">
        <v>129</v>
      </c>
      <c r="B391" t="s">
        <v>14</v>
      </c>
      <c r="C391" s="3" t="s">
        <v>15</v>
      </c>
      <c r="D391" s="4">
        <v>45068</v>
      </c>
      <c r="E391" s="4" t="s">
        <v>104</v>
      </c>
      <c r="F391">
        <v>700</v>
      </c>
      <c r="G391">
        <v>13853</v>
      </c>
      <c r="H391">
        <v>5929</v>
      </c>
      <c r="I391">
        <v>7924</v>
      </c>
    </row>
    <row r="392" spans="1:9" ht="13.8" x14ac:dyDescent="0.25">
      <c r="A392" t="s">
        <v>126</v>
      </c>
      <c r="B392" t="s">
        <v>9</v>
      </c>
      <c r="C392" s="3" t="s">
        <v>12</v>
      </c>
      <c r="D392" s="4">
        <v>45069</v>
      </c>
      <c r="E392" s="4" t="s">
        <v>100</v>
      </c>
      <c r="F392">
        <v>200</v>
      </c>
      <c r="G392">
        <v>4474</v>
      </c>
      <c r="H392">
        <v>1968</v>
      </c>
      <c r="I392">
        <v>2506</v>
      </c>
    </row>
    <row r="393" spans="1:9" ht="13.8" x14ac:dyDescent="0.25">
      <c r="A393" t="s">
        <v>126</v>
      </c>
      <c r="B393" t="s">
        <v>9</v>
      </c>
      <c r="C393" s="3" t="s">
        <v>10</v>
      </c>
      <c r="D393" s="4">
        <v>45069</v>
      </c>
      <c r="E393" s="4" t="s">
        <v>100</v>
      </c>
      <c r="F393">
        <v>100</v>
      </c>
      <c r="G393">
        <v>2487</v>
      </c>
      <c r="H393">
        <v>1022</v>
      </c>
      <c r="I393">
        <v>1465</v>
      </c>
    </row>
    <row r="394" spans="1:9" ht="13.8" x14ac:dyDescent="0.25">
      <c r="A394" t="s">
        <v>16</v>
      </c>
      <c r="B394" t="s">
        <v>13</v>
      </c>
      <c r="C394" s="3" t="s">
        <v>10</v>
      </c>
      <c r="D394" s="4">
        <v>45070</v>
      </c>
      <c r="E394" s="4" t="s">
        <v>112</v>
      </c>
      <c r="F394">
        <v>200</v>
      </c>
      <c r="G394">
        <v>4388</v>
      </c>
      <c r="H394">
        <v>2044</v>
      </c>
      <c r="I394">
        <v>2344</v>
      </c>
    </row>
    <row r="395" spans="1:9" ht="13.8" x14ac:dyDescent="0.25">
      <c r="A395" t="s">
        <v>126</v>
      </c>
      <c r="B395" t="s">
        <v>11</v>
      </c>
      <c r="C395" s="3" t="s">
        <v>15</v>
      </c>
      <c r="D395" s="4">
        <v>45071</v>
      </c>
      <c r="E395" s="4" t="s">
        <v>128</v>
      </c>
      <c r="F395">
        <v>300</v>
      </c>
      <c r="G395">
        <v>5094</v>
      </c>
      <c r="H395">
        <v>2541</v>
      </c>
      <c r="I395">
        <v>2553</v>
      </c>
    </row>
    <row r="396" spans="1:9" ht="13.8" x14ac:dyDescent="0.25">
      <c r="A396" t="s">
        <v>130</v>
      </c>
      <c r="B396" t="s">
        <v>9</v>
      </c>
      <c r="C396" s="3" t="s">
        <v>15</v>
      </c>
      <c r="D396" s="4">
        <v>45074</v>
      </c>
      <c r="E396" s="4" t="s">
        <v>105</v>
      </c>
      <c r="F396">
        <v>200</v>
      </c>
      <c r="G396">
        <v>3632</v>
      </c>
      <c r="H396">
        <v>1694</v>
      </c>
      <c r="I396">
        <v>1938</v>
      </c>
    </row>
    <row r="397" spans="1:9" ht="13.8" x14ac:dyDescent="0.25">
      <c r="A397" t="s">
        <v>126</v>
      </c>
      <c r="B397" t="s">
        <v>9</v>
      </c>
      <c r="C397" s="3" t="s">
        <v>12</v>
      </c>
      <c r="D397" s="4">
        <v>45074</v>
      </c>
      <c r="E397" s="4" t="s">
        <v>100</v>
      </c>
      <c r="F397">
        <v>800</v>
      </c>
      <c r="G397">
        <v>16264</v>
      </c>
      <c r="H397">
        <v>7872</v>
      </c>
      <c r="I397">
        <v>8392</v>
      </c>
    </row>
    <row r="398" spans="1:9" ht="13.8" x14ac:dyDescent="0.25">
      <c r="A398" t="s">
        <v>130</v>
      </c>
      <c r="B398" t="s">
        <v>9</v>
      </c>
      <c r="C398" s="3" t="s">
        <v>12</v>
      </c>
      <c r="D398" s="4">
        <v>45076</v>
      </c>
      <c r="E398" s="4" t="s">
        <v>105</v>
      </c>
      <c r="F398">
        <v>700</v>
      </c>
      <c r="G398">
        <v>16408</v>
      </c>
      <c r="H398">
        <v>6888</v>
      </c>
      <c r="I398">
        <v>9520</v>
      </c>
    </row>
    <row r="399" spans="1:9" ht="13.8" x14ac:dyDescent="0.25">
      <c r="A399" t="s">
        <v>126</v>
      </c>
      <c r="B399" t="s">
        <v>9</v>
      </c>
      <c r="C399" s="3" t="s">
        <v>10</v>
      </c>
      <c r="D399" s="4">
        <v>45076</v>
      </c>
      <c r="E399" s="4" t="s">
        <v>100</v>
      </c>
      <c r="F399">
        <v>500</v>
      </c>
      <c r="G399">
        <v>12550</v>
      </c>
      <c r="H399">
        <v>5110</v>
      </c>
      <c r="I399">
        <v>7440</v>
      </c>
    </row>
    <row r="400" spans="1:9" ht="13.8" x14ac:dyDescent="0.25">
      <c r="A400" t="s">
        <v>126</v>
      </c>
      <c r="B400" t="s">
        <v>13</v>
      </c>
      <c r="C400" s="3" t="s">
        <v>12</v>
      </c>
      <c r="D400" s="4">
        <v>45077</v>
      </c>
      <c r="E400" s="4" t="s">
        <v>108</v>
      </c>
      <c r="F400">
        <v>800</v>
      </c>
      <c r="G400">
        <v>17056</v>
      </c>
      <c r="H400">
        <v>7872</v>
      </c>
      <c r="I400">
        <v>9184</v>
      </c>
    </row>
    <row r="401" spans="1:9" ht="13.8" x14ac:dyDescent="0.25">
      <c r="A401" t="s">
        <v>129</v>
      </c>
      <c r="B401" t="s">
        <v>13</v>
      </c>
      <c r="C401" s="3" t="s">
        <v>10</v>
      </c>
      <c r="D401" s="4">
        <v>45077</v>
      </c>
      <c r="E401" s="4" t="s">
        <v>101</v>
      </c>
      <c r="F401">
        <v>800</v>
      </c>
      <c r="G401">
        <v>19152</v>
      </c>
      <c r="H401">
        <v>8176</v>
      </c>
      <c r="I401">
        <v>10976</v>
      </c>
    </row>
    <row r="402" spans="1:9" ht="13.8" x14ac:dyDescent="0.25">
      <c r="A402" t="s">
        <v>131</v>
      </c>
      <c r="B402" t="s">
        <v>13</v>
      </c>
      <c r="C402" s="3" t="s">
        <v>10</v>
      </c>
      <c r="D402" s="4">
        <v>45080</v>
      </c>
      <c r="E402" s="4" t="s">
        <v>115</v>
      </c>
      <c r="F402">
        <v>1000</v>
      </c>
      <c r="G402">
        <v>23990</v>
      </c>
      <c r="H402">
        <v>10220</v>
      </c>
      <c r="I402">
        <v>13770</v>
      </c>
    </row>
    <row r="403" spans="1:9" ht="13.8" x14ac:dyDescent="0.25">
      <c r="A403" t="s">
        <v>126</v>
      </c>
      <c r="B403" t="s">
        <v>11</v>
      </c>
      <c r="C403" s="3" t="s">
        <v>10</v>
      </c>
      <c r="D403" s="4">
        <v>45081</v>
      </c>
      <c r="E403" s="4" t="s">
        <v>109</v>
      </c>
      <c r="F403">
        <v>1000</v>
      </c>
      <c r="G403">
        <v>22020</v>
      </c>
      <c r="H403">
        <v>10220</v>
      </c>
      <c r="I403">
        <v>11800</v>
      </c>
    </row>
    <row r="404" spans="1:9" ht="13.8" x14ac:dyDescent="0.25">
      <c r="A404" t="s">
        <v>131</v>
      </c>
      <c r="B404" t="s">
        <v>14</v>
      </c>
      <c r="C404" s="3" t="s">
        <v>10</v>
      </c>
      <c r="D404" s="4">
        <v>45084</v>
      </c>
      <c r="E404" s="4" t="s">
        <v>124</v>
      </c>
      <c r="F404">
        <v>400</v>
      </c>
      <c r="G404">
        <v>9064</v>
      </c>
      <c r="H404">
        <v>4088</v>
      </c>
      <c r="I404">
        <v>4976</v>
      </c>
    </row>
    <row r="405" spans="1:9" ht="13.8" x14ac:dyDescent="0.25">
      <c r="A405" t="s">
        <v>126</v>
      </c>
      <c r="B405" t="s">
        <v>11</v>
      </c>
      <c r="C405" s="3" t="s">
        <v>15</v>
      </c>
      <c r="D405" s="4">
        <v>45085</v>
      </c>
      <c r="E405" s="4" t="s">
        <v>109</v>
      </c>
      <c r="F405">
        <v>900</v>
      </c>
      <c r="G405">
        <v>18072</v>
      </c>
      <c r="H405">
        <v>7623</v>
      </c>
      <c r="I405">
        <v>10449</v>
      </c>
    </row>
    <row r="406" spans="1:9" ht="13.8" x14ac:dyDescent="0.25">
      <c r="A406" t="s">
        <v>126</v>
      </c>
      <c r="B406" t="s">
        <v>13</v>
      </c>
      <c r="C406" s="3" t="s">
        <v>15</v>
      </c>
      <c r="D406" s="4">
        <v>45086</v>
      </c>
      <c r="E406" s="4" t="s">
        <v>108</v>
      </c>
      <c r="F406">
        <v>800</v>
      </c>
      <c r="G406">
        <v>16288</v>
      </c>
      <c r="H406">
        <v>6776</v>
      </c>
      <c r="I406">
        <v>9512</v>
      </c>
    </row>
    <row r="407" spans="1:9" ht="13.8" x14ac:dyDescent="0.25">
      <c r="A407" t="s">
        <v>126</v>
      </c>
      <c r="B407" t="s">
        <v>11</v>
      </c>
      <c r="C407" s="3" t="s">
        <v>12</v>
      </c>
      <c r="D407" s="4">
        <v>45088</v>
      </c>
      <c r="E407" s="4" t="s">
        <v>107</v>
      </c>
      <c r="F407">
        <v>800</v>
      </c>
      <c r="G407">
        <v>17944</v>
      </c>
      <c r="H407">
        <v>7872</v>
      </c>
      <c r="I407">
        <v>10072</v>
      </c>
    </row>
    <row r="408" spans="1:9" ht="13.8" x14ac:dyDescent="0.25">
      <c r="A408" t="s">
        <v>129</v>
      </c>
      <c r="B408" t="s">
        <v>13</v>
      </c>
      <c r="C408" s="3" t="s">
        <v>12</v>
      </c>
      <c r="D408" s="4">
        <v>45089</v>
      </c>
      <c r="E408" s="4" t="s">
        <v>101</v>
      </c>
      <c r="F408">
        <v>300</v>
      </c>
      <c r="G408">
        <v>6477</v>
      </c>
      <c r="H408">
        <v>2952</v>
      </c>
      <c r="I408">
        <v>3525</v>
      </c>
    </row>
    <row r="409" spans="1:9" ht="13.8" x14ac:dyDescent="0.25">
      <c r="A409" t="s">
        <v>16</v>
      </c>
      <c r="B409" t="s">
        <v>13</v>
      </c>
      <c r="C409" s="3" t="s">
        <v>15</v>
      </c>
      <c r="D409" s="4">
        <v>45090</v>
      </c>
      <c r="E409" s="4" t="s">
        <v>112</v>
      </c>
      <c r="F409">
        <v>600</v>
      </c>
      <c r="G409">
        <v>10404</v>
      </c>
      <c r="H409">
        <v>5082</v>
      </c>
      <c r="I409">
        <v>5322</v>
      </c>
    </row>
    <row r="410" spans="1:9" ht="13.8" x14ac:dyDescent="0.25">
      <c r="A410" t="s">
        <v>126</v>
      </c>
      <c r="B410" t="s">
        <v>11</v>
      </c>
      <c r="C410" s="3" t="s">
        <v>15</v>
      </c>
      <c r="D410" s="4">
        <v>45091</v>
      </c>
      <c r="E410" s="4" t="s">
        <v>107</v>
      </c>
      <c r="F410">
        <v>500</v>
      </c>
      <c r="G410">
        <v>8780</v>
      </c>
      <c r="H410">
        <v>4235</v>
      </c>
      <c r="I410">
        <v>4545</v>
      </c>
    </row>
    <row r="411" spans="1:9" ht="13.8" x14ac:dyDescent="0.25">
      <c r="A411" t="s">
        <v>126</v>
      </c>
      <c r="B411" t="s">
        <v>11</v>
      </c>
      <c r="C411" s="3" t="s">
        <v>15</v>
      </c>
      <c r="D411" s="4">
        <v>45095</v>
      </c>
      <c r="E411" s="4" t="s">
        <v>128</v>
      </c>
      <c r="F411">
        <v>700</v>
      </c>
      <c r="G411">
        <v>13874</v>
      </c>
      <c r="H411">
        <v>5929</v>
      </c>
      <c r="I411">
        <v>7945</v>
      </c>
    </row>
    <row r="412" spans="1:9" ht="13.8" x14ac:dyDescent="0.25">
      <c r="A412" t="s">
        <v>130</v>
      </c>
      <c r="B412" t="s">
        <v>11</v>
      </c>
      <c r="C412" s="3" t="s">
        <v>10</v>
      </c>
      <c r="D412" s="4">
        <v>45098</v>
      </c>
      <c r="E412" s="4" t="s">
        <v>106</v>
      </c>
      <c r="F412">
        <v>700</v>
      </c>
      <c r="G412">
        <v>15988</v>
      </c>
      <c r="H412">
        <v>7154</v>
      </c>
      <c r="I412">
        <v>8834</v>
      </c>
    </row>
    <row r="413" spans="1:9" ht="13.8" x14ac:dyDescent="0.25">
      <c r="A413" t="s">
        <v>126</v>
      </c>
      <c r="B413" t="s">
        <v>13</v>
      </c>
      <c r="C413" s="3" t="s">
        <v>12</v>
      </c>
      <c r="D413" s="4">
        <v>45101</v>
      </c>
      <c r="E413" s="4" t="s">
        <v>108</v>
      </c>
      <c r="F413">
        <v>1000</v>
      </c>
      <c r="G413">
        <v>20020</v>
      </c>
      <c r="H413">
        <v>9840</v>
      </c>
      <c r="I413">
        <v>10180</v>
      </c>
    </row>
    <row r="414" spans="1:9" ht="13.8" x14ac:dyDescent="0.25">
      <c r="A414" t="s">
        <v>127</v>
      </c>
      <c r="B414" t="s">
        <v>11</v>
      </c>
      <c r="C414" s="3" t="s">
        <v>12</v>
      </c>
      <c r="D414" s="4">
        <v>45102</v>
      </c>
      <c r="E414" s="4" t="s">
        <v>123</v>
      </c>
      <c r="F414">
        <v>200</v>
      </c>
      <c r="G414">
        <v>4060</v>
      </c>
      <c r="H414">
        <v>1968</v>
      </c>
      <c r="I414">
        <v>2092</v>
      </c>
    </row>
    <row r="415" spans="1:9" ht="13.8" x14ac:dyDescent="0.25">
      <c r="A415" t="s">
        <v>126</v>
      </c>
      <c r="B415" t="s">
        <v>11</v>
      </c>
      <c r="C415" s="3" t="s">
        <v>15</v>
      </c>
      <c r="D415" s="4">
        <v>45103</v>
      </c>
      <c r="E415" s="4" t="s">
        <v>128</v>
      </c>
      <c r="F415">
        <v>800</v>
      </c>
      <c r="G415">
        <v>15400</v>
      </c>
      <c r="H415">
        <v>6776</v>
      </c>
      <c r="I415">
        <v>8624</v>
      </c>
    </row>
    <row r="416" spans="1:9" ht="13.8" x14ac:dyDescent="0.25">
      <c r="A416" t="s">
        <v>126</v>
      </c>
      <c r="B416" t="s">
        <v>9</v>
      </c>
      <c r="C416" s="3" t="s">
        <v>12</v>
      </c>
      <c r="D416" s="4">
        <v>45103</v>
      </c>
      <c r="E416" s="4" t="s">
        <v>100</v>
      </c>
      <c r="F416">
        <v>700</v>
      </c>
      <c r="G416">
        <v>16219</v>
      </c>
      <c r="H416">
        <v>6888</v>
      </c>
      <c r="I416">
        <v>9331</v>
      </c>
    </row>
    <row r="417" spans="1:9" ht="13.8" x14ac:dyDescent="0.25">
      <c r="A417" t="s">
        <v>16</v>
      </c>
      <c r="B417" t="s">
        <v>13</v>
      </c>
      <c r="C417" s="3" t="s">
        <v>10</v>
      </c>
      <c r="D417" s="4">
        <v>45104</v>
      </c>
      <c r="E417" s="4" t="s">
        <v>112</v>
      </c>
      <c r="F417">
        <v>400</v>
      </c>
      <c r="G417">
        <v>8804</v>
      </c>
      <c r="H417">
        <v>4088</v>
      </c>
      <c r="I417">
        <v>4716</v>
      </c>
    </row>
    <row r="418" spans="1:9" ht="13.8" x14ac:dyDescent="0.25">
      <c r="A418" t="s">
        <v>16</v>
      </c>
      <c r="B418" t="s">
        <v>13</v>
      </c>
      <c r="C418" s="3" t="s">
        <v>10</v>
      </c>
      <c r="D418" s="4">
        <v>45107</v>
      </c>
      <c r="E418" s="4" t="s">
        <v>112</v>
      </c>
      <c r="F418">
        <v>500</v>
      </c>
      <c r="G418">
        <v>12425</v>
      </c>
      <c r="H418">
        <v>5110</v>
      </c>
      <c r="I418">
        <v>7315</v>
      </c>
    </row>
    <row r="419" spans="1:9" ht="13.8" x14ac:dyDescent="0.25">
      <c r="A419" t="s">
        <v>130</v>
      </c>
      <c r="B419" t="s">
        <v>11</v>
      </c>
      <c r="C419" s="3" t="s">
        <v>12</v>
      </c>
      <c r="D419" s="4">
        <v>45108</v>
      </c>
      <c r="E419" s="4" t="s">
        <v>106</v>
      </c>
      <c r="F419">
        <v>100</v>
      </c>
      <c r="G419">
        <v>2054</v>
      </c>
      <c r="H419">
        <v>984</v>
      </c>
      <c r="I419">
        <v>1070</v>
      </c>
    </row>
    <row r="420" spans="1:9" ht="13.8" x14ac:dyDescent="0.25">
      <c r="A420" t="s">
        <v>126</v>
      </c>
      <c r="B420" t="s">
        <v>11</v>
      </c>
      <c r="C420" s="3" t="s">
        <v>10</v>
      </c>
      <c r="D420" s="4">
        <v>45109</v>
      </c>
      <c r="E420" s="4" t="s">
        <v>107</v>
      </c>
      <c r="F420">
        <v>400</v>
      </c>
      <c r="G420">
        <v>9816</v>
      </c>
      <c r="H420">
        <v>4088</v>
      </c>
      <c r="I420">
        <v>5728</v>
      </c>
    </row>
    <row r="421" spans="1:9" ht="13.8" x14ac:dyDescent="0.25">
      <c r="A421" t="s">
        <v>126</v>
      </c>
      <c r="B421" t="s">
        <v>13</v>
      </c>
      <c r="C421" s="3" t="s">
        <v>15</v>
      </c>
      <c r="D421" s="4">
        <v>45110</v>
      </c>
      <c r="E421" s="4" t="s">
        <v>108</v>
      </c>
      <c r="F421">
        <v>200</v>
      </c>
      <c r="G421">
        <v>4192</v>
      </c>
      <c r="H421">
        <v>1694</v>
      </c>
      <c r="I421">
        <v>2498</v>
      </c>
    </row>
    <row r="422" spans="1:9" ht="13.8" x14ac:dyDescent="0.25">
      <c r="A422" t="s">
        <v>129</v>
      </c>
      <c r="B422" t="s">
        <v>13</v>
      </c>
      <c r="C422" s="3" t="s">
        <v>12</v>
      </c>
      <c r="D422" s="4">
        <v>45110</v>
      </c>
      <c r="E422" s="4" t="s">
        <v>101</v>
      </c>
      <c r="F422">
        <v>900</v>
      </c>
      <c r="G422">
        <v>18099</v>
      </c>
      <c r="H422">
        <v>8856</v>
      </c>
      <c r="I422">
        <v>9243</v>
      </c>
    </row>
    <row r="423" spans="1:9" ht="13.8" x14ac:dyDescent="0.25">
      <c r="A423" t="s">
        <v>16</v>
      </c>
      <c r="B423" t="s">
        <v>13</v>
      </c>
      <c r="C423" s="3" t="s">
        <v>12</v>
      </c>
      <c r="D423" s="4">
        <v>45112</v>
      </c>
      <c r="E423" s="4" t="s">
        <v>112</v>
      </c>
      <c r="F423">
        <v>700</v>
      </c>
      <c r="G423">
        <v>16303</v>
      </c>
      <c r="H423">
        <v>6888</v>
      </c>
      <c r="I423">
        <v>9415</v>
      </c>
    </row>
    <row r="424" spans="1:9" ht="13.8" x14ac:dyDescent="0.25">
      <c r="A424" t="s">
        <v>129</v>
      </c>
      <c r="B424" t="s">
        <v>13</v>
      </c>
      <c r="C424" s="3" t="s">
        <v>10</v>
      </c>
      <c r="D424" s="4">
        <v>45114</v>
      </c>
      <c r="E424" s="4" t="s">
        <v>101</v>
      </c>
      <c r="F424">
        <v>400</v>
      </c>
      <c r="G424">
        <v>8580</v>
      </c>
      <c r="H424">
        <v>4088</v>
      </c>
      <c r="I424">
        <v>4492</v>
      </c>
    </row>
    <row r="425" spans="1:9" ht="13.8" x14ac:dyDescent="0.25">
      <c r="A425" t="s">
        <v>130</v>
      </c>
      <c r="B425" t="s">
        <v>9</v>
      </c>
      <c r="C425" s="3" t="s">
        <v>12</v>
      </c>
      <c r="D425" s="4">
        <v>45115</v>
      </c>
      <c r="E425" s="4" t="s">
        <v>105</v>
      </c>
      <c r="F425">
        <v>500</v>
      </c>
      <c r="G425">
        <v>12270</v>
      </c>
      <c r="H425">
        <v>4920</v>
      </c>
      <c r="I425">
        <v>7350</v>
      </c>
    </row>
    <row r="426" spans="1:9" ht="13.8" x14ac:dyDescent="0.25">
      <c r="A426" t="s">
        <v>129</v>
      </c>
      <c r="B426" t="s">
        <v>13</v>
      </c>
      <c r="C426" s="3" t="s">
        <v>15</v>
      </c>
      <c r="D426" s="4">
        <v>45118</v>
      </c>
      <c r="E426" s="4" t="s">
        <v>101</v>
      </c>
      <c r="F426">
        <v>900</v>
      </c>
      <c r="G426">
        <v>17883</v>
      </c>
      <c r="H426">
        <v>7623</v>
      </c>
      <c r="I426">
        <v>10260</v>
      </c>
    </row>
    <row r="427" spans="1:9" ht="13.8" x14ac:dyDescent="0.25">
      <c r="A427" t="s">
        <v>126</v>
      </c>
      <c r="B427" t="s">
        <v>11</v>
      </c>
      <c r="C427" s="3" t="s">
        <v>12</v>
      </c>
      <c r="D427" s="4">
        <v>45120</v>
      </c>
      <c r="E427" s="4" t="s">
        <v>107</v>
      </c>
      <c r="F427">
        <v>500</v>
      </c>
      <c r="G427">
        <v>11725</v>
      </c>
      <c r="H427">
        <v>4920</v>
      </c>
      <c r="I427">
        <v>6805</v>
      </c>
    </row>
    <row r="428" spans="1:9" ht="13.8" x14ac:dyDescent="0.25">
      <c r="A428" t="s">
        <v>126</v>
      </c>
      <c r="B428" t="s">
        <v>11</v>
      </c>
      <c r="C428" s="3" t="s">
        <v>10</v>
      </c>
      <c r="D428" s="4">
        <v>45121</v>
      </c>
      <c r="E428" s="4" t="s">
        <v>107</v>
      </c>
      <c r="F428">
        <v>900</v>
      </c>
      <c r="G428">
        <v>21366</v>
      </c>
      <c r="H428">
        <v>9198</v>
      </c>
      <c r="I428">
        <v>12168</v>
      </c>
    </row>
    <row r="429" spans="1:9" ht="13.8" x14ac:dyDescent="0.25">
      <c r="A429" t="s">
        <v>130</v>
      </c>
      <c r="B429" t="s">
        <v>9</v>
      </c>
      <c r="C429" s="3" t="s">
        <v>12</v>
      </c>
      <c r="D429" s="4">
        <v>45122</v>
      </c>
      <c r="E429" s="4" t="s">
        <v>121</v>
      </c>
      <c r="F429">
        <v>700</v>
      </c>
      <c r="G429">
        <v>14497</v>
      </c>
      <c r="H429">
        <v>6888</v>
      </c>
      <c r="I429">
        <v>7609</v>
      </c>
    </row>
    <row r="430" spans="1:9" ht="13.8" x14ac:dyDescent="0.25">
      <c r="A430" t="s">
        <v>126</v>
      </c>
      <c r="B430" t="s">
        <v>9</v>
      </c>
      <c r="C430" s="3" t="s">
        <v>12</v>
      </c>
      <c r="D430" s="4">
        <v>45123</v>
      </c>
      <c r="E430" s="4" t="s">
        <v>100</v>
      </c>
      <c r="F430">
        <v>800</v>
      </c>
      <c r="G430">
        <v>17416</v>
      </c>
      <c r="H430">
        <v>7872</v>
      </c>
      <c r="I430">
        <v>9544</v>
      </c>
    </row>
    <row r="431" spans="1:9" ht="13.8" x14ac:dyDescent="0.25">
      <c r="A431" t="s">
        <v>126</v>
      </c>
      <c r="B431" t="s">
        <v>9</v>
      </c>
      <c r="C431" s="3" t="s">
        <v>15</v>
      </c>
      <c r="D431" s="4">
        <v>45125</v>
      </c>
      <c r="E431" s="4" t="s">
        <v>100</v>
      </c>
      <c r="F431">
        <v>700</v>
      </c>
      <c r="G431">
        <v>13804</v>
      </c>
      <c r="H431">
        <v>5929</v>
      </c>
      <c r="I431">
        <v>7875</v>
      </c>
    </row>
    <row r="432" spans="1:9" ht="13.8" x14ac:dyDescent="0.25">
      <c r="A432" t="s">
        <v>126</v>
      </c>
      <c r="B432" t="s">
        <v>11</v>
      </c>
      <c r="C432" s="3" t="s">
        <v>10</v>
      </c>
      <c r="D432" s="4">
        <v>45125</v>
      </c>
      <c r="E432" s="4" t="s">
        <v>107</v>
      </c>
      <c r="F432">
        <v>200</v>
      </c>
      <c r="G432">
        <v>4902</v>
      </c>
      <c r="H432">
        <v>2044</v>
      </c>
      <c r="I432">
        <v>2858</v>
      </c>
    </row>
    <row r="433" spans="1:9" ht="13.8" x14ac:dyDescent="0.25">
      <c r="A433" t="s">
        <v>129</v>
      </c>
      <c r="B433" t="s">
        <v>13</v>
      </c>
      <c r="C433" s="3" t="s">
        <v>12</v>
      </c>
      <c r="D433" s="4">
        <v>45126</v>
      </c>
      <c r="E433" s="4" t="s">
        <v>101</v>
      </c>
      <c r="F433">
        <v>500</v>
      </c>
      <c r="G433">
        <v>11235</v>
      </c>
      <c r="H433">
        <v>4920</v>
      </c>
      <c r="I433">
        <v>6315</v>
      </c>
    </row>
    <row r="434" spans="1:9" ht="13.8" x14ac:dyDescent="0.25">
      <c r="A434" t="s">
        <v>129</v>
      </c>
      <c r="B434" t="s">
        <v>9</v>
      </c>
      <c r="C434" s="3" t="s">
        <v>10</v>
      </c>
      <c r="D434" s="4">
        <v>45128</v>
      </c>
      <c r="E434" s="4" t="s">
        <v>118</v>
      </c>
      <c r="F434">
        <v>1000</v>
      </c>
      <c r="G434">
        <v>22840</v>
      </c>
      <c r="H434">
        <v>10220</v>
      </c>
      <c r="I434">
        <v>12620</v>
      </c>
    </row>
    <row r="435" spans="1:9" ht="13.8" x14ac:dyDescent="0.25">
      <c r="A435" t="s">
        <v>16</v>
      </c>
      <c r="B435" t="s">
        <v>13</v>
      </c>
      <c r="C435" s="3" t="s">
        <v>15</v>
      </c>
      <c r="D435" s="4">
        <v>45129</v>
      </c>
      <c r="E435" s="4" t="s">
        <v>112</v>
      </c>
      <c r="F435">
        <v>200</v>
      </c>
      <c r="G435">
        <v>3390</v>
      </c>
      <c r="H435">
        <v>1694</v>
      </c>
      <c r="I435">
        <v>1696</v>
      </c>
    </row>
    <row r="436" spans="1:9" ht="13.8" x14ac:dyDescent="0.25">
      <c r="A436" t="s">
        <v>130</v>
      </c>
      <c r="B436" t="s">
        <v>11</v>
      </c>
      <c r="C436" s="3" t="s">
        <v>12</v>
      </c>
      <c r="D436" s="4">
        <v>45130</v>
      </c>
      <c r="E436" s="4" t="s">
        <v>106</v>
      </c>
      <c r="F436">
        <v>300</v>
      </c>
      <c r="G436">
        <v>6228</v>
      </c>
      <c r="H436">
        <v>2952</v>
      </c>
      <c r="I436">
        <v>3276</v>
      </c>
    </row>
    <row r="437" spans="1:9" ht="13.8" x14ac:dyDescent="0.25">
      <c r="A437" t="s">
        <v>126</v>
      </c>
      <c r="B437" t="s">
        <v>9</v>
      </c>
      <c r="C437" s="3" t="s">
        <v>12</v>
      </c>
      <c r="D437" s="4">
        <v>45133</v>
      </c>
      <c r="E437" s="4" t="s">
        <v>100</v>
      </c>
      <c r="F437">
        <v>600</v>
      </c>
      <c r="G437">
        <v>13332</v>
      </c>
      <c r="H437">
        <v>5904</v>
      </c>
      <c r="I437">
        <v>7428</v>
      </c>
    </row>
    <row r="438" spans="1:9" ht="13.8" x14ac:dyDescent="0.25">
      <c r="A438" t="s">
        <v>129</v>
      </c>
      <c r="B438" t="s">
        <v>13</v>
      </c>
      <c r="C438" s="3" t="s">
        <v>12</v>
      </c>
      <c r="D438" s="4">
        <v>45134</v>
      </c>
      <c r="E438" s="4" t="s">
        <v>101</v>
      </c>
      <c r="F438">
        <v>200</v>
      </c>
      <c r="G438">
        <v>4132</v>
      </c>
      <c r="H438">
        <v>1968</v>
      </c>
      <c r="I438">
        <v>2164</v>
      </c>
    </row>
    <row r="439" spans="1:9" ht="13.8" x14ac:dyDescent="0.25">
      <c r="A439" t="s">
        <v>16</v>
      </c>
      <c r="B439" t="s">
        <v>13</v>
      </c>
      <c r="C439" s="3" t="s">
        <v>10</v>
      </c>
      <c r="D439" s="4">
        <v>45135</v>
      </c>
      <c r="E439" s="4" t="s">
        <v>112</v>
      </c>
      <c r="F439">
        <v>200</v>
      </c>
      <c r="G439">
        <v>4722</v>
      </c>
      <c r="H439">
        <v>2044</v>
      </c>
      <c r="I439">
        <v>2678</v>
      </c>
    </row>
    <row r="440" spans="1:9" ht="13.8" x14ac:dyDescent="0.25">
      <c r="A440" t="s">
        <v>130</v>
      </c>
      <c r="B440" t="s">
        <v>9</v>
      </c>
      <c r="C440" s="3" t="s">
        <v>12</v>
      </c>
      <c r="D440" s="4">
        <v>45136</v>
      </c>
      <c r="E440" s="4" t="s">
        <v>105</v>
      </c>
      <c r="F440">
        <v>700</v>
      </c>
      <c r="G440">
        <v>16170</v>
      </c>
      <c r="H440">
        <v>6888</v>
      </c>
      <c r="I440">
        <v>9282</v>
      </c>
    </row>
    <row r="441" spans="1:9" ht="13.8" x14ac:dyDescent="0.25">
      <c r="A441" t="s">
        <v>130</v>
      </c>
      <c r="B441" t="s">
        <v>11</v>
      </c>
      <c r="C441" s="3" t="s">
        <v>12</v>
      </c>
      <c r="D441" s="4">
        <v>45137</v>
      </c>
      <c r="E441" s="4" t="s">
        <v>106</v>
      </c>
      <c r="F441">
        <v>300</v>
      </c>
      <c r="G441">
        <v>6159</v>
      </c>
      <c r="H441">
        <v>2952</v>
      </c>
      <c r="I441">
        <v>3207</v>
      </c>
    </row>
    <row r="442" spans="1:9" ht="13.8" x14ac:dyDescent="0.25">
      <c r="A442" t="s">
        <v>126</v>
      </c>
      <c r="B442" t="s">
        <v>14</v>
      </c>
      <c r="C442" s="3" t="s">
        <v>15</v>
      </c>
      <c r="D442" s="4">
        <v>45137</v>
      </c>
      <c r="E442" s="4" t="s">
        <v>113</v>
      </c>
      <c r="F442">
        <v>1000</v>
      </c>
      <c r="G442">
        <v>18290</v>
      </c>
      <c r="H442">
        <v>8470</v>
      </c>
      <c r="I442">
        <v>9820</v>
      </c>
    </row>
    <row r="443" spans="1:9" ht="13.8" x14ac:dyDescent="0.25">
      <c r="A443" t="s">
        <v>16</v>
      </c>
      <c r="B443" t="s">
        <v>13</v>
      </c>
      <c r="C443" s="3" t="s">
        <v>15</v>
      </c>
      <c r="D443" s="4">
        <v>45138</v>
      </c>
      <c r="E443" s="4" t="s">
        <v>112</v>
      </c>
      <c r="F443">
        <v>1000</v>
      </c>
      <c r="G443">
        <v>18500</v>
      </c>
      <c r="H443">
        <v>8470</v>
      </c>
      <c r="I443">
        <v>10030</v>
      </c>
    </row>
    <row r="444" spans="1:9" ht="13.8" x14ac:dyDescent="0.25">
      <c r="A444" t="s">
        <v>16</v>
      </c>
      <c r="B444" t="s">
        <v>13</v>
      </c>
      <c r="C444" s="3" t="s">
        <v>10</v>
      </c>
      <c r="D444" s="4">
        <v>45141</v>
      </c>
      <c r="E444" s="4" t="s">
        <v>112</v>
      </c>
      <c r="F444">
        <v>900</v>
      </c>
      <c r="G444">
        <v>21159</v>
      </c>
      <c r="H444">
        <v>9198</v>
      </c>
      <c r="I444">
        <v>11961</v>
      </c>
    </row>
    <row r="445" spans="1:9" ht="13.8" x14ac:dyDescent="0.25">
      <c r="A445" t="s">
        <v>126</v>
      </c>
      <c r="B445" t="s">
        <v>13</v>
      </c>
      <c r="C445" s="3" t="s">
        <v>15</v>
      </c>
      <c r="D445" s="4">
        <v>45142</v>
      </c>
      <c r="E445" s="4" t="s">
        <v>108</v>
      </c>
      <c r="F445">
        <v>800</v>
      </c>
      <c r="G445">
        <v>15488</v>
      </c>
      <c r="H445">
        <v>6776</v>
      </c>
      <c r="I445">
        <v>8712</v>
      </c>
    </row>
    <row r="446" spans="1:9" ht="13.8" x14ac:dyDescent="0.25">
      <c r="A446" t="s">
        <v>126</v>
      </c>
      <c r="B446" t="s">
        <v>9</v>
      </c>
      <c r="C446" s="3" t="s">
        <v>10</v>
      </c>
      <c r="D446" s="4">
        <v>45142</v>
      </c>
      <c r="E446" s="4" t="s">
        <v>100</v>
      </c>
      <c r="F446">
        <v>100</v>
      </c>
      <c r="G446">
        <v>2547</v>
      </c>
      <c r="H446">
        <v>1022</v>
      </c>
      <c r="I446">
        <v>1525</v>
      </c>
    </row>
    <row r="447" spans="1:9" ht="13.8" x14ac:dyDescent="0.25">
      <c r="A447" t="s">
        <v>129</v>
      </c>
      <c r="B447" t="s">
        <v>13</v>
      </c>
      <c r="C447" s="3" t="s">
        <v>15</v>
      </c>
      <c r="D447" s="4">
        <v>45143</v>
      </c>
      <c r="E447" s="4" t="s">
        <v>101</v>
      </c>
      <c r="F447">
        <v>200</v>
      </c>
      <c r="G447">
        <v>3418</v>
      </c>
      <c r="H447">
        <v>1694</v>
      </c>
      <c r="I447">
        <v>1724</v>
      </c>
    </row>
    <row r="448" spans="1:9" ht="13.8" x14ac:dyDescent="0.25">
      <c r="A448" t="s">
        <v>130</v>
      </c>
      <c r="B448" t="s">
        <v>9</v>
      </c>
      <c r="C448" s="3" t="s">
        <v>15</v>
      </c>
      <c r="D448" s="4">
        <v>45144</v>
      </c>
      <c r="E448" s="4" t="s">
        <v>105</v>
      </c>
      <c r="F448">
        <v>1000</v>
      </c>
      <c r="G448">
        <v>19530</v>
      </c>
      <c r="H448">
        <v>8470</v>
      </c>
      <c r="I448">
        <v>11060</v>
      </c>
    </row>
    <row r="449" spans="1:9" ht="13.8" x14ac:dyDescent="0.25">
      <c r="A449" t="s">
        <v>131</v>
      </c>
      <c r="B449" t="s">
        <v>14</v>
      </c>
      <c r="C449" s="3" t="s">
        <v>12</v>
      </c>
      <c r="D449" s="4">
        <v>45145</v>
      </c>
      <c r="E449" s="4" t="s">
        <v>124</v>
      </c>
      <c r="F449">
        <v>200</v>
      </c>
      <c r="G449">
        <v>4380</v>
      </c>
      <c r="H449">
        <v>1968</v>
      </c>
      <c r="I449">
        <v>2412</v>
      </c>
    </row>
    <row r="450" spans="1:9" ht="13.8" x14ac:dyDescent="0.25">
      <c r="A450" t="s">
        <v>129</v>
      </c>
      <c r="B450" t="s">
        <v>13</v>
      </c>
      <c r="C450" s="3" t="s">
        <v>12</v>
      </c>
      <c r="D450" s="4">
        <v>45149</v>
      </c>
      <c r="E450" s="4" t="s">
        <v>101</v>
      </c>
      <c r="F450">
        <v>600</v>
      </c>
      <c r="G450">
        <v>13368</v>
      </c>
      <c r="H450">
        <v>5904</v>
      </c>
      <c r="I450">
        <v>7464</v>
      </c>
    </row>
    <row r="451" spans="1:9" ht="13.8" x14ac:dyDescent="0.25">
      <c r="A451" t="s">
        <v>126</v>
      </c>
      <c r="B451" t="s">
        <v>9</v>
      </c>
      <c r="C451" s="3" t="s">
        <v>10</v>
      </c>
      <c r="D451" s="4">
        <v>45150</v>
      </c>
      <c r="E451" s="4" t="s">
        <v>100</v>
      </c>
      <c r="F451">
        <v>200</v>
      </c>
      <c r="G451">
        <v>4550</v>
      </c>
      <c r="H451">
        <v>2044</v>
      </c>
      <c r="I451">
        <v>2506</v>
      </c>
    </row>
    <row r="452" spans="1:9" ht="13.8" x14ac:dyDescent="0.25">
      <c r="A452" t="s">
        <v>126</v>
      </c>
      <c r="B452" t="s">
        <v>13</v>
      </c>
      <c r="C452" s="3" t="s">
        <v>12</v>
      </c>
      <c r="D452" s="4">
        <v>45152</v>
      </c>
      <c r="E452" s="4" t="s">
        <v>108</v>
      </c>
      <c r="F452">
        <v>300</v>
      </c>
      <c r="G452">
        <v>6522</v>
      </c>
      <c r="H452">
        <v>2952</v>
      </c>
      <c r="I452">
        <v>3570</v>
      </c>
    </row>
    <row r="453" spans="1:9" ht="13.8" x14ac:dyDescent="0.25">
      <c r="A453" t="s">
        <v>127</v>
      </c>
      <c r="B453" t="s">
        <v>13</v>
      </c>
      <c r="C453" s="3" t="s">
        <v>12</v>
      </c>
      <c r="D453" s="4">
        <v>45154</v>
      </c>
      <c r="E453" s="4" t="s">
        <v>102</v>
      </c>
      <c r="F453">
        <v>200</v>
      </c>
      <c r="G453">
        <v>4270</v>
      </c>
      <c r="H453">
        <v>1968</v>
      </c>
      <c r="I453">
        <v>2302</v>
      </c>
    </row>
    <row r="454" spans="1:9" ht="13.8" x14ac:dyDescent="0.25">
      <c r="A454" t="s">
        <v>131</v>
      </c>
      <c r="B454" t="s">
        <v>13</v>
      </c>
      <c r="C454" s="3" t="s">
        <v>12</v>
      </c>
      <c r="D454" s="4">
        <v>45154</v>
      </c>
      <c r="E454" s="4" t="s">
        <v>115</v>
      </c>
      <c r="F454">
        <v>700</v>
      </c>
      <c r="G454">
        <v>17213</v>
      </c>
      <c r="H454">
        <v>6888</v>
      </c>
      <c r="I454">
        <v>10325</v>
      </c>
    </row>
    <row r="455" spans="1:9" ht="13.8" x14ac:dyDescent="0.25">
      <c r="A455" t="s">
        <v>16</v>
      </c>
      <c r="B455" t="s">
        <v>13</v>
      </c>
      <c r="C455" s="3" t="s">
        <v>12</v>
      </c>
      <c r="D455" s="4">
        <v>45156</v>
      </c>
      <c r="E455" s="4" t="s">
        <v>112</v>
      </c>
      <c r="F455">
        <v>800</v>
      </c>
      <c r="G455">
        <v>16232</v>
      </c>
      <c r="H455">
        <v>7872</v>
      </c>
      <c r="I455">
        <v>8360</v>
      </c>
    </row>
    <row r="456" spans="1:9" ht="13.8" x14ac:dyDescent="0.25">
      <c r="A456" t="s">
        <v>126</v>
      </c>
      <c r="B456" t="s">
        <v>9</v>
      </c>
      <c r="C456" s="3" t="s">
        <v>10</v>
      </c>
      <c r="D456" s="4">
        <v>45157</v>
      </c>
      <c r="E456" s="4" t="s">
        <v>100</v>
      </c>
      <c r="F456">
        <v>500</v>
      </c>
      <c r="G456">
        <v>12755</v>
      </c>
      <c r="H456">
        <v>5110</v>
      </c>
      <c r="I456">
        <v>7645</v>
      </c>
    </row>
    <row r="457" spans="1:9" ht="13.8" x14ac:dyDescent="0.25">
      <c r="A457" t="s">
        <v>130</v>
      </c>
      <c r="B457" t="s">
        <v>9</v>
      </c>
      <c r="C457" s="3" t="s">
        <v>12</v>
      </c>
      <c r="D457" s="4">
        <v>45158</v>
      </c>
      <c r="E457" s="4" t="s">
        <v>105</v>
      </c>
      <c r="F457">
        <v>200</v>
      </c>
      <c r="G457">
        <v>4470</v>
      </c>
      <c r="H457">
        <v>1968</v>
      </c>
      <c r="I457">
        <v>2502</v>
      </c>
    </row>
    <row r="458" spans="1:9" ht="13.8" x14ac:dyDescent="0.25">
      <c r="A458" t="s">
        <v>126</v>
      </c>
      <c r="B458" t="s">
        <v>9</v>
      </c>
      <c r="C458" s="3" t="s">
        <v>15</v>
      </c>
      <c r="D458" s="4">
        <v>45159</v>
      </c>
      <c r="E458" s="4" t="s">
        <v>100</v>
      </c>
      <c r="F458">
        <v>300</v>
      </c>
      <c r="G458">
        <v>6156</v>
      </c>
      <c r="H458">
        <v>2541</v>
      </c>
      <c r="I458">
        <v>3615</v>
      </c>
    </row>
    <row r="459" spans="1:9" ht="13.8" x14ac:dyDescent="0.25">
      <c r="A459" t="s">
        <v>126</v>
      </c>
      <c r="B459" t="s">
        <v>11</v>
      </c>
      <c r="C459" s="3" t="s">
        <v>15</v>
      </c>
      <c r="D459" s="4">
        <v>45160</v>
      </c>
      <c r="E459" s="4" t="s">
        <v>128</v>
      </c>
      <c r="F459">
        <v>800</v>
      </c>
      <c r="G459">
        <v>15544</v>
      </c>
      <c r="H459">
        <v>6776</v>
      </c>
      <c r="I459">
        <v>8768</v>
      </c>
    </row>
    <row r="460" spans="1:9" ht="13.8" x14ac:dyDescent="0.25">
      <c r="A460" t="s">
        <v>126</v>
      </c>
      <c r="B460" t="s">
        <v>9</v>
      </c>
      <c r="C460" s="3" t="s">
        <v>12</v>
      </c>
      <c r="D460" s="4">
        <v>45162</v>
      </c>
      <c r="E460" s="4" t="s">
        <v>100</v>
      </c>
      <c r="F460">
        <v>100</v>
      </c>
      <c r="G460">
        <v>2409</v>
      </c>
      <c r="H460">
        <v>984</v>
      </c>
      <c r="I460">
        <v>1425</v>
      </c>
    </row>
    <row r="461" spans="1:9" ht="13.8" x14ac:dyDescent="0.25">
      <c r="A461" t="s">
        <v>131</v>
      </c>
      <c r="B461" t="s">
        <v>13</v>
      </c>
      <c r="C461" s="3" t="s">
        <v>10</v>
      </c>
      <c r="D461" s="4">
        <v>45163</v>
      </c>
      <c r="E461" s="4" t="s">
        <v>115</v>
      </c>
      <c r="F461">
        <v>600</v>
      </c>
      <c r="G461">
        <v>12570</v>
      </c>
      <c r="H461">
        <v>6132</v>
      </c>
      <c r="I461">
        <v>6438</v>
      </c>
    </row>
    <row r="462" spans="1:9" ht="13.8" x14ac:dyDescent="0.25">
      <c r="A462" t="s">
        <v>126</v>
      </c>
      <c r="B462" t="s">
        <v>11</v>
      </c>
      <c r="C462" s="3" t="s">
        <v>10</v>
      </c>
      <c r="D462" s="4">
        <v>45163</v>
      </c>
      <c r="E462" s="4" t="s">
        <v>107</v>
      </c>
      <c r="F462">
        <v>300</v>
      </c>
      <c r="G462">
        <v>6438</v>
      </c>
      <c r="H462">
        <v>3066</v>
      </c>
      <c r="I462">
        <v>3372</v>
      </c>
    </row>
    <row r="463" spans="1:9" ht="13.8" x14ac:dyDescent="0.25">
      <c r="A463" t="s">
        <v>126</v>
      </c>
      <c r="B463" t="s">
        <v>9</v>
      </c>
      <c r="C463" s="3" t="s">
        <v>10</v>
      </c>
      <c r="D463" s="4">
        <v>45164</v>
      </c>
      <c r="E463" s="4" t="s">
        <v>100</v>
      </c>
      <c r="F463">
        <v>900</v>
      </c>
      <c r="G463">
        <v>19593</v>
      </c>
      <c r="H463">
        <v>9198</v>
      </c>
      <c r="I463">
        <v>10395</v>
      </c>
    </row>
    <row r="464" spans="1:9" ht="13.8" x14ac:dyDescent="0.25">
      <c r="A464" t="s">
        <v>130</v>
      </c>
      <c r="B464" t="s">
        <v>11</v>
      </c>
      <c r="C464" s="3" t="s">
        <v>15</v>
      </c>
      <c r="D464" s="4">
        <v>45165</v>
      </c>
      <c r="E464" s="4" t="s">
        <v>106</v>
      </c>
      <c r="F464">
        <v>900</v>
      </c>
      <c r="G464">
        <v>18981</v>
      </c>
      <c r="H464">
        <v>7623</v>
      </c>
      <c r="I464">
        <v>11358</v>
      </c>
    </row>
    <row r="465" spans="1:9" ht="13.8" x14ac:dyDescent="0.25">
      <c r="A465" t="s">
        <v>16</v>
      </c>
      <c r="B465" t="s">
        <v>13</v>
      </c>
      <c r="C465" s="3" t="s">
        <v>10</v>
      </c>
      <c r="D465" s="4">
        <v>45166</v>
      </c>
      <c r="E465" s="4" t="s">
        <v>112</v>
      </c>
      <c r="F465">
        <v>800</v>
      </c>
      <c r="G465">
        <v>17160</v>
      </c>
      <c r="H465">
        <v>8176</v>
      </c>
      <c r="I465">
        <v>8984</v>
      </c>
    </row>
    <row r="466" spans="1:9" ht="13.8" x14ac:dyDescent="0.25">
      <c r="A466" t="s">
        <v>126</v>
      </c>
      <c r="B466" t="s">
        <v>11</v>
      </c>
      <c r="C466" s="3" t="s">
        <v>15</v>
      </c>
      <c r="D466" s="4">
        <v>45166</v>
      </c>
      <c r="E466" s="4" t="s">
        <v>107</v>
      </c>
      <c r="F466">
        <v>100</v>
      </c>
      <c r="G466">
        <v>2028</v>
      </c>
      <c r="H466">
        <v>847</v>
      </c>
      <c r="I466">
        <v>1181</v>
      </c>
    </row>
    <row r="467" spans="1:9" ht="13.8" x14ac:dyDescent="0.25">
      <c r="A467" t="s">
        <v>129</v>
      </c>
      <c r="B467" t="s">
        <v>13</v>
      </c>
      <c r="C467" s="3" t="s">
        <v>15</v>
      </c>
      <c r="D467" s="4">
        <v>45166</v>
      </c>
      <c r="E467" s="4" t="s">
        <v>101</v>
      </c>
      <c r="F467">
        <v>300</v>
      </c>
      <c r="G467">
        <v>5859</v>
      </c>
      <c r="H467">
        <v>2541</v>
      </c>
      <c r="I467">
        <v>3318</v>
      </c>
    </row>
    <row r="468" spans="1:9" ht="13.8" x14ac:dyDescent="0.25">
      <c r="A468" t="s">
        <v>129</v>
      </c>
      <c r="B468" t="s">
        <v>13</v>
      </c>
      <c r="C468" s="3" t="s">
        <v>15</v>
      </c>
      <c r="D468" s="4">
        <v>45167</v>
      </c>
      <c r="E468" s="4" t="s">
        <v>117</v>
      </c>
      <c r="F468">
        <v>300</v>
      </c>
      <c r="G468">
        <v>5532</v>
      </c>
      <c r="H468">
        <v>2541</v>
      </c>
      <c r="I468">
        <v>2991</v>
      </c>
    </row>
    <row r="469" spans="1:9" ht="13.8" x14ac:dyDescent="0.25">
      <c r="A469" t="s">
        <v>126</v>
      </c>
      <c r="B469" t="s">
        <v>9</v>
      </c>
      <c r="C469" s="3" t="s">
        <v>10</v>
      </c>
      <c r="D469" s="4">
        <v>45168</v>
      </c>
      <c r="E469" s="4" t="s">
        <v>100</v>
      </c>
      <c r="F469">
        <v>500</v>
      </c>
      <c r="G469">
        <v>12575</v>
      </c>
      <c r="H469">
        <v>5110</v>
      </c>
      <c r="I469">
        <v>7465</v>
      </c>
    </row>
    <row r="470" spans="1:9" ht="13.8" x14ac:dyDescent="0.25">
      <c r="A470" t="s">
        <v>126</v>
      </c>
      <c r="B470" t="s">
        <v>11</v>
      </c>
      <c r="C470" s="3" t="s">
        <v>15</v>
      </c>
      <c r="D470" s="4">
        <v>45170</v>
      </c>
      <c r="E470" s="4" t="s">
        <v>109</v>
      </c>
      <c r="F470">
        <v>800</v>
      </c>
      <c r="G470">
        <v>16144</v>
      </c>
      <c r="H470">
        <v>6776</v>
      </c>
      <c r="I470">
        <v>9368</v>
      </c>
    </row>
    <row r="471" spans="1:9" ht="13.8" x14ac:dyDescent="0.25">
      <c r="A471" t="s">
        <v>130</v>
      </c>
      <c r="B471" t="s">
        <v>9</v>
      </c>
      <c r="C471" s="3" t="s">
        <v>12</v>
      </c>
      <c r="D471" s="4">
        <v>45172</v>
      </c>
      <c r="E471" s="4" t="s">
        <v>105</v>
      </c>
      <c r="F471">
        <v>900</v>
      </c>
      <c r="G471">
        <v>18486</v>
      </c>
      <c r="H471">
        <v>8856</v>
      </c>
      <c r="I471">
        <v>9630</v>
      </c>
    </row>
    <row r="472" spans="1:9" ht="13.8" x14ac:dyDescent="0.25">
      <c r="A472" t="s">
        <v>16</v>
      </c>
      <c r="B472" t="s">
        <v>13</v>
      </c>
      <c r="C472" s="3" t="s">
        <v>15</v>
      </c>
      <c r="D472" s="4">
        <v>45174</v>
      </c>
      <c r="E472" s="4" t="s">
        <v>112</v>
      </c>
      <c r="F472">
        <v>900</v>
      </c>
      <c r="G472">
        <v>17289</v>
      </c>
      <c r="H472">
        <v>7623</v>
      </c>
      <c r="I472">
        <v>9666</v>
      </c>
    </row>
    <row r="473" spans="1:9" ht="13.8" x14ac:dyDescent="0.25">
      <c r="A473" t="s">
        <v>130</v>
      </c>
      <c r="B473" t="s">
        <v>9</v>
      </c>
      <c r="C473" s="3" t="s">
        <v>12</v>
      </c>
      <c r="D473" s="4">
        <v>45174</v>
      </c>
      <c r="E473" s="4" t="s">
        <v>105</v>
      </c>
      <c r="F473">
        <v>100</v>
      </c>
      <c r="G473">
        <v>2106</v>
      </c>
      <c r="H473">
        <v>984</v>
      </c>
      <c r="I473">
        <v>1122</v>
      </c>
    </row>
    <row r="474" spans="1:9" ht="13.8" x14ac:dyDescent="0.25">
      <c r="A474" t="s">
        <v>131</v>
      </c>
      <c r="B474" t="s">
        <v>13</v>
      </c>
      <c r="C474" s="3" t="s">
        <v>12</v>
      </c>
      <c r="D474" s="4">
        <v>45178</v>
      </c>
      <c r="E474" s="4" t="s">
        <v>122</v>
      </c>
      <c r="F474">
        <v>100</v>
      </c>
      <c r="G474">
        <v>2029</v>
      </c>
      <c r="H474">
        <v>984</v>
      </c>
      <c r="I474">
        <v>1045</v>
      </c>
    </row>
    <row r="475" spans="1:9" ht="13.8" x14ac:dyDescent="0.25">
      <c r="A475" t="s">
        <v>130</v>
      </c>
      <c r="B475" t="s">
        <v>11</v>
      </c>
      <c r="C475" s="3" t="s">
        <v>10</v>
      </c>
      <c r="D475" s="4">
        <v>45179</v>
      </c>
      <c r="E475" s="4" t="s">
        <v>106</v>
      </c>
      <c r="F475">
        <v>600</v>
      </c>
      <c r="G475">
        <v>12936</v>
      </c>
      <c r="H475">
        <v>6132</v>
      </c>
      <c r="I475">
        <v>6804</v>
      </c>
    </row>
    <row r="476" spans="1:9" ht="13.8" x14ac:dyDescent="0.25">
      <c r="A476" t="s">
        <v>129</v>
      </c>
      <c r="B476" t="s">
        <v>14</v>
      </c>
      <c r="C476" s="3" t="s">
        <v>12</v>
      </c>
      <c r="D476" s="4">
        <v>45179</v>
      </c>
      <c r="E476" s="4" t="s">
        <v>119</v>
      </c>
      <c r="F476">
        <v>500</v>
      </c>
      <c r="G476">
        <v>11550</v>
      </c>
      <c r="H476">
        <v>4920</v>
      </c>
      <c r="I476">
        <v>6630</v>
      </c>
    </row>
    <row r="477" spans="1:9" ht="13.8" x14ac:dyDescent="0.25">
      <c r="A477" t="s">
        <v>131</v>
      </c>
      <c r="B477" t="s">
        <v>13</v>
      </c>
      <c r="C477" s="3" t="s">
        <v>12</v>
      </c>
      <c r="D477" s="4">
        <v>45181</v>
      </c>
      <c r="E477" s="4" t="s">
        <v>115</v>
      </c>
      <c r="F477">
        <v>600</v>
      </c>
      <c r="G477">
        <v>14580</v>
      </c>
      <c r="H477">
        <v>5904</v>
      </c>
      <c r="I477">
        <v>8676</v>
      </c>
    </row>
    <row r="478" spans="1:9" ht="13.8" x14ac:dyDescent="0.25">
      <c r="A478" t="s">
        <v>126</v>
      </c>
      <c r="B478" t="s">
        <v>11</v>
      </c>
      <c r="C478" s="3" t="s">
        <v>10</v>
      </c>
      <c r="D478" s="4">
        <v>45183</v>
      </c>
      <c r="E478" s="4" t="s">
        <v>109</v>
      </c>
      <c r="F478">
        <v>100</v>
      </c>
      <c r="G478">
        <v>2058</v>
      </c>
      <c r="H478">
        <v>1022</v>
      </c>
      <c r="I478">
        <v>1036</v>
      </c>
    </row>
    <row r="479" spans="1:9" ht="13.8" x14ac:dyDescent="0.25">
      <c r="A479" t="s">
        <v>126</v>
      </c>
      <c r="B479" t="s">
        <v>9</v>
      </c>
      <c r="C479" s="3" t="s">
        <v>12</v>
      </c>
      <c r="D479" s="4">
        <v>45183</v>
      </c>
      <c r="E479" s="4" t="s">
        <v>100</v>
      </c>
      <c r="F479">
        <v>600</v>
      </c>
      <c r="G479">
        <v>13566</v>
      </c>
      <c r="H479">
        <v>5904</v>
      </c>
      <c r="I479">
        <v>7662</v>
      </c>
    </row>
    <row r="480" spans="1:9" ht="13.8" x14ac:dyDescent="0.25">
      <c r="A480" t="s">
        <v>126</v>
      </c>
      <c r="B480" t="s">
        <v>11</v>
      </c>
      <c r="C480" s="3" t="s">
        <v>15</v>
      </c>
      <c r="D480" s="4">
        <v>45186</v>
      </c>
      <c r="E480" s="4" t="s">
        <v>128</v>
      </c>
      <c r="F480">
        <v>100</v>
      </c>
      <c r="G480">
        <v>1741</v>
      </c>
      <c r="H480">
        <v>847</v>
      </c>
      <c r="I480">
        <v>894</v>
      </c>
    </row>
    <row r="481" spans="1:9" ht="13.8" x14ac:dyDescent="0.25">
      <c r="A481" t="s">
        <v>16</v>
      </c>
      <c r="B481" t="s">
        <v>13</v>
      </c>
      <c r="C481" s="3" t="s">
        <v>10</v>
      </c>
      <c r="D481" s="4">
        <v>45187</v>
      </c>
      <c r="E481" s="4" t="s">
        <v>112</v>
      </c>
      <c r="F481">
        <v>200</v>
      </c>
      <c r="G481">
        <v>5002</v>
      </c>
      <c r="H481">
        <v>2044</v>
      </c>
      <c r="I481">
        <v>2958</v>
      </c>
    </row>
    <row r="482" spans="1:9" ht="13.8" x14ac:dyDescent="0.25">
      <c r="A482" t="s">
        <v>126</v>
      </c>
      <c r="B482" t="s">
        <v>13</v>
      </c>
      <c r="C482" s="3" t="s">
        <v>15</v>
      </c>
      <c r="D482" s="4">
        <v>45188</v>
      </c>
      <c r="E482" s="4" t="s">
        <v>108</v>
      </c>
      <c r="F482">
        <v>100</v>
      </c>
      <c r="G482">
        <v>1795</v>
      </c>
      <c r="H482">
        <v>847</v>
      </c>
      <c r="I482">
        <v>948</v>
      </c>
    </row>
    <row r="483" spans="1:9" ht="13.8" x14ac:dyDescent="0.25">
      <c r="A483" t="s">
        <v>126</v>
      </c>
      <c r="B483" t="s">
        <v>11</v>
      </c>
      <c r="C483" s="3" t="s">
        <v>12</v>
      </c>
      <c r="D483" s="4">
        <v>45191</v>
      </c>
      <c r="E483" s="4" t="s">
        <v>107</v>
      </c>
      <c r="F483">
        <v>400</v>
      </c>
      <c r="G483">
        <v>8592</v>
      </c>
      <c r="H483">
        <v>3936</v>
      </c>
      <c r="I483">
        <v>4656</v>
      </c>
    </row>
    <row r="484" spans="1:9" ht="13.8" x14ac:dyDescent="0.25">
      <c r="A484" t="s">
        <v>126</v>
      </c>
      <c r="B484" t="s">
        <v>13</v>
      </c>
      <c r="C484" s="3" t="s">
        <v>12</v>
      </c>
      <c r="D484" s="4">
        <v>45194</v>
      </c>
      <c r="E484" s="4" t="s">
        <v>108</v>
      </c>
      <c r="F484">
        <v>600</v>
      </c>
      <c r="G484">
        <v>12690</v>
      </c>
      <c r="H484">
        <v>5904</v>
      </c>
      <c r="I484">
        <v>6786</v>
      </c>
    </row>
    <row r="485" spans="1:9" ht="13.8" x14ac:dyDescent="0.25">
      <c r="A485" t="s">
        <v>126</v>
      </c>
      <c r="B485" t="s">
        <v>11</v>
      </c>
      <c r="C485" s="3" t="s">
        <v>12</v>
      </c>
      <c r="D485" s="4">
        <v>45194</v>
      </c>
      <c r="E485" s="4" t="s">
        <v>107</v>
      </c>
      <c r="F485">
        <v>300</v>
      </c>
      <c r="G485">
        <v>6582</v>
      </c>
      <c r="H485">
        <v>2952</v>
      </c>
      <c r="I485">
        <v>3630</v>
      </c>
    </row>
    <row r="486" spans="1:9" ht="13.8" x14ac:dyDescent="0.25">
      <c r="A486" t="s">
        <v>126</v>
      </c>
      <c r="B486" t="s">
        <v>11</v>
      </c>
      <c r="C486" s="3" t="s">
        <v>12</v>
      </c>
      <c r="D486" s="4">
        <v>45195</v>
      </c>
      <c r="E486" s="4" t="s">
        <v>128</v>
      </c>
      <c r="F486">
        <v>400</v>
      </c>
      <c r="G486">
        <v>9672</v>
      </c>
      <c r="H486">
        <v>3936</v>
      </c>
      <c r="I486">
        <v>5736</v>
      </c>
    </row>
    <row r="487" spans="1:9" ht="13.8" x14ac:dyDescent="0.25">
      <c r="A487" t="s">
        <v>126</v>
      </c>
      <c r="B487" t="s">
        <v>11</v>
      </c>
      <c r="C487" s="3" t="s">
        <v>10</v>
      </c>
      <c r="D487" s="4">
        <v>45195</v>
      </c>
      <c r="E487" s="4" t="s">
        <v>128</v>
      </c>
      <c r="F487">
        <v>900</v>
      </c>
      <c r="G487">
        <v>22014</v>
      </c>
      <c r="H487">
        <v>9198</v>
      </c>
      <c r="I487">
        <v>12816</v>
      </c>
    </row>
    <row r="488" spans="1:9" ht="13.8" x14ac:dyDescent="0.25">
      <c r="A488" t="s">
        <v>16</v>
      </c>
      <c r="B488" t="s">
        <v>13</v>
      </c>
      <c r="C488" s="3" t="s">
        <v>15</v>
      </c>
      <c r="D488" s="4">
        <v>45196</v>
      </c>
      <c r="E488" s="4" t="s">
        <v>112</v>
      </c>
      <c r="F488">
        <v>1000</v>
      </c>
      <c r="G488">
        <v>18530</v>
      </c>
      <c r="H488">
        <v>8470</v>
      </c>
      <c r="I488">
        <v>10060</v>
      </c>
    </row>
    <row r="489" spans="1:9" ht="13.8" x14ac:dyDescent="0.25">
      <c r="A489" t="s">
        <v>129</v>
      </c>
      <c r="B489" t="s">
        <v>13</v>
      </c>
      <c r="C489" s="3" t="s">
        <v>12</v>
      </c>
      <c r="D489" s="4">
        <v>45196</v>
      </c>
      <c r="E489" s="4" t="s">
        <v>101</v>
      </c>
      <c r="F489">
        <v>600</v>
      </c>
      <c r="G489">
        <v>14004</v>
      </c>
      <c r="H489">
        <v>5904</v>
      </c>
      <c r="I489">
        <v>8100</v>
      </c>
    </row>
    <row r="490" spans="1:9" ht="13.8" x14ac:dyDescent="0.25">
      <c r="A490" t="s">
        <v>129</v>
      </c>
      <c r="B490" t="s">
        <v>13</v>
      </c>
      <c r="C490" s="3" t="s">
        <v>15</v>
      </c>
      <c r="D490" s="4">
        <v>45197</v>
      </c>
      <c r="E490" s="4" t="s">
        <v>101</v>
      </c>
      <c r="F490">
        <v>700</v>
      </c>
      <c r="G490">
        <v>13139</v>
      </c>
      <c r="H490">
        <v>5929</v>
      </c>
      <c r="I490">
        <v>7210</v>
      </c>
    </row>
    <row r="491" spans="1:9" ht="13.8" x14ac:dyDescent="0.25">
      <c r="A491" t="s">
        <v>131</v>
      </c>
      <c r="B491" t="s">
        <v>13</v>
      </c>
      <c r="C491" s="3" t="s">
        <v>15</v>
      </c>
      <c r="D491" s="4">
        <v>45198</v>
      </c>
      <c r="E491" s="4" t="s">
        <v>115</v>
      </c>
      <c r="F491">
        <v>500</v>
      </c>
      <c r="G491">
        <v>8715</v>
      </c>
      <c r="H491">
        <v>4235</v>
      </c>
      <c r="I491">
        <v>4480</v>
      </c>
    </row>
    <row r="492" spans="1:9" ht="13.8" x14ac:dyDescent="0.25">
      <c r="A492" t="s">
        <v>126</v>
      </c>
      <c r="B492" t="s">
        <v>11</v>
      </c>
      <c r="C492" s="3" t="s">
        <v>15</v>
      </c>
      <c r="D492" s="4">
        <v>45201</v>
      </c>
      <c r="E492" s="4" t="s">
        <v>109</v>
      </c>
      <c r="F492">
        <v>400</v>
      </c>
      <c r="G492">
        <v>6944</v>
      </c>
      <c r="H492">
        <v>3388</v>
      </c>
      <c r="I492">
        <v>3556</v>
      </c>
    </row>
    <row r="493" spans="1:9" ht="13.8" x14ac:dyDescent="0.25">
      <c r="A493" t="s">
        <v>129</v>
      </c>
      <c r="B493" t="s">
        <v>13</v>
      </c>
      <c r="C493" s="3" t="s">
        <v>10</v>
      </c>
      <c r="D493" s="4">
        <v>45202</v>
      </c>
      <c r="E493" s="4" t="s">
        <v>101</v>
      </c>
      <c r="F493">
        <v>500</v>
      </c>
      <c r="G493">
        <v>12760</v>
      </c>
      <c r="H493">
        <v>5110</v>
      </c>
      <c r="I493">
        <v>7650</v>
      </c>
    </row>
    <row r="494" spans="1:9" ht="13.8" x14ac:dyDescent="0.25">
      <c r="A494" t="s">
        <v>129</v>
      </c>
      <c r="B494" t="s">
        <v>13</v>
      </c>
      <c r="C494" s="3" t="s">
        <v>10</v>
      </c>
      <c r="D494" s="4">
        <v>45204</v>
      </c>
      <c r="E494" s="4" t="s">
        <v>101</v>
      </c>
      <c r="F494">
        <v>1000</v>
      </c>
      <c r="G494">
        <v>24070</v>
      </c>
      <c r="H494">
        <v>10220</v>
      </c>
      <c r="I494">
        <v>13850</v>
      </c>
    </row>
    <row r="495" spans="1:9" ht="13.8" x14ac:dyDescent="0.25">
      <c r="A495" t="s">
        <v>130</v>
      </c>
      <c r="B495" t="s">
        <v>9</v>
      </c>
      <c r="C495" s="3" t="s">
        <v>12</v>
      </c>
      <c r="D495" s="4">
        <v>45205</v>
      </c>
      <c r="E495" s="4" t="s">
        <v>105</v>
      </c>
      <c r="F495">
        <v>200</v>
      </c>
      <c r="G495">
        <v>4186</v>
      </c>
      <c r="H495">
        <v>1968</v>
      </c>
      <c r="I495">
        <v>2218</v>
      </c>
    </row>
    <row r="496" spans="1:9" ht="13.8" x14ac:dyDescent="0.25">
      <c r="A496" t="s">
        <v>130</v>
      </c>
      <c r="B496" t="s">
        <v>11</v>
      </c>
      <c r="C496" s="3" t="s">
        <v>15</v>
      </c>
      <c r="D496" s="4">
        <v>45206</v>
      </c>
      <c r="E496" s="4" t="s">
        <v>106</v>
      </c>
      <c r="F496">
        <v>700</v>
      </c>
      <c r="G496">
        <v>13195</v>
      </c>
      <c r="H496">
        <v>5929</v>
      </c>
      <c r="I496">
        <v>7266</v>
      </c>
    </row>
    <row r="497" spans="1:9" ht="13.8" x14ac:dyDescent="0.25">
      <c r="A497" t="s">
        <v>126</v>
      </c>
      <c r="B497" t="s">
        <v>11</v>
      </c>
      <c r="C497" s="3" t="s">
        <v>15</v>
      </c>
      <c r="D497" s="4">
        <v>45207</v>
      </c>
      <c r="E497" s="4" t="s">
        <v>128</v>
      </c>
      <c r="F497">
        <v>200</v>
      </c>
      <c r="G497">
        <v>3922</v>
      </c>
      <c r="H497">
        <v>1694</v>
      </c>
      <c r="I497">
        <v>2228</v>
      </c>
    </row>
    <row r="498" spans="1:9" ht="13.8" x14ac:dyDescent="0.25">
      <c r="A498" t="s">
        <v>131</v>
      </c>
      <c r="B498" t="s">
        <v>13</v>
      </c>
      <c r="C498" s="3" t="s">
        <v>12</v>
      </c>
      <c r="D498" s="4">
        <v>45208</v>
      </c>
      <c r="E498" s="4" t="s">
        <v>115</v>
      </c>
      <c r="F498">
        <v>1000</v>
      </c>
      <c r="G498">
        <v>23970</v>
      </c>
      <c r="H498">
        <v>9840</v>
      </c>
      <c r="I498">
        <v>14130</v>
      </c>
    </row>
    <row r="499" spans="1:9" ht="13.8" x14ac:dyDescent="0.25">
      <c r="A499" t="s">
        <v>16</v>
      </c>
      <c r="B499" t="s">
        <v>9</v>
      </c>
      <c r="C499" s="3" t="s">
        <v>15</v>
      </c>
      <c r="D499" s="4">
        <v>45210</v>
      </c>
      <c r="E499" s="4" t="s">
        <v>120</v>
      </c>
      <c r="F499">
        <v>500</v>
      </c>
      <c r="G499">
        <v>8940</v>
      </c>
      <c r="H499">
        <v>4235</v>
      </c>
      <c r="I499">
        <v>4705</v>
      </c>
    </row>
    <row r="500" spans="1:9" ht="13.8" x14ac:dyDescent="0.25">
      <c r="A500" t="s">
        <v>16</v>
      </c>
      <c r="B500" t="s">
        <v>13</v>
      </c>
      <c r="C500" s="3" t="s">
        <v>10</v>
      </c>
      <c r="D500" s="4">
        <v>45211</v>
      </c>
      <c r="E500" s="4" t="s">
        <v>112</v>
      </c>
      <c r="F500">
        <v>200</v>
      </c>
      <c r="G500">
        <v>5002</v>
      </c>
      <c r="H500">
        <v>2044</v>
      </c>
      <c r="I500">
        <v>2958</v>
      </c>
    </row>
    <row r="501" spans="1:9" ht="13.8" x14ac:dyDescent="0.25">
      <c r="A501" t="s">
        <v>130</v>
      </c>
      <c r="B501" t="s">
        <v>9</v>
      </c>
      <c r="C501" s="3" t="s">
        <v>15</v>
      </c>
      <c r="D501" s="4">
        <v>45213</v>
      </c>
      <c r="E501" s="4" t="s">
        <v>121</v>
      </c>
      <c r="F501">
        <v>1000</v>
      </c>
      <c r="G501">
        <v>17190</v>
      </c>
      <c r="H501">
        <v>8470</v>
      </c>
      <c r="I501">
        <v>8720</v>
      </c>
    </row>
    <row r="502" spans="1:9" ht="13.8" x14ac:dyDescent="0.25">
      <c r="A502" t="s">
        <v>126</v>
      </c>
      <c r="B502" t="s">
        <v>13</v>
      </c>
      <c r="C502" s="3" t="s">
        <v>10</v>
      </c>
      <c r="D502" s="4">
        <v>45215</v>
      </c>
      <c r="E502" s="4" t="s">
        <v>108</v>
      </c>
      <c r="F502">
        <v>900</v>
      </c>
      <c r="G502">
        <v>21042</v>
      </c>
      <c r="H502">
        <v>9198</v>
      </c>
      <c r="I502">
        <v>11844</v>
      </c>
    </row>
    <row r="503" spans="1:9" ht="13.8" x14ac:dyDescent="0.25">
      <c r="A503" t="s">
        <v>126</v>
      </c>
      <c r="B503" t="s">
        <v>11</v>
      </c>
      <c r="C503" s="3" t="s">
        <v>12</v>
      </c>
      <c r="D503" s="4">
        <v>45215</v>
      </c>
      <c r="E503" s="4" t="s">
        <v>107</v>
      </c>
      <c r="F503">
        <v>500</v>
      </c>
      <c r="G503">
        <v>11530</v>
      </c>
      <c r="H503">
        <v>4920</v>
      </c>
      <c r="I503">
        <v>6610</v>
      </c>
    </row>
    <row r="504" spans="1:9" ht="13.8" x14ac:dyDescent="0.25">
      <c r="A504" t="s">
        <v>16</v>
      </c>
      <c r="B504" t="s">
        <v>9</v>
      </c>
      <c r="C504" s="3" t="s">
        <v>15</v>
      </c>
      <c r="D504" s="4">
        <v>45216</v>
      </c>
      <c r="E504" s="4" t="s">
        <v>125</v>
      </c>
      <c r="F504">
        <v>800</v>
      </c>
      <c r="G504">
        <v>15312</v>
      </c>
      <c r="H504">
        <v>6776</v>
      </c>
      <c r="I504">
        <v>8536</v>
      </c>
    </row>
    <row r="505" spans="1:9" ht="13.8" x14ac:dyDescent="0.25">
      <c r="A505" t="s">
        <v>130</v>
      </c>
      <c r="B505" t="s">
        <v>11</v>
      </c>
      <c r="C505" s="3" t="s">
        <v>10</v>
      </c>
      <c r="D505" s="4">
        <v>45217</v>
      </c>
      <c r="E505" s="4" t="s">
        <v>106</v>
      </c>
      <c r="F505">
        <v>900</v>
      </c>
      <c r="G505">
        <v>19161</v>
      </c>
      <c r="H505">
        <v>9198</v>
      </c>
      <c r="I505">
        <v>9963</v>
      </c>
    </row>
    <row r="506" spans="1:9" ht="13.8" x14ac:dyDescent="0.25">
      <c r="A506" t="s">
        <v>126</v>
      </c>
      <c r="B506" t="s">
        <v>11</v>
      </c>
      <c r="C506" s="3" t="s">
        <v>10</v>
      </c>
      <c r="D506" s="4">
        <v>45218</v>
      </c>
      <c r="E506" s="4" t="s">
        <v>109</v>
      </c>
      <c r="F506">
        <v>500</v>
      </c>
      <c r="G506">
        <v>10940</v>
      </c>
      <c r="H506">
        <v>5110</v>
      </c>
      <c r="I506">
        <v>5830</v>
      </c>
    </row>
    <row r="507" spans="1:9" ht="13.8" x14ac:dyDescent="0.25">
      <c r="A507" t="s">
        <v>126</v>
      </c>
      <c r="B507" t="s">
        <v>9</v>
      </c>
      <c r="C507" s="3" t="s">
        <v>15</v>
      </c>
      <c r="D507" s="4">
        <v>45219</v>
      </c>
      <c r="E507" s="4" t="s">
        <v>100</v>
      </c>
      <c r="F507">
        <v>1000</v>
      </c>
      <c r="G507">
        <v>21010</v>
      </c>
      <c r="H507">
        <v>8470</v>
      </c>
      <c r="I507">
        <v>12540</v>
      </c>
    </row>
    <row r="508" spans="1:9" ht="13.8" x14ac:dyDescent="0.25">
      <c r="A508" t="s">
        <v>131</v>
      </c>
      <c r="B508" t="s">
        <v>13</v>
      </c>
      <c r="C508" s="3" t="s">
        <v>15</v>
      </c>
      <c r="D508" s="4">
        <v>45221</v>
      </c>
      <c r="E508" s="4" t="s">
        <v>115</v>
      </c>
      <c r="F508">
        <v>900</v>
      </c>
      <c r="G508">
        <v>18576</v>
      </c>
      <c r="H508">
        <v>7623</v>
      </c>
      <c r="I508">
        <v>10953</v>
      </c>
    </row>
    <row r="509" spans="1:9" ht="13.8" x14ac:dyDescent="0.25">
      <c r="A509" t="s">
        <v>126</v>
      </c>
      <c r="B509" t="s">
        <v>11</v>
      </c>
      <c r="C509" s="3" t="s">
        <v>12</v>
      </c>
      <c r="D509" s="4">
        <v>45221</v>
      </c>
      <c r="E509" s="4" t="s">
        <v>109</v>
      </c>
      <c r="F509">
        <v>200</v>
      </c>
      <c r="G509">
        <v>4484</v>
      </c>
      <c r="H509">
        <v>1968</v>
      </c>
      <c r="I509">
        <v>2516</v>
      </c>
    </row>
    <row r="510" spans="1:9" ht="13.8" x14ac:dyDescent="0.25">
      <c r="A510" t="s">
        <v>126</v>
      </c>
      <c r="B510" t="s">
        <v>11</v>
      </c>
      <c r="C510" s="3" t="s">
        <v>12</v>
      </c>
      <c r="D510" s="4">
        <v>45221</v>
      </c>
      <c r="E510" s="4" t="s">
        <v>128</v>
      </c>
      <c r="F510">
        <v>700</v>
      </c>
      <c r="G510">
        <v>13797</v>
      </c>
      <c r="H510">
        <v>6888</v>
      </c>
      <c r="I510">
        <v>6909</v>
      </c>
    </row>
    <row r="511" spans="1:9" ht="13.8" x14ac:dyDescent="0.25">
      <c r="A511" t="s">
        <v>126</v>
      </c>
      <c r="B511" t="s">
        <v>11</v>
      </c>
      <c r="C511" s="3" t="s">
        <v>15</v>
      </c>
      <c r="D511" s="4">
        <v>45222</v>
      </c>
      <c r="E511" s="4" t="s">
        <v>109</v>
      </c>
      <c r="F511">
        <v>700</v>
      </c>
      <c r="G511">
        <v>12131</v>
      </c>
      <c r="H511">
        <v>5929</v>
      </c>
      <c r="I511">
        <v>6202</v>
      </c>
    </row>
    <row r="512" spans="1:9" ht="13.8" x14ac:dyDescent="0.25">
      <c r="A512" t="s">
        <v>16</v>
      </c>
      <c r="B512" t="s">
        <v>13</v>
      </c>
      <c r="C512" s="3" t="s">
        <v>12</v>
      </c>
      <c r="D512" s="4">
        <v>45224</v>
      </c>
      <c r="E512" s="4" t="s">
        <v>112</v>
      </c>
      <c r="F512">
        <v>500</v>
      </c>
      <c r="G512">
        <v>11250</v>
      </c>
      <c r="H512">
        <v>4920</v>
      </c>
      <c r="I512">
        <v>6330</v>
      </c>
    </row>
    <row r="513" spans="1:9" ht="13.8" x14ac:dyDescent="0.25">
      <c r="A513" t="s">
        <v>126</v>
      </c>
      <c r="B513" t="s">
        <v>11</v>
      </c>
      <c r="C513" s="3" t="s">
        <v>12</v>
      </c>
      <c r="D513" s="4">
        <v>45225</v>
      </c>
      <c r="E513" s="4" t="s">
        <v>109</v>
      </c>
      <c r="F513">
        <v>500</v>
      </c>
      <c r="G513">
        <v>11430</v>
      </c>
      <c r="H513">
        <v>4920</v>
      </c>
      <c r="I513">
        <v>6510</v>
      </c>
    </row>
    <row r="514" spans="1:9" ht="13.8" x14ac:dyDescent="0.25">
      <c r="A514" t="s">
        <v>130</v>
      </c>
      <c r="B514" t="s">
        <v>9</v>
      </c>
      <c r="C514" s="3" t="s">
        <v>10</v>
      </c>
      <c r="D514" s="4">
        <v>45228</v>
      </c>
      <c r="E514" s="4" t="s">
        <v>105</v>
      </c>
      <c r="F514">
        <v>100</v>
      </c>
      <c r="G514">
        <v>2234</v>
      </c>
      <c r="H514">
        <v>1022</v>
      </c>
      <c r="I514">
        <v>1212</v>
      </c>
    </row>
    <row r="515" spans="1:9" ht="13.8" x14ac:dyDescent="0.25">
      <c r="A515" t="s">
        <v>130</v>
      </c>
      <c r="B515" t="s">
        <v>11</v>
      </c>
      <c r="C515" s="3" t="s">
        <v>10</v>
      </c>
      <c r="D515" s="4">
        <v>45230</v>
      </c>
      <c r="E515" s="4" t="s">
        <v>106</v>
      </c>
      <c r="F515">
        <v>100</v>
      </c>
      <c r="G515">
        <v>2092</v>
      </c>
      <c r="H515">
        <v>1022</v>
      </c>
      <c r="I515">
        <v>1070</v>
      </c>
    </row>
    <row r="516" spans="1:9" ht="13.8" x14ac:dyDescent="0.25">
      <c r="A516" t="s">
        <v>16</v>
      </c>
      <c r="B516" t="s">
        <v>13</v>
      </c>
      <c r="C516" s="3" t="s">
        <v>10</v>
      </c>
      <c r="D516" s="4">
        <v>45230</v>
      </c>
      <c r="E516" s="4" t="s">
        <v>112</v>
      </c>
      <c r="F516">
        <v>600</v>
      </c>
      <c r="G516">
        <v>13818</v>
      </c>
      <c r="H516">
        <v>6132</v>
      </c>
      <c r="I516">
        <v>7686</v>
      </c>
    </row>
    <row r="517" spans="1:9" ht="13.8" x14ac:dyDescent="0.25">
      <c r="A517" t="s">
        <v>16</v>
      </c>
      <c r="B517" t="s">
        <v>9</v>
      </c>
      <c r="C517" s="3" t="s">
        <v>10</v>
      </c>
      <c r="D517" s="4">
        <v>45234</v>
      </c>
      <c r="E517" s="4" t="s">
        <v>120</v>
      </c>
      <c r="F517">
        <v>600</v>
      </c>
      <c r="G517">
        <v>12612</v>
      </c>
      <c r="H517">
        <v>6132</v>
      </c>
      <c r="I517">
        <v>6480</v>
      </c>
    </row>
    <row r="518" spans="1:9" ht="13.8" x14ac:dyDescent="0.25">
      <c r="A518" t="s">
        <v>127</v>
      </c>
      <c r="B518" t="s">
        <v>11</v>
      </c>
      <c r="C518" s="3" t="s">
        <v>15</v>
      </c>
      <c r="D518" s="4">
        <v>45235</v>
      </c>
      <c r="E518" s="4" t="s">
        <v>123</v>
      </c>
      <c r="F518">
        <v>800</v>
      </c>
      <c r="G518">
        <v>15104</v>
      </c>
      <c r="H518">
        <v>6776</v>
      </c>
      <c r="I518">
        <v>8328</v>
      </c>
    </row>
    <row r="519" spans="1:9" ht="13.8" x14ac:dyDescent="0.25">
      <c r="A519" t="s">
        <v>16</v>
      </c>
      <c r="B519" t="s">
        <v>13</v>
      </c>
      <c r="C519" s="3" t="s">
        <v>10</v>
      </c>
      <c r="D519" s="4">
        <v>45238</v>
      </c>
      <c r="E519" s="4" t="s">
        <v>112</v>
      </c>
      <c r="F519">
        <v>700</v>
      </c>
      <c r="G519">
        <v>16576</v>
      </c>
      <c r="H519">
        <v>7154</v>
      </c>
      <c r="I519">
        <v>9422</v>
      </c>
    </row>
    <row r="520" spans="1:9" ht="13.8" x14ac:dyDescent="0.25">
      <c r="A520" t="s">
        <v>130</v>
      </c>
      <c r="B520" t="s">
        <v>9</v>
      </c>
      <c r="C520" s="3" t="s">
        <v>10</v>
      </c>
      <c r="D520" s="4">
        <v>45239</v>
      </c>
      <c r="E520" s="4" t="s">
        <v>105</v>
      </c>
      <c r="F520">
        <v>700</v>
      </c>
      <c r="G520">
        <v>17059</v>
      </c>
      <c r="H520">
        <v>7154</v>
      </c>
      <c r="I520">
        <v>9905</v>
      </c>
    </row>
    <row r="521" spans="1:9" ht="13.8" x14ac:dyDescent="0.25">
      <c r="A521" t="s">
        <v>126</v>
      </c>
      <c r="B521" t="s">
        <v>11</v>
      </c>
      <c r="C521" s="3" t="s">
        <v>12</v>
      </c>
      <c r="D521" s="4">
        <v>45243</v>
      </c>
      <c r="E521" s="4" t="s">
        <v>109</v>
      </c>
      <c r="F521">
        <v>800</v>
      </c>
      <c r="G521">
        <v>19424</v>
      </c>
      <c r="H521">
        <v>7872</v>
      </c>
      <c r="I521">
        <v>11552</v>
      </c>
    </row>
    <row r="522" spans="1:9" ht="13.8" x14ac:dyDescent="0.25">
      <c r="A522" t="s">
        <v>129</v>
      </c>
      <c r="B522" t="s">
        <v>13</v>
      </c>
      <c r="C522" s="3" t="s">
        <v>12</v>
      </c>
      <c r="D522" s="4">
        <v>45243</v>
      </c>
      <c r="E522" s="4" t="s">
        <v>101</v>
      </c>
      <c r="F522">
        <v>700</v>
      </c>
      <c r="G522">
        <v>14784</v>
      </c>
      <c r="H522">
        <v>6888</v>
      </c>
      <c r="I522">
        <v>7896</v>
      </c>
    </row>
    <row r="523" spans="1:9" ht="13.8" x14ac:dyDescent="0.25">
      <c r="A523" t="s">
        <v>126</v>
      </c>
      <c r="B523" t="s">
        <v>9</v>
      </c>
      <c r="C523" s="3" t="s">
        <v>12</v>
      </c>
      <c r="D523" s="4">
        <v>45244</v>
      </c>
      <c r="E523" s="4" t="s">
        <v>100</v>
      </c>
      <c r="F523">
        <v>1000</v>
      </c>
      <c r="G523">
        <v>21740</v>
      </c>
      <c r="H523">
        <v>9840</v>
      </c>
      <c r="I523">
        <v>11900</v>
      </c>
    </row>
    <row r="524" spans="1:9" ht="13.8" x14ac:dyDescent="0.25">
      <c r="A524" t="s">
        <v>126</v>
      </c>
      <c r="B524" t="s">
        <v>9</v>
      </c>
      <c r="C524" s="3" t="s">
        <v>12</v>
      </c>
      <c r="D524" s="4">
        <v>45245</v>
      </c>
      <c r="E524" s="4" t="s">
        <v>100</v>
      </c>
      <c r="F524">
        <v>900</v>
      </c>
      <c r="G524">
        <v>19674</v>
      </c>
      <c r="H524">
        <v>8856</v>
      </c>
      <c r="I524">
        <v>10818</v>
      </c>
    </row>
    <row r="525" spans="1:9" ht="13.8" x14ac:dyDescent="0.25">
      <c r="A525" t="s">
        <v>129</v>
      </c>
      <c r="B525" t="s">
        <v>13</v>
      </c>
      <c r="C525" s="3" t="s">
        <v>15</v>
      </c>
      <c r="D525" s="4">
        <v>45245</v>
      </c>
      <c r="E525" s="4" t="s">
        <v>101</v>
      </c>
      <c r="F525">
        <v>500</v>
      </c>
      <c r="G525">
        <v>8970</v>
      </c>
      <c r="H525">
        <v>4235</v>
      </c>
      <c r="I525">
        <v>4735</v>
      </c>
    </row>
    <row r="526" spans="1:9" ht="13.8" x14ac:dyDescent="0.25">
      <c r="A526" t="s">
        <v>130</v>
      </c>
      <c r="B526" t="s">
        <v>9</v>
      </c>
      <c r="C526" s="3" t="s">
        <v>10</v>
      </c>
      <c r="D526" s="4">
        <v>45247</v>
      </c>
      <c r="E526" s="4" t="s">
        <v>105</v>
      </c>
      <c r="F526">
        <v>600</v>
      </c>
      <c r="G526">
        <v>13680</v>
      </c>
      <c r="H526">
        <v>6132</v>
      </c>
      <c r="I526">
        <v>7548</v>
      </c>
    </row>
    <row r="527" spans="1:9" ht="13.8" x14ac:dyDescent="0.25">
      <c r="A527" t="s">
        <v>126</v>
      </c>
      <c r="B527" t="s">
        <v>11</v>
      </c>
      <c r="C527" s="3" t="s">
        <v>12</v>
      </c>
      <c r="D527" s="4">
        <v>45249</v>
      </c>
      <c r="E527" s="4" t="s">
        <v>109</v>
      </c>
      <c r="F527">
        <v>800</v>
      </c>
      <c r="G527">
        <v>17136</v>
      </c>
      <c r="H527">
        <v>7872</v>
      </c>
      <c r="I527">
        <v>9264</v>
      </c>
    </row>
    <row r="528" spans="1:9" ht="13.8" x14ac:dyDescent="0.25">
      <c r="A528" t="s">
        <v>129</v>
      </c>
      <c r="B528" t="s">
        <v>13</v>
      </c>
      <c r="C528" s="3" t="s">
        <v>15</v>
      </c>
      <c r="D528" s="4">
        <v>45250</v>
      </c>
      <c r="E528" s="4" t="s">
        <v>101</v>
      </c>
      <c r="F528">
        <v>400</v>
      </c>
      <c r="G528">
        <v>6880</v>
      </c>
      <c r="H528">
        <v>3388</v>
      </c>
      <c r="I528">
        <v>3492</v>
      </c>
    </row>
    <row r="529" spans="1:9" ht="13.8" x14ac:dyDescent="0.25">
      <c r="A529" t="s">
        <v>130</v>
      </c>
      <c r="B529" t="s">
        <v>9</v>
      </c>
      <c r="C529" s="3" t="s">
        <v>12</v>
      </c>
      <c r="D529" s="4">
        <v>45251</v>
      </c>
      <c r="E529" s="4" t="s">
        <v>105</v>
      </c>
      <c r="F529">
        <v>500</v>
      </c>
      <c r="G529">
        <v>11330</v>
      </c>
      <c r="H529">
        <v>4920</v>
      </c>
      <c r="I529">
        <v>6410</v>
      </c>
    </row>
    <row r="530" spans="1:9" ht="13.8" x14ac:dyDescent="0.25">
      <c r="A530" t="s">
        <v>16</v>
      </c>
      <c r="B530" t="s">
        <v>13</v>
      </c>
      <c r="C530" s="3" t="s">
        <v>12</v>
      </c>
      <c r="D530" s="4">
        <v>45252</v>
      </c>
      <c r="E530" s="4" t="s">
        <v>112</v>
      </c>
      <c r="F530">
        <v>200</v>
      </c>
      <c r="G530">
        <v>4412</v>
      </c>
      <c r="H530">
        <v>1968</v>
      </c>
      <c r="I530">
        <v>2444</v>
      </c>
    </row>
    <row r="531" spans="1:9" ht="13.8" x14ac:dyDescent="0.25">
      <c r="A531" t="s">
        <v>126</v>
      </c>
      <c r="B531" t="s">
        <v>11</v>
      </c>
      <c r="C531" s="3" t="s">
        <v>12</v>
      </c>
      <c r="D531" s="4">
        <v>45253</v>
      </c>
      <c r="E531" s="4" t="s">
        <v>109</v>
      </c>
      <c r="F531">
        <v>400</v>
      </c>
      <c r="G531">
        <v>9484</v>
      </c>
      <c r="H531">
        <v>3936</v>
      </c>
      <c r="I531">
        <v>5548</v>
      </c>
    </row>
    <row r="532" spans="1:9" ht="13.8" x14ac:dyDescent="0.25">
      <c r="A532" t="s">
        <v>126</v>
      </c>
      <c r="B532" t="s">
        <v>11</v>
      </c>
      <c r="C532" s="3" t="s">
        <v>12</v>
      </c>
      <c r="D532" s="4">
        <v>45254</v>
      </c>
      <c r="E532" s="4" t="s">
        <v>109</v>
      </c>
      <c r="F532">
        <v>400</v>
      </c>
      <c r="G532">
        <v>8204</v>
      </c>
      <c r="H532">
        <v>3936</v>
      </c>
      <c r="I532">
        <v>4268</v>
      </c>
    </row>
    <row r="533" spans="1:9" ht="13.8" x14ac:dyDescent="0.25">
      <c r="A533" t="s">
        <v>131</v>
      </c>
      <c r="B533" t="s">
        <v>14</v>
      </c>
      <c r="C533" s="3" t="s">
        <v>10</v>
      </c>
      <c r="D533" s="4">
        <v>45255</v>
      </c>
      <c r="E533" s="4" t="s">
        <v>124</v>
      </c>
      <c r="F533">
        <v>400</v>
      </c>
      <c r="G533">
        <v>8556</v>
      </c>
      <c r="H533">
        <v>4088</v>
      </c>
      <c r="I533">
        <v>4468</v>
      </c>
    </row>
    <row r="534" spans="1:9" ht="13.8" x14ac:dyDescent="0.25">
      <c r="A534" t="s">
        <v>126</v>
      </c>
      <c r="B534" t="s">
        <v>11</v>
      </c>
      <c r="C534" s="3" t="s">
        <v>12</v>
      </c>
      <c r="D534" s="4">
        <v>45258</v>
      </c>
      <c r="E534" s="4" t="s">
        <v>109</v>
      </c>
      <c r="F534">
        <v>400</v>
      </c>
      <c r="G534">
        <v>8464</v>
      </c>
      <c r="H534">
        <v>3936</v>
      </c>
      <c r="I534">
        <v>4528</v>
      </c>
    </row>
    <row r="535" spans="1:9" ht="13.8" x14ac:dyDescent="0.25">
      <c r="A535" t="s">
        <v>130</v>
      </c>
      <c r="B535" t="s">
        <v>9</v>
      </c>
      <c r="C535" s="3" t="s">
        <v>10</v>
      </c>
      <c r="D535" s="4">
        <v>45258</v>
      </c>
      <c r="E535" s="4" t="s">
        <v>105</v>
      </c>
      <c r="F535">
        <v>500</v>
      </c>
      <c r="G535">
        <v>11470</v>
      </c>
      <c r="H535">
        <v>5110</v>
      </c>
      <c r="I535">
        <v>6360</v>
      </c>
    </row>
    <row r="536" spans="1:9" ht="13.8" x14ac:dyDescent="0.25">
      <c r="A536" t="s">
        <v>126</v>
      </c>
      <c r="B536" t="s">
        <v>13</v>
      </c>
      <c r="C536" s="3" t="s">
        <v>12</v>
      </c>
      <c r="D536" s="4">
        <v>45259</v>
      </c>
      <c r="E536" s="4" t="s">
        <v>108</v>
      </c>
      <c r="F536">
        <v>600</v>
      </c>
      <c r="G536">
        <v>14154</v>
      </c>
      <c r="H536">
        <v>5904</v>
      </c>
      <c r="I536">
        <v>8250</v>
      </c>
    </row>
    <row r="537" spans="1:9" ht="13.8" x14ac:dyDescent="0.25">
      <c r="A537" t="s">
        <v>129</v>
      </c>
      <c r="B537" t="s">
        <v>13</v>
      </c>
      <c r="C537" s="3" t="s">
        <v>12</v>
      </c>
      <c r="D537" s="4">
        <v>45260</v>
      </c>
      <c r="E537" s="4" t="s">
        <v>101</v>
      </c>
      <c r="F537">
        <v>800</v>
      </c>
      <c r="G537">
        <v>19280</v>
      </c>
      <c r="H537">
        <v>7872</v>
      </c>
      <c r="I537">
        <v>11408</v>
      </c>
    </row>
    <row r="538" spans="1:9" ht="13.8" x14ac:dyDescent="0.25">
      <c r="A538" t="s">
        <v>130</v>
      </c>
      <c r="B538" t="s">
        <v>9</v>
      </c>
      <c r="C538" s="3" t="s">
        <v>10</v>
      </c>
      <c r="D538" s="4">
        <v>45261</v>
      </c>
      <c r="E538" s="4" t="s">
        <v>105</v>
      </c>
      <c r="F538">
        <v>900</v>
      </c>
      <c r="G538">
        <v>22887</v>
      </c>
      <c r="H538">
        <v>9198</v>
      </c>
      <c r="I538">
        <v>13689</v>
      </c>
    </row>
    <row r="539" spans="1:9" ht="13.8" x14ac:dyDescent="0.25">
      <c r="A539" t="s">
        <v>130</v>
      </c>
      <c r="B539" t="s">
        <v>11</v>
      </c>
      <c r="C539" s="3" t="s">
        <v>10</v>
      </c>
      <c r="D539" s="4">
        <v>45262</v>
      </c>
      <c r="E539" s="4" t="s">
        <v>106</v>
      </c>
      <c r="F539">
        <v>600</v>
      </c>
      <c r="G539">
        <v>13290</v>
      </c>
      <c r="H539">
        <v>6132</v>
      </c>
      <c r="I539">
        <v>7158</v>
      </c>
    </row>
    <row r="540" spans="1:9" ht="13.8" x14ac:dyDescent="0.25">
      <c r="A540" t="s">
        <v>16</v>
      </c>
      <c r="B540" t="s">
        <v>13</v>
      </c>
      <c r="C540" s="3" t="s">
        <v>12</v>
      </c>
      <c r="D540" s="4">
        <v>45262</v>
      </c>
      <c r="E540" s="4" t="s">
        <v>112</v>
      </c>
      <c r="F540">
        <v>1000</v>
      </c>
      <c r="G540">
        <v>20840</v>
      </c>
      <c r="H540">
        <v>9840</v>
      </c>
      <c r="I540">
        <v>11000</v>
      </c>
    </row>
    <row r="541" spans="1:9" ht="13.8" x14ac:dyDescent="0.25">
      <c r="A541" t="s">
        <v>129</v>
      </c>
      <c r="B541" t="s">
        <v>14</v>
      </c>
      <c r="C541" s="3" t="s">
        <v>10</v>
      </c>
      <c r="D541" s="4">
        <v>45265</v>
      </c>
      <c r="E541" s="4" t="s">
        <v>104</v>
      </c>
      <c r="F541">
        <v>800</v>
      </c>
      <c r="G541">
        <v>19544</v>
      </c>
      <c r="H541">
        <v>8176</v>
      </c>
      <c r="I541">
        <v>11368</v>
      </c>
    </row>
    <row r="542" spans="1:9" ht="13.8" x14ac:dyDescent="0.25">
      <c r="A542" t="s">
        <v>126</v>
      </c>
      <c r="B542" t="s">
        <v>11</v>
      </c>
      <c r="C542" s="3" t="s">
        <v>10</v>
      </c>
      <c r="D542" s="4">
        <v>45265</v>
      </c>
      <c r="E542" s="4" t="s">
        <v>109</v>
      </c>
      <c r="F542">
        <v>400</v>
      </c>
      <c r="G542">
        <v>8284</v>
      </c>
      <c r="H542">
        <v>4088</v>
      </c>
      <c r="I542">
        <v>4196</v>
      </c>
    </row>
    <row r="543" spans="1:9" ht="13.8" x14ac:dyDescent="0.25">
      <c r="A543" t="s">
        <v>126</v>
      </c>
      <c r="B543" t="s">
        <v>9</v>
      </c>
      <c r="C543" s="3" t="s">
        <v>10</v>
      </c>
      <c r="D543" s="4">
        <v>45265</v>
      </c>
      <c r="E543" s="4" t="s">
        <v>100</v>
      </c>
      <c r="F543">
        <v>800</v>
      </c>
      <c r="G543">
        <v>17496</v>
      </c>
      <c r="H543">
        <v>8176</v>
      </c>
      <c r="I543">
        <v>9320</v>
      </c>
    </row>
    <row r="544" spans="1:9" ht="13.8" x14ac:dyDescent="0.25">
      <c r="A544" t="s">
        <v>130</v>
      </c>
      <c r="B544" t="s">
        <v>9</v>
      </c>
      <c r="C544" s="3" t="s">
        <v>12</v>
      </c>
      <c r="D544" s="4">
        <v>45267</v>
      </c>
      <c r="E544" s="4" t="s">
        <v>105</v>
      </c>
      <c r="F544">
        <v>1000</v>
      </c>
      <c r="G544">
        <v>23690</v>
      </c>
      <c r="H544">
        <v>9840</v>
      </c>
      <c r="I544">
        <v>13850</v>
      </c>
    </row>
    <row r="545" spans="1:9" ht="13.8" x14ac:dyDescent="0.25">
      <c r="A545" t="s">
        <v>126</v>
      </c>
      <c r="B545" t="s">
        <v>11</v>
      </c>
      <c r="C545" s="3" t="s">
        <v>10</v>
      </c>
      <c r="D545" s="4">
        <v>45268</v>
      </c>
      <c r="E545" s="4" t="s">
        <v>109</v>
      </c>
      <c r="F545">
        <v>100</v>
      </c>
      <c r="G545">
        <v>2309</v>
      </c>
      <c r="H545">
        <v>1022</v>
      </c>
      <c r="I545">
        <v>1287</v>
      </c>
    </row>
    <row r="546" spans="1:9" ht="13.8" x14ac:dyDescent="0.25">
      <c r="A546" t="s">
        <v>131</v>
      </c>
      <c r="B546" t="s">
        <v>13</v>
      </c>
      <c r="C546" s="3" t="s">
        <v>10</v>
      </c>
      <c r="D546" s="4">
        <v>45269</v>
      </c>
      <c r="E546" s="4" t="s">
        <v>115</v>
      </c>
      <c r="F546">
        <v>900</v>
      </c>
      <c r="G546">
        <v>18756</v>
      </c>
      <c r="H546">
        <v>9198</v>
      </c>
      <c r="I546">
        <v>9558</v>
      </c>
    </row>
    <row r="547" spans="1:9" ht="13.8" x14ac:dyDescent="0.25">
      <c r="A547" t="s">
        <v>130</v>
      </c>
      <c r="B547" t="s">
        <v>9</v>
      </c>
      <c r="C547" s="3" t="s">
        <v>15</v>
      </c>
      <c r="D547" s="4">
        <v>45270</v>
      </c>
      <c r="E547" s="4" t="s">
        <v>105</v>
      </c>
      <c r="F547">
        <v>1000</v>
      </c>
      <c r="G547">
        <v>17410</v>
      </c>
      <c r="H547">
        <v>8470</v>
      </c>
      <c r="I547">
        <v>8940</v>
      </c>
    </row>
    <row r="548" spans="1:9" ht="13.8" x14ac:dyDescent="0.25">
      <c r="A548" t="s">
        <v>130</v>
      </c>
      <c r="B548" t="s">
        <v>9</v>
      </c>
      <c r="C548" s="3" t="s">
        <v>12</v>
      </c>
      <c r="D548" s="4">
        <v>45270</v>
      </c>
      <c r="E548" s="4" t="s">
        <v>105</v>
      </c>
      <c r="F548">
        <v>200</v>
      </c>
      <c r="G548">
        <v>4492</v>
      </c>
      <c r="H548">
        <v>1968</v>
      </c>
      <c r="I548">
        <v>2524</v>
      </c>
    </row>
    <row r="549" spans="1:9" ht="13.8" x14ac:dyDescent="0.25">
      <c r="A549" t="s">
        <v>126</v>
      </c>
      <c r="B549" t="s">
        <v>11</v>
      </c>
      <c r="C549" s="3" t="s">
        <v>12</v>
      </c>
      <c r="D549" s="4">
        <v>45271</v>
      </c>
      <c r="E549" s="4" t="s">
        <v>128</v>
      </c>
      <c r="F549">
        <v>200</v>
      </c>
      <c r="G549">
        <v>4696</v>
      </c>
      <c r="H549">
        <v>1968</v>
      </c>
      <c r="I549">
        <v>2728</v>
      </c>
    </row>
    <row r="550" spans="1:9" ht="13.8" x14ac:dyDescent="0.25">
      <c r="A550" t="s">
        <v>130</v>
      </c>
      <c r="B550" t="s">
        <v>11</v>
      </c>
      <c r="C550" s="3" t="s">
        <v>12</v>
      </c>
      <c r="D550" s="4">
        <v>45273</v>
      </c>
      <c r="E550" s="4" t="s">
        <v>106</v>
      </c>
      <c r="F550">
        <v>500</v>
      </c>
      <c r="G550">
        <v>10295</v>
      </c>
      <c r="H550">
        <v>4920</v>
      </c>
      <c r="I550">
        <v>5375</v>
      </c>
    </row>
    <row r="551" spans="1:9" ht="13.8" x14ac:dyDescent="0.25">
      <c r="A551" t="s">
        <v>126</v>
      </c>
      <c r="B551" t="s">
        <v>11</v>
      </c>
      <c r="C551" s="3" t="s">
        <v>10</v>
      </c>
      <c r="D551" s="4">
        <v>45275</v>
      </c>
      <c r="E551" s="4" t="s">
        <v>109</v>
      </c>
      <c r="F551">
        <v>1000</v>
      </c>
      <c r="G551">
        <v>25010</v>
      </c>
      <c r="H551">
        <v>10220</v>
      </c>
      <c r="I551">
        <v>14790</v>
      </c>
    </row>
    <row r="552" spans="1:9" ht="13.8" x14ac:dyDescent="0.25">
      <c r="A552" t="s">
        <v>126</v>
      </c>
      <c r="B552" t="s">
        <v>9</v>
      </c>
      <c r="C552" s="3" t="s">
        <v>10</v>
      </c>
      <c r="D552" s="4">
        <v>45275</v>
      </c>
      <c r="E552" s="4" t="s">
        <v>100</v>
      </c>
      <c r="F552">
        <v>500</v>
      </c>
      <c r="G552">
        <v>10380</v>
      </c>
      <c r="H552">
        <v>5110</v>
      </c>
      <c r="I552">
        <v>5270</v>
      </c>
    </row>
    <row r="553" spans="1:9" ht="13.8" x14ac:dyDescent="0.25">
      <c r="A553" t="s">
        <v>126</v>
      </c>
      <c r="B553" t="s">
        <v>11</v>
      </c>
      <c r="C553" s="3" t="s">
        <v>10</v>
      </c>
      <c r="D553" s="4">
        <v>45276</v>
      </c>
      <c r="E553" s="4" t="s">
        <v>107</v>
      </c>
      <c r="F553">
        <v>300</v>
      </c>
      <c r="G553">
        <v>6744</v>
      </c>
      <c r="H553">
        <v>3066</v>
      </c>
      <c r="I553">
        <v>3678</v>
      </c>
    </row>
    <row r="554" spans="1:9" ht="13.8" x14ac:dyDescent="0.25">
      <c r="A554" t="s">
        <v>126</v>
      </c>
      <c r="B554" t="s">
        <v>9</v>
      </c>
      <c r="C554" s="3" t="s">
        <v>15</v>
      </c>
      <c r="D554" s="4">
        <v>45278</v>
      </c>
      <c r="E554" s="4" t="s">
        <v>100</v>
      </c>
      <c r="F554">
        <v>700</v>
      </c>
      <c r="G554">
        <v>13552</v>
      </c>
      <c r="H554">
        <v>5929</v>
      </c>
      <c r="I554">
        <v>7623</v>
      </c>
    </row>
    <row r="555" spans="1:9" ht="13.8" x14ac:dyDescent="0.25">
      <c r="A555" t="s">
        <v>129</v>
      </c>
      <c r="B555" t="s">
        <v>13</v>
      </c>
      <c r="C555" s="3" t="s">
        <v>10</v>
      </c>
      <c r="D555" s="4">
        <v>45280</v>
      </c>
      <c r="E555" s="4" t="s">
        <v>101</v>
      </c>
      <c r="F555">
        <v>800</v>
      </c>
      <c r="G555">
        <v>18560</v>
      </c>
      <c r="H555">
        <v>8176</v>
      </c>
      <c r="I555">
        <v>10384</v>
      </c>
    </row>
    <row r="556" spans="1:9" ht="13.8" x14ac:dyDescent="0.25">
      <c r="A556" t="s">
        <v>16</v>
      </c>
      <c r="B556" t="s">
        <v>13</v>
      </c>
      <c r="C556" s="3" t="s">
        <v>15</v>
      </c>
      <c r="D556" s="4">
        <v>45281</v>
      </c>
      <c r="E556" s="4" t="s">
        <v>112</v>
      </c>
      <c r="F556">
        <v>300</v>
      </c>
      <c r="G556">
        <v>5847</v>
      </c>
      <c r="H556">
        <v>2541</v>
      </c>
      <c r="I556">
        <v>3306</v>
      </c>
    </row>
    <row r="557" spans="1:9" ht="13.8" x14ac:dyDescent="0.25">
      <c r="A557" t="s">
        <v>126</v>
      </c>
      <c r="B557" t="s">
        <v>13</v>
      </c>
      <c r="C557" s="3" t="s">
        <v>10</v>
      </c>
      <c r="D557" s="4">
        <v>45282</v>
      </c>
      <c r="E557" s="4" t="s">
        <v>108</v>
      </c>
      <c r="F557">
        <v>800</v>
      </c>
      <c r="G557">
        <v>18304</v>
      </c>
      <c r="H557">
        <v>8176</v>
      </c>
      <c r="I557">
        <v>10128</v>
      </c>
    </row>
    <row r="558" spans="1:9" ht="13.8" x14ac:dyDescent="0.25">
      <c r="A558" t="s">
        <v>16</v>
      </c>
      <c r="B558" t="s">
        <v>13</v>
      </c>
      <c r="C558" s="3" t="s">
        <v>10</v>
      </c>
      <c r="D558" s="4">
        <v>45283</v>
      </c>
      <c r="E558" s="4" t="s">
        <v>112</v>
      </c>
      <c r="F558">
        <v>700</v>
      </c>
      <c r="G558">
        <v>17199</v>
      </c>
      <c r="H558">
        <v>7154</v>
      </c>
      <c r="I558">
        <v>10045</v>
      </c>
    </row>
    <row r="559" spans="1:9" ht="13.8" x14ac:dyDescent="0.25">
      <c r="A559" t="s">
        <v>126</v>
      </c>
      <c r="B559" t="s">
        <v>11</v>
      </c>
      <c r="C559" s="3" t="s">
        <v>15</v>
      </c>
      <c r="D559" s="4">
        <v>45284</v>
      </c>
      <c r="E559" s="4" t="s">
        <v>107</v>
      </c>
      <c r="F559">
        <v>100</v>
      </c>
      <c r="G559">
        <v>1968</v>
      </c>
      <c r="H559">
        <v>847</v>
      </c>
      <c r="I559">
        <v>1121</v>
      </c>
    </row>
    <row r="560" spans="1:9" ht="13.8" x14ac:dyDescent="0.25">
      <c r="A560" t="s">
        <v>129</v>
      </c>
      <c r="B560" t="s">
        <v>13</v>
      </c>
      <c r="C560" s="3" t="s">
        <v>10</v>
      </c>
      <c r="D560" s="4">
        <v>45285</v>
      </c>
      <c r="E560" s="4" t="s">
        <v>101</v>
      </c>
      <c r="F560">
        <v>200</v>
      </c>
      <c r="G560">
        <v>4690</v>
      </c>
      <c r="H560">
        <v>2044</v>
      </c>
      <c r="I560">
        <v>2646</v>
      </c>
    </row>
    <row r="561" spans="1:9" ht="13.8" x14ac:dyDescent="0.25">
      <c r="A561" t="s">
        <v>130</v>
      </c>
      <c r="B561" t="s">
        <v>11</v>
      </c>
      <c r="C561" s="3" t="s">
        <v>10</v>
      </c>
      <c r="D561" s="4">
        <v>45287</v>
      </c>
      <c r="E561" s="4" t="s">
        <v>110</v>
      </c>
      <c r="F561">
        <v>500</v>
      </c>
      <c r="G561">
        <v>11680</v>
      </c>
      <c r="H561">
        <v>5110</v>
      </c>
      <c r="I561">
        <v>6570</v>
      </c>
    </row>
    <row r="562" spans="1:9" ht="13.8" x14ac:dyDescent="0.25">
      <c r="A562" t="s">
        <v>129</v>
      </c>
      <c r="B562" t="s">
        <v>13</v>
      </c>
      <c r="C562" s="3" t="s">
        <v>12</v>
      </c>
      <c r="D562" s="4">
        <v>45287</v>
      </c>
      <c r="E562" s="4" t="s">
        <v>101</v>
      </c>
      <c r="F562">
        <v>700</v>
      </c>
      <c r="G562">
        <v>14560</v>
      </c>
      <c r="H562">
        <v>6888</v>
      </c>
      <c r="I562">
        <v>7672</v>
      </c>
    </row>
    <row r="563" spans="1:9" ht="13.8" x14ac:dyDescent="0.25">
      <c r="A563" t="s">
        <v>131</v>
      </c>
      <c r="B563" t="s">
        <v>13</v>
      </c>
      <c r="C563" s="3" t="s">
        <v>10</v>
      </c>
      <c r="D563" s="4">
        <v>45288</v>
      </c>
      <c r="E563" s="4" t="s">
        <v>115</v>
      </c>
      <c r="F563">
        <v>700</v>
      </c>
      <c r="G563">
        <v>15225</v>
      </c>
      <c r="H563">
        <v>7154</v>
      </c>
      <c r="I563">
        <v>8071</v>
      </c>
    </row>
    <row r="564" spans="1:9" ht="13.8" x14ac:dyDescent="0.25">
      <c r="A564" t="s">
        <v>130</v>
      </c>
      <c r="B564" t="s">
        <v>9</v>
      </c>
      <c r="C564" s="3" t="s">
        <v>15</v>
      </c>
      <c r="D564" s="4">
        <v>45289</v>
      </c>
      <c r="E564" s="4" t="s">
        <v>105</v>
      </c>
      <c r="F564">
        <v>900</v>
      </c>
      <c r="G564">
        <v>15363</v>
      </c>
      <c r="H564">
        <v>7623</v>
      </c>
      <c r="I564">
        <v>7740</v>
      </c>
    </row>
  </sheetData>
  <sortState xmlns:xlrd2="http://schemas.microsoft.com/office/spreadsheetml/2017/richdata2" ref="A2:I564">
    <sortCondition ref="D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7"/>
  <sheetViews>
    <sheetView workbookViewId="0">
      <pane ySplit="4" topLeftCell="A5" activePane="bottomLeft" state="frozen"/>
      <selection pane="bottomLeft" activeCell="H5" sqref="H5"/>
    </sheetView>
  </sheetViews>
  <sheetFormatPr defaultRowHeight="13.8" x14ac:dyDescent="0.25"/>
  <cols>
    <col min="1" max="1" width="16.8984375" customWidth="1"/>
    <col min="2" max="2" width="10" customWidth="1"/>
    <col min="3" max="3" width="8.296875" customWidth="1"/>
    <col min="4" max="4" width="10.59765625" customWidth="1"/>
    <col min="5" max="5" width="9.59765625" customWidth="1"/>
    <col min="6" max="6" width="9.8984375" customWidth="1"/>
    <col min="7" max="7" width="5.296875" customWidth="1"/>
    <col min="8" max="8" width="10" customWidth="1"/>
    <col min="9" max="9" width="9.296875" customWidth="1"/>
    <col min="10" max="10" width="12.796875" customWidth="1"/>
    <col min="11" max="11" width="11" customWidth="1"/>
    <col min="12" max="4353" width="10" bestFit="1" customWidth="1"/>
    <col min="4354" max="4354" width="9.296875" bestFit="1" customWidth="1"/>
    <col min="4355" max="4355" width="12" bestFit="1" customWidth="1"/>
    <col min="4356" max="4356" width="12.09765625" bestFit="1" customWidth="1"/>
    <col min="4357" max="4357" width="13.19921875" bestFit="1" customWidth="1"/>
    <col min="4358" max="4358" width="11.296875" bestFit="1" customWidth="1"/>
    <col min="4359" max="4359" width="9.09765625" bestFit="1" customWidth="1"/>
    <col min="4360" max="4360" width="12.5" bestFit="1" customWidth="1"/>
    <col min="4361" max="4361" width="12.8984375" bestFit="1" customWidth="1"/>
  </cols>
  <sheetData>
    <row r="1" spans="1:10" ht="5.0999999999999996" customHeight="1" x14ac:dyDescent="0.25"/>
    <row r="2" spans="1:10" ht="14.4" x14ac:dyDescent="0.3">
      <c r="A2" s="8"/>
      <c r="B2" s="11" t="s">
        <v>38</v>
      </c>
      <c r="C2" s="12"/>
      <c r="D2" s="13"/>
      <c r="E2" s="11" t="s">
        <v>39</v>
      </c>
      <c r="F2" s="12"/>
      <c r="G2" s="12"/>
      <c r="H2" s="12"/>
      <c r="I2" s="12"/>
      <c r="J2" s="13"/>
    </row>
    <row r="3" spans="1:10" ht="5.0999999999999996" customHeight="1" x14ac:dyDescent="0.25"/>
    <row r="4" spans="1:10" x14ac:dyDescent="0.25">
      <c r="A4" s="5" t="s">
        <v>35</v>
      </c>
      <c r="B4" t="s">
        <v>146</v>
      </c>
      <c r="C4" t="s">
        <v>147</v>
      </c>
      <c r="D4" t="s">
        <v>148</v>
      </c>
      <c r="E4" t="s">
        <v>36</v>
      </c>
      <c r="F4" t="s">
        <v>149</v>
      </c>
      <c r="G4" s="9" t="s">
        <v>37</v>
      </c>
      <c r="H4" t="s">
        <v>150</v>
      </c>
      <c r="I4" t="s">
        <v>151</v>
      </c>
    </row>
    <row r="5" spans="1:10" x14ac:dyDescent="0.25">
      <c r="A5" t="s">
        <v>135</v>
      </c>
      <c r="B5" s="7">
        <v>2124612</v>
      </c>
      <c r="C5" s="7">
        <v>11301.127659574468</v>
      </c>
      <c r="D5" s="19">
        <v>188</v>
      </c>
      <c r="E5" s="10">
        <v>0.31673696281291125</v>
      </c>
      <c r="F5" s="10">
        <v>1.547471625112804</v>
      </c>
      <c r="G5">
        <v>1</v>
      </c>
      <c r="H5" s="7">
        <v>2124612</v>
      </c>
      <c r="I5" s="10">
        <v>0.31673696281291125</v>
      </c>
    </row>
    <row r="6" spans="1:10" x14ac:dyDescent="0.25">
      <c r="A6" t="s">
        <v>134</v>
      </c>
      <c r="B6" s="7">
        <v>1372957</v>
      </c>
      <c r="C6" s="7">
        <v>11835.836206896553</v>
      </c>
      <c r="D6" s="19">
        <v>116</v>
      </c>
      <c r="E6" s="10">
        <v>0.2046803040991608</v>
      </c>
      <c r="F6" s="10">
        <v>1</v>
      </c>
      <c r="G6">
        <v>2</v>
      </c>
      <c r="H6" s="7">
        <v>3497569</v>
      </c>
      <c r="I6" s="10">
        <v>0.52141726691207202</v>
      </c>
    </row>
    <row r="7" spans="1:10" x14ac:dyDescent="0.25">
      <c r="A7" t="s">
        <v>139</v>
      </c>
      <c r="B7" s="7">
        <v>869454</v>
      </c>
      <c r="C7" s="7">
        <v>13376.215384615385</v>
      </c>
      <c r="D7" s="19">
        <v>65</v>
      </c>
      <c r="E7" s="10">
        <v>0.1296181228692754</v>
      </c>
      <c r="F7" s="10">
        <v>0.63327110754379057</v>
      </c>
      <c r="G7">
        <v>3</v>
      </c>
      <c r="H7" s="7">
        <v>4367023</v>
      </c>
      <c r="I7" s="10">
        <v>0.65103538978134745</v>
      </c>
    </row>
    <row r="8" spans="1:10" x14ac:dyDescent="0.25">
      <c r="A8" t="s">
        <v>136</v>
      </c>
      <c r="B8" s="7">
        <v>796239</v>
      </c>
      <c r="C8" s="7">
        <v>10759.986486486487</v>
      </c>
      <c r="D8" s="19">
        <v>74</v>
      </c>
      <c r="E8" s="10">
        <v>0.11870323735966362</v>
      </c>
      <c r="F8" s="10">
        <v>0.57994460132400361</v>
      </c>
      <c r="G8">
        <v>4</v>
      </c>
      <c r="H8" s="7">
        <v>5163262</v>
      </c>
      <c r="I8" s="10">
        <v>0.76973862714101116</v>
      </c>
    </row>
    <row r="9" spans="1:10" x14ac:dyDescent="0.25">
      <c r="A9" t="s">
        <v>140</v>
      </c>
      <c r="B9" s="7">
        <v>530306</v>
      </c>
      <c r="C9" s="7">
        <v>12052.40909090909</v>
      </c>
      <c r="D9" s="19">
        <v>44</v>
      </c>
      <c r="E9" s="10">
        <v>7.90579700206267E-2</v>
      </c>
      <c r="F9" s="10">
        <v>0.38625098965226151</v>
      </c>
      <c r="G9">
        <v>5</v>
      </c>
      <c r="H9" s="7">
        <v>5693568</v>
      </c>
      <c r="I9" s="10">
        <v>0.8487965971616378</v>
      </c>
    </row>
    <row r="10" spans="1:10" x14ac:dyDescent="0.25">
      <c r="A10" t="s">
        <v>143</v>
      </c>
      <c r="B10" s="7">
        <v>406326</v>
      </c>
      <c r="C10" s="7">
        <v>14511.642857142857</v>
      </c>
      <c r="D10" s="19">
        <v>28</v>
      </c>
      <c r="E10" s="10">
        <v>6.0575042949921672E-2</v>
      </c>
      <c r="F10" s="10">
        <v>0.29594954539727025</v>
      </c>
      <c r="G10">
        <v>6</v>
      </c>
      <c r="H10" s="7">
        <v>6099894</v>
      </c>
      <c r="I10" s="10">
        <v>0.90937164011155946</v>
      </c>
    </row>
    <row r="11" spans="1:10" x14ac:dyDescent="0.25">
      <c r="A11" t="s">
        <v>138</v>
      </c>
      <c r="B11" s="7">
        <v>200201</v>
      </c>
      <c r="C11" s="7">
        <v>12512.5625</v>
      </c>
      <c r="D11" s="19">
        <v>16</v>
      </c>
      <c r="E11" s="10">
        <v>2.984594678562846E-2</v>
      </c>
      <c r="F11" s="10">
        <v>0.14581738539517261</v>
      </c>
      <c r="G11">
        <v>7</v>
      </c>
      <c r="H11" s="7">
        <v>6300095</v>
      </c>
      <c r="I11" s="10">
        <v>0.93921758689718793</v>
      </c>
    </row>
    <row r="12" spans="1:10" x14ac:dyDescent="0.25">
      <c r="A12" t="s">
        <v>141</v>
      </c>
      <c r="B12" s="7">
        <v>184425</v>
      </c>
      <c r="C12" s="7">
        <v>15368.75</v>
      </c>
      <c r="D12" s="19">
        <v>12</v>
      </c>
      <c r="E12" s="10">
        <v>2.7494062147239665E-2</v>
      </c>
      <c r="F12" s="10">
        <v>0.13432685801521824</v>
      </c>
      <c r="G12">
        <v>8</v>
      </c>
      <c r="H12" s="7">
        <v>6484520</v>
      </c>
      <c r="I12" s="10">
        <v>0.96671164904442763</v>
      </c>
    </row>
    <row r="13" spans="1:10" x14ac:dyDescent="0.25">
      <c r="A13" t="s">
        <v>142</v>
      </c>
      <c r="B13" s="7">
        <v>107016</v>
      </c>
      <c r="C13" s="7">
        <v>13377</v>
      </c>
      <c r="D13" s="19">
        <v>8</v>
      </c>
      <c r="E13" s="10">
        <v>1.5953935500875694E-2</v>
      </c>
      <c r="F13" s="10">
        <v>7.7945631217874997E-2</v>
      </c>
      <c r="G13">
        <v>9</v>
      </c>
      <c r="H13" s="7">
        <v>6591536</v>
      </c>
      <c r="I13" s="10">
        <v>0.98266558454530328</v>
      </c>
    </row>
    <row r="14" spans="1:10" x14ac:dyDescent="0.25">
      <c r="A14" t="s">
        <v>137</v>
      </c>
      <c r="B14" s="7">
        <v>42316</v>
      </c>
      <c r="C14" s="7">
        <v>10579</v>
      </c>
      <c r="D14" s="19">
        <v>4</v>
      </c>
      <c r="E14" s="10">
        <v>6.3084654131630403E-3</v>
      </c>
      <c r="F14" s="10">
        <v>3.082106722934513E-2</v>
      </c>
      <c r="G14">
        <v>10</v>
      </c>
      <c r="H14" s="7">
        <v>6633852</v>
      </c>
      <c r="I14" s="10">
        <v>0.98897404995846638</v>
      </c>
    </row>
    <row r="15" spans="1:10" x14ac:dyDescent="0.25">
      <c r="A15" t="s">
        <v>145</v>
      </c>
      <c r="B15" s="7">
        <v>39250</v>
      </c>
      <c r="C15" s="7">
        <v>9812.5</v>
      </c>
      <c r="D15" s="19">
        <v>4</v>
      </c>
      <c r="E15" s="10">
        <v>5.8513864133341838E-3</v>
      </c>
      <c r="F15" s="10">
        <v>2.8587931013134425E-2</v>
      </c>
      <c r="G15">
        <v>11</v>
      </c>
      <c r="H15" s="7">
        <v>6673102</v>
      </c>
      <c r="I15" s="10">
        <v>0.99482543637180054</v>
      </c>
    </row>
    <row r="16" spans="1:10" x14ac:dyDescent="0.25">
      <c r="A16" t="s">
        <v>144</v>
      </c>
      <c r="B16" s="7">
        <v>34710</v>
      </c>
      <c r="C16" s="7">
        <v>8677.5</v>
      </c>
      <c r="D16" s="19">
        <v>4</v>
      </c>
      <c r="E16" s="10">
        <v>5.1745636281994786E-3</v>
      </c>
      <c r="F16" s="10">
        <v>2.5281199629704352E-2</v>
      </c>
      <c r="G16">
        <v>12</v>
      </c>
      <c r="H16" s="7">
        <v>6707812</v>
      </c>
      <c r="I16" s="10">
        <v>1</v>
      </c>
    </row>
    <row r="17" spans="1:9" x14ac:dyDescent="0.25">
      <c r="A17" t="s">
        <v>19</v>
      </c>
      <c r="B17" s="7">
        <v>6707812</v>
      </c>
      <c r="C17" s="7">
        <v>11914.408525754885</v>
      </c>
      <c r="D17" s="19">
        <v>563</v>
      </c>
      <c r="E17" s="10">
        <v>1</v>
      </c>
      <c r="F17" s="10"/>
      <c r="H17" s="7"/>
      <c r="I17" s="1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3:E20"/>
  <sheetViews>
    <sheetView workbookViewId="0">
      <selection activeCell="D20" sqref="D20"/>
    </sheetView>
  </sheetViews>
  <sheetFormatPr defaultRowHeight="13.8" x14ac:dyDescent="0.25"/>
  <cols>
    <col min="1" max="1" width="15.796875" customWidth="1"/>
    <col min="2" max="2" width="11.8984375" customWidth="1"/>
    <col min="3" max="3" width="14.5" customWidth="1"/>
    <col min="4" max="4" width="15.8984375" customWidth="1"/>
    <col min="5" max="5" width="9.59765625" customWidth="1"/>
    <col min="6" max="6" width="10.296875" customWidth="1"/>
    <col min="7" max="7" width="7.59765625" customWidth="1"/>
    <col min="8" max="8" width="8.59765625" bestFit="1" customWidth="1"/>
    <col min="9" max="9" width="12.8984375" bestFit="1" customWidth="1"/>
    <col min="10" max="10" width="6.19921875" customWidth="1"/>
    <col min="11" max="11" width="10.796875" customWidth="1"/>
    <col min="12" max="12" width="6.296875" customWidth="1"/>
    <col min="13" max="13" width="13.59765625" customWidth="1"/>
    <col min="14" max="14" width="13.59765625" bestFit="1" customWidth="1"/>
    <col min="15" max="15" width="14.296875" customWidth="1"/>
    <col min="16" max="16" width="10.8984375" bestFit="1" customWidth="1"/>
    <col min="17" max="17" width="6.296875" customWidth="1"/>
    <col min="18" max="18" width="14.3984375" bestFit="1" customWidth="1"/>
    <col min="19" max="19" width="9.8984375" bestFit="1" customWidth="1"/>
    <col min="20" max="20" width="6.19921875" bestFit="1" customWidth="1"/>
    <col min="21" max="21" width="9" customWidth="1"/>
    <col min="22" max="22" width="5.5" customWidth="1"/>
    <col min="23" max="23" width="15.296875" bestFit="1" customWidth="1"/>
    <col min="24" max="24" width="5.8984375" customWidth="1"/>
    <col min="25" max="25" width="12.09765625" customWidth="1"/>
    <col min="26" max="26" width="7.09765625" customWidth="1"/>
    <col min="27" max="27" width="8.59765625" customWidth="1"/>
    <col min="28" max="28" width="10.296875" bestFit="1" customWidth="1"/>
    <col min="29" max="29" width="10.19921875" customWidth="1"/>
    <col min="30" max="30" width="7.19921875" bestFit="1" customWidth="1"/>
    <col min="31" max="31" width="10.8984375" bestFit="1" customWidth="1"/>
    <col min="32" max="32" width="6.19921875" bestFit="1" customWidth="1"/>
    <col min="33" max="33" width="5.8984375" bestFit="1" customWidth="1"/>
    <col min="34" max="34" width="8.59765625" bestFit="1" customWidth="1"/>
    <col min="35" max="35" width="9.8984375" bestFit="1" customWidth="1"/>
    <col min="36" max="36" width="10.19921875" bestFit="1" customWidth="1"/>
  </cols>
  <sheetData>
    <row r="3" spans="1:5" x14ac:dyDescent="0.25">
      <c r="A3" s="5" t="s">
        <v>1</v>
      </c>
      <c r="B3" s="5" t="s">
        <v>34</v>
      </c>
      <c r="C3" s="9" t="s">
        <v>60</v>
      </c>
      <c r="D3" s="9" t="s">
        <v>59</v>
      </c>
      <c r="E3" s="9" t="s">
        <v>36</v>
      </c>
    </row>
    <row r="4" spans="1:5" x14ac:dyDescent="0.25">
      <c r="A4" t="s">
        <v>9</v>
      </c>
      <c r="B4" t="s">
        <v>22</v>
      </c>
      <c r="C4" s="7">
        <v>184425</v>
      </c>
      <c r="D4" s="10">
        <v>0.10590470787125938</v>
      </c>
      <c r="E4" s="10">
        <v>2.7494062147239665E-2</v>
      </c>
    </row>
    <row r="5" spans="1:5" x14ac:dyDescent="0.25">
      <c r="B5" t="s">
        <v>25</v>
      </c>
      <c r="C5" s="7">
        <v>107016</v>
      </c>
      <c r="D5" s="10">
        <v>6.1453155578423173E-2</v>
      </c>
      <c r="E5" s="10">
        <v>1.5953935500875694E-2</v>
      </c>
    </row>
    <row r="6" spans="1:5" x14ac:dyDescent="0.25">
      <c r="B6" t="s">
        <v>24</v>
      </c>
      <c r="C6" s="7">
        <v>1372957</v>
      </c>
      <c r="D6" s="10">
        <v>0.78841051920726946</v>
      </c>
      <c r="E6" s="10">
        <v>0.2046803040991608</v>
      </c>
    </row>
    <row r="7" spans="1:5" x14ac:dyDescent="0.25">
      <c r="B7" t="s">
        <v>23</v>
      </c>
      <c r="C7" s="7">
        <v>42316</v>
      </c>
      <c r="D7" s="10">
        <v>2.4299653616810152E-2</v>
      </c>
      <c r="E7" s="10">
        <v>6.3084654131630403E-3</v>
      </c>
    </row>
    <row r="8" spans="1:5" x14ac:dyDescent="0.25">
      <c r="B8" t="s">
        <v>26</v>
      </c>
      <c r="C8" s="7">
        <v>34710</v>
      </c>
      <c r="D8" s="10">
        <v>1.9931963726237838E-2</v>
      </c>
      <c r="E8" s="10">
        <v>5.1745636281994786E-3</v>
      </c>
    </row>
    <row r="9" spans="1:5" x14ac:dyDescent="0.25">
      <c r="A9" t="s">
        <v>55</v>
      </c>
      <c r="C9" s="7">
        <v>1741424</v>
      </c>
      <c r="D9" s="10">
        <v>0.25961133078863868</v>
      </c>
      <c r="E9" s="10">
        <v>0.25961133078863868</v>
      </c>
    </row>
    <row r="10" spans="1:5" x14ac:dyDescent="0.25">
      <c r="A10" t="s">
        <v>11</v>
      </c>
      <c r="B10" t="s">
        <v>27</v>
      </c>
      <c r="C10" s="7">
        <v>2124612</v>
      </c>
      <c r="D10" s="10">
        <v>1</v>
      </c>
      <c r="E10" s="10">
        <v>0.31673696281291125</v>
      </c>
    </row>
    <row r="11" spans="1:5" x14ac:dyDescent="0.25">
      <c r="A11" t="s">
        <v>56</v>
      </c>
      <c r="C11" s="7">
        <v>2124612</v>
      </c>
      <c r="D11" s="10">
        <v>0.31673696281291125</v>
      </c>
      <c r="E11" s="10">
        <v>0.31673696281291125</v>
      </c>
    </row>
    <row r="12" spans="1:5" x14ac:dyDescent="0.25">
      <c r="A12" t="s">
        <v>13</v>
      </c>
      <c r="B12" t="s">
        <v>32</v>
      </c>
      <c r="C12" s="7">
        <v>869454</v>
      </c>
      <c r="D12" s="10">
        <v>0.33410661619897591</v>
      </c>
      <c r="E12" s="10">
        <v>0.1296181228692754</v>
      </c>
    </row>
    <row r="13" spans="1:5" x14ac:dyDescent="0.25">
      <c r="B13" t="s">
        <v>28</v>
      </c>
      <c r="C13" s="7">
        <v>530306</v>
      </c>
      <c r="D13" s="10">
        <v>0.20378161836050454</v>
      </c>
      <c r="E13" s="10">
        <v>7.90579700206267E-2</v>
      </c>
    </row>
    <row r="14" spans="1:5" x14ac:dyDescent="0.25">
      <c r="B14" t="s">
        <v>29</v>
      </c>
      <c r="C14" s="7">
        <v>406326</v>
      </c>
      <c r="D14" s="10">
        <v>0.1561396059293132</v>
      </c>
      <c r="E14" s="10">
        <v>6.0575042949921672E-2</v>
      </c>
    </row>
    <row r="15" spans="1:5" x14ac:dyDescent="0.25">
      <c r="B15" t="s">
        <v>30</v>
      </c>
      <c r="C15" s="7">
        <v>796239</v>
      </c>
      <c r="D15" s="10">
        <v>0.30597215951120632</v>
      </c>
      <c r="E15" s="10">
        <v>0.11870323735966362</v>
      </c>
    </row>
    <row r="16" spans="1:5" x14ac:dyDescent="0.25">
      <c r="A16" t="s">
        <v>57</v>
      </c>
      <c r="C16" s="7">
        <v>2602325</v>
      </c>
      <c r="D16" s="10">
        <v>0.38795437319948739</v>
      </c>
      <c r="E16" s="10">
        <v>0.38795437319948739</v>
      </c>
    </row>
    <row r="17" spans="1:5" x14ac:dyDescent="0.25">
      <c r="A17" t="s">
        <v>14</v>
      </c>
      <c r="B17" t="s">
        <v>31</v>
      </c>
      <c r="C17" s="7">
        <v>200201</v>
      </c>
      <c r="D17" s="10">
        <v>0.83608337405147604</v>
      </c>
      <c r="E17" s="10">
        <v>2.984594678562846E-2</v>
      </c>
    </row>
    <row r="18" spans="1:5" x14ac:dyDescent="0.25">
      <c r="B18" t="s">
        <v>33</v>
      </c>
      <c r="C18" s="7">
        <v>39250</v>
      </c>
      <c r="D18" s="10">
        <v>0.16391662594852391</v>
      </c>
      <c r="E18" s="10">
        <v>5.8513864133341838E-3</v>
      </c>
    </row>
    <row r="19" spans="1:5" x14ac:dyDescent="0.25">
      <c r="A19" t="s">
        <v>58</v>
      </c>
      <c r="C19" s="7">
        <v>239451</v>
      </c>
      <c r="D19" s="10">
        <v>3.5697333198962643E-2</v>
      </c>
      <c r="E19" s="10">
        <v>3.5697333198962643E-2</v>
      </c>
    </row>
    <row r="20" spans="1:5" x14ac:dyDescent="0.25">
      <c r="A20" t="s">
        <v>19</v>
      </c>
      <c r="C20" s="7">
        <v>6707812</v>
      </c>
      <c r="D20" s="10">
        <v>1</v>
      </c>
      <c r="E20" s="10">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54B12-D121-4A81-BD30-455F256C0968}">
  <dimension ref="A3:J16"/>
  <sheetViews>
    <sheetView workbookViewId="0">
      <selection activeCell="J3" sqref="J3"/>
    </sheetView>
  </sheetViews>
  <sheetFormatPr defaultRowHeight="13.8" x14ac:dyDescent="0.25"/>
  <cols>
    <col min="1" max="1" width="15.59765625" bestFit="1" customWidth="1"/>
    <col min="2" max="2" width="13.5" bestFit="1" customWidth="1"/>
    <col min="3" max="3" width="8.19921875" bestFit="1" customWidth="1"/>
    <col min="4" max="4" width="10.796875" bestFit="1" customWidth="1"/>
    <col min="5" max="6" width="9.69921875" bestFit="1" customWidth="1"/>
    <col min="7" max="7" width="5.59765625" bestFit="1" customWidth="1"/>
    <col min="8" max="8" width="13.3984375" bestFit="1" customWidth="1"/>
    <col min="9" max="9" width="15.59765625" bestFit="1" customWidth="1"/>
    <col min="10" max="10" width="25.09765625" bestFit="1" customWidth="1"/>
  </cols>
  <sheetData>
    <row r="3" spans="1:10" x14ac:dyDescent="0.25">
      <c r="A3" s="5" t="s">
        <v>18</v>
      </c>
      <c r="B3" t="s">
        <v>60</v>
      </c>
      <c r="C3" t="s">
        <v>147</v>
      </c>
      <c r="D3" t="s">
        <v>148</v>
      </c>
      <c r="E3" t="s">
        <v>36</v>
      </c>
      <c r="F3" t="s">
        <v>149</v>
      </c>
      <c r="G3" t="s">
        <v>37</v>
      </c>
      <c r="H3" t="s">
        <v>192</v>
      </c>
      <c r="I3" t="s">
        <v>193</v>
      </c>
      <c r="J3" t="s">
        <v>194</v>
      </c>
    </row>
    <row r="4" spans="1:10" x14ac:dyDescent="0.25">
      <c r="A4" s="6" t="s">
        <v>134</v>
      </c>
      <c r="B4" s="7">
        <v>1372957</v>
      </c>
      <c r="C4" s="7">
        <v>11835.836206896553</v>
      </c>
      <c r="D4" s="54">
        <v>116</v>
      </c>
      <c r="E4" s="10">
        <v>0.2046803040991608</v>
      </c>
      <c r="F4" s="10">
        <v>1</v>
      </c>
      <c r="G4" s="54">
        <v>2</v>
      </c>
      <c r="H4" s="54">
        <v>1372957</v>
      </c>
      <c r="I4" s="10">
        <v>0.2046803040991608</v>
      </c>
      <c r="J4" s="10"/>
    </row>
    <row r="5" spans="1:10" x14ac:dyDescent="0.25">
      <c r="A5" s="6" t="s">
        <v>135</v>
      </c>
      <c r="B5" s="7">
        <v>2124612</v>
      </c>
      <c r="C5" s="7">
        <v>11301.127659574468</v>
      </c>
      <c r="D5" s="54">
        <v>188</v>
      </c>
      <c r="E5" s="10">
        <v>0.31673696281291125</v>
      </c>
      <c r="F5" s="10">
        <v>1.547471625112804</v>
      </c>
      <c r="G5" s="54">
        <v>1</v>
      </c>
      <c r="H5" s="54">
        <v>3497569</v>
      </c>
      <c r="I5" s="10">
        <v>0.52141726691207202</v>
      </c>
      <c r="J5" s="10">
        <v>0.54747162511280401</v>
      </c>
    </row>
    <row r="6" spans="1:10" x14ac:dyDescent="0.25">
      <c r="A6" s="6" t="s">
        <v>136</v>
      </c>
      <c r="B6" s="7">
        <v>796239</v>
      </c>
      <c r="C6" s="7">
        <v>10759.986486486487</v>
      </c>
      <c r="D6" s="54">
        <v>74</v>
      </c>
      <c r="E6" s="10">
        <v>0.11870323735966362</v>
      </c>
      <c r="F6" s="10">
        <v>0.57994460132400361</v>
      </c>
      <c r="G6" s="54">
        <v>4</v>
      </c>
      <c r="H6" s="54">
        <v>4293808</v>
      </c>
      <c r="I6" s="10">
        <v>0.64012050427173572</v>
      </c>
      <c r="J6" s="10">
        <v>-0.62523086568276942</v>
      </c>
    </row>
    <row r="7" spans="1:10" x14ac:dyDescent="0.25">
      <c r="A7" s="6" t="s">
        <v>137</v>
      </c>
      <c r="B7" s="7">
        <v>42316</v>
      </c>
      <c r="C7" s="7">
        <v>10579</v>
      </c>
      <c r="D7" s="54">
        <v>4</v>
      </c>
      <c r="E7" s="10">
        <v>6.3084654131630403E-3</v>
      </c>
      <c r="F7" s="10">
        <v>3.082106722934513E-2</v>
      </c>
      <c r="G7" s="54">
        <v>10</v>
      </c>
      <c r="H7" s="54">
        <v>4336124</v>
      </c>
      <c r="I7" s="10">
        <v>0.64642896968489871</v>
      </c>
      <c r="J7" s="10">
        <v>-0.94685515278704002</v>
      </c>
    </row>
    <row r="8" spans="1:10" x14ac:dyDescent="0.25">
      <c r="A8" s="6" t="s">
        <v>138</v>
      </c>
      <c r="B8" s="7">
        <v>200201</v>
      </c>
      <c r="C8" s="7">
        <v>12512.5625</v>
      </c>
      <c r="D8" s="54">
        <v>16</v>
      </c>
      <c r="E8" s="10">
        <v>2.984594678562846E-2</v>
      </c>
      <c r="F8" s="10">
        <v>0.14581738539517261</v>
      </c>
      <c r="G8" s="54">
        <v>7</v>
      </c>
      <c r="H8" s="54">
        <v>4536325</v>
      </c>
      <c r="I8" s="10">
        <v>0.67627491647052718</v>
      </c>
      <c r="J8" s="10">
        <v>3.731094621419794</v>
      </c>
    </row>
    <row r="9" spans="1:10" x14ac:dyDescent="0.25">
      <c r="A9" s="6" t="s">
        <v>139</v>
      </c>
      <c r="B9" s="7">
        <v>869454</v>
      </c>
      <c r="C9" s="7">
        <v>13376.215384615385</v>
      </c>
      <c r="D9" s="54">
        <v>65</v>
      </c>
      <c r="E9" s="10">
        <v>0.1296181228692754</v>
      </c>
      <c r="F9" s="10">
        <v>0.63327110754379057</v>
      </c>
      <c r="G9" s="54">
        <v>3</v>
      </c>
      <c r="H9" s="54">
        <v>5405779</v>
      </c>
      <c r="I9" s="10">
        <v>0.80589303933980261</v>
      </c>
      <c r="J9" s="10">
        <v>3.3429053800930064</v>
      </c>
    </row>
    <row r="10" spans="1:10" x14ac:dyDescent="0.25">
      <c r="A10" s="6" t="s">
        <v>140</v>
      </c>
      <c r="B10" s="7">
        <v>530306</v>
      </c>
      <c r="C10" s="7">
        <v>12052.40909090909</v>
      </c>
      <c r="D10" s="54">
        <v>44</v>
      </c>
      <c r="E10" s="10">
        <v>7.90579700206267E-2</v>
      </c>
      <c r="F10" s="10">
        <v>0.38625098965226151</v>
      </c>
      <c r="G10" s="54">
        <v>5</v>
      </c>
      <c r="H10" s="54">
        <v>5936085</v>
      </c>
      <c r="I10" s="10">
        <v>0.88495100936042925</v>
      </c>
      <c r="J10" s="10">
        <v>-0.39007008996450648</v>
      </c>
    </row>
    <row r="11" spans="1:10" x14ac:dyDescent="0.25">
      <c r="A11" s="6" t="s">
        <v>141</v>
      </c>
      <c r="B11" s="7">
        <v>184425</v>
      </c>
      <c r="C11" s="7">
        <v>15368.75</v>
      </c>
      <c r="D11" s="54">
        <v>12</v>
      </c>
      <c r="E11" s="10">
        <v>2.7494062147239665E-2</v>
      </c>
      <c r="F11" s="10">
        <v>0.13432685801521824</v>
      </c>
      <c r="G11" s="54">
        <v>8</v>
      </c>
      <c r="H11" s="54">
        <v>6120510</v>
      </c>
      <c r="I11" s="10">
        <v>0.91244507150766896</v>
      </c>
      <c r="J11" s="10">
        <v>-0.65222909037423671</v>
      </c>
    </row>
    <row r="12" spans="1:10" x14ac:dyDescent="0.25">
      <c r="A12" s="6" t="s">
        <v>142</v>
      </c>
      <c r="B12" s="7">
        <v>107016</v>
      </c>
      <c r="C12" s="7">
        <v>13377</v>
      </c>
      <c r="D12" s="54">
        <v>8</v>
      </c>
      <c r="E12" s="10">
        <v>1.5953935500875694E-2</v>
      </c>
      <c r="F12" s="10">
        <v>7.7945631217874997E-2</v>
      </c>
      <c r="G12" s="54">
        <v>9</v>
      </c>
      <c r="H12" s="54">
        <v>6227526</v>
      </c>
      <c r="I12" s="10">
        <v>0.92839900700854472</v>
      </c>
      <c r="J12" s="10">
        <v>-0.41973159821065475</v>
      </c>
    </row>
    <row r="13" spans="1:10" x14ac:dyDescent="0.25">
      <c r="A13" s="6" t="s">
        <v>143</v>
      </c>
      <c r="B13" s="7">
        <v>406326</v>
      </c>
      <c r="C13" s="7">
        <v>14511.642857142857</v>
      </c>
      <c r="D13" s="54">
        <v>28</v>
      </c>
      <c r="E13" s="10">
        <v>6.0575042949921672E-2</v>
      </c>
      <c r="F13" s="10">
        <v>0.29594954539727025</v>
      </c>
      <c r="G13" s="54">
        <v>6</v>
      </c>
      <c r="H13" s="54">
        <v>6633852</v>
      </c>
      <c r="I13" s="10">
        <v>0.98897404995846638</v>
      </c>
      <c r="J13" s="10">
        <v>2.7968714958510876</v>
      </c>
    </row>
    <row r="14" spans="1:10" x14ac:dyDescent="0.25">
      <c r="A14" s="6" t="s">
        <v>144</v>
      </c>
      <c r="B14" s="7">
        <v>34710</v>
      </c>
      <c r="C14" s="7">
        <v>8677.5</v>
      </c>
      <c r="D14" s="54">
        <v>4</v>
      </c>
      <c r="E14" s="10">
        <v>5.1745636281994786E-3</v>
      </c>
      <c r="F14" s="10">
        <v>2.5281199629704352E-2</v>
      </c>
      <c r="G14" s="54">
        <v>12</v>
      </c>
      <c r="H14" s="54">
        <v>6668562</v>
      </c>
      <c r="I14" s="10">
        <v>0.99414861358666584</v>
      </c>
      <c r="J14" s="10">
        <v>-0.91457598086265712</v>
      </c>
    </row>
    <row r="15" spans="1:10" x14ac:dyDescent="0.25">
      <c r="A15" s="6" t="s">
        <v>145</v>
      </c>
      <c r="B15" s="7">
        <v>39250</v>
      </c>
      <c r="C15" s="7">
        <v>9812.5</v>
      </c>
      <c r="D15" s="54">
        <v>4</v>
      </c>
      <c r="E15" s="10">
        <v>5.8513864133341838E-3</v>
      </c>
      <c r="F15" s="10">
        <v>2.8587931013134425E-2</v>
      </c>
      <c r="G15" s="54">
        <v>11</v>
      </c>
      <c r="H15" s="54">
        <v>6707812</v>
      </c>
      <c r="I15" s="10">
        <v>1</v>
      </c>
      <c r="J15" s="10">
        <v>0.13079804091040045</v>
      </c>
    </row>
    <row r="16" spans="1:10" x14ac:dyDescent="0.25">
      <c r="A16" s="6" t="s">
        <v>19</v>
      </c>
      <c r="B16" s="7">
        <v>6707812</v>
      </c>
      <c r="C16" s="7">
        <v>11914.408525754885</v>
      </c>
      <c r="D16" s="54">
        <v>563</v>
      </c>
      <c r="E16" s="10">
        <v>1</v>
      </c>
      <c r="F16" s="10"/>
      <c r="G16" s="54"/>
      <c r="H16" s="54"/>
      <c r="I16" s="10"/>
      <c r="J16" s="1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B564"/>
  <sheetViews>
    <sheetView workbookViewId="0">
      <selection activeCell="D21" sqref="D21"/>
    </sheetView>
  </sheetViews>
  <sheetFormatPr defaultRowHeight="14.4" x14ac:dyDescent="0.25"/>
  <cols>
    <col min="1" max="1" width="16" customWidth="1"/>
    <col min="2" max="4" width="9.796875" customWidth="1"/>
    <col min="5" max="5" width="8.296875" customWidth="1"/>
    <col min="6" max="6" width="10.59765625" customWidth="1"/>
    <col min="7" max="7" width="16.59765625" customWidth="1"/>
    <col min="8" max="8" width="8.5" customWidth="1"/>
    <col min="9" max="9" width="8.8984375" customWidth="1"/>
    <col min="10" max="11" width="5.8984375" customWidth="1"/>
    <col min="13" max="13" width="20.5" customWidth="1"/>
    <col min="14" max="14" width="16.59765625" customWidth="1"/>
  </cols>
  <sheetData>
    <row r="1" spans="1:28" ht="13.8" x14ac:dyDescent="0.25">
      <c r="A1" s="1" t="s">
        <v>0</v>
      </c>
      <c r="B1" s="1" t="s">
        <v>1</v>
      </c>
      <c r="C1" s="1" t="s">
        <v>34</v>
      </c>
      <c r="D1" s="1" t="s">
        <v>35</v>
      </c>
      <c r="E1" s="1" t="s">
        <v>2</v>
      </c>
      <c r="F1" s="1" t="s">
        <v>3</v>
      </c>
      <c r="G1" s="1" t="s">
        <v>4</v>
      </c>
      <c r="H1" s="2" t="s">
        <v>5</v>
      </c>
      <c r="I1" s="2" t="s">
        <v>6</v>
      </c>
      <c r="J1" s="2" t="s">
        <v>7</v>
      </c>
      <c r="K1" s="2" t="s">
        <v>8</v>
      </c>
      <c r="N1" s="1"/>
      <c r="O1" s="1"/>
      <c r="P1" s="1"/>
      <c r="Q1" s="1"/>
      <c r="R1" s="1"/>
      <c r="S1" s="1"/>
      <c r="T1" s="1"/>
      <c r="U1" s="2"/>
      <c r="V1" s="2"/>
      <c r="W1" s="2"/>
      <c r="X1" s="2"/>
      <c r="AA1" s="1"/>
      <c r="AB1" s="1"/>
    </row>
    <row r="2" spans="1:28" ht="13.8" x14ac:dyDescent="0.25">
      <c r="A2" t="s">
        <v>126</v>
      </c>
      <c r="B2" t="s">
        <v>9</v>
      </c>
      <c r="C2" t="s">
        <v>24</v>
      </c>
      <c r="D2" t="s">
        <v>134</v>
      </c>
      <c r="E2" s="3" t="s">
        <v>10</v>
      </c>
      <c r="F2" s="4">
        <v>42736</v>
      </c>
      <c r="G2" s="4" t="s">
        <v>100</v>
      </c>
      <c r="H2">
        <v>1000</v>
      </c>
      <c r="I2">
        <v>22810</v>
      </c>
      <c r="J2">
        <v>10220</v>
      </c>
      <c r="K2">
        <v>12590</v>
      </c>
      <c r="R2" s="3"/>
      <c r="S2" s="4"/>
      <c r="T2" s="4"/>
    </row>
    <row r="3" spans="1:28" ht="13.8" x14ac:dyDescent="0.25">
      <c r="A3" t="s">
        <v>130</v>
      </c>
      <c r="B3" t="s">
        <v>11</v>
      </c>
      <c r="C3" t="s">
        <v>27</v>
      </c>
      <c r="D3" t="s">
        <v>135</v>
      </c>
      <c r="E3" s="3" t="s">
        <v>12</v>
      </c>
      <c r="F3" s="4">
        <v>42737</v>
      </c>
      <c r="G3" s="4" t="s">
        <v>106</v>
      </c>
      <c r="H3">
        <v>100</v>
      </c>
      <c r="I3">
        <v>2257</v>
      </c>
      <c r="J3">
        <v>984</v>
      </c>
      <c r="K3">
        <v>1273</v>
      </c>
      <c r="R3" s="3"/>
      <c r="S3" s="4"/>
      <c r="T3" s="4"/>
    </row>
    <row r="4" spans="1:28" ht="13.8" x14ac:dyDescent="0.25">
      <c r="A4" t="s">
        <v>127</v>
      </c>
      <c r="B4" t="s">
        <v>13</v>
      </c>
      <c r="C4" t="s">
        <v>30</v>
      </c>
      <c r="D4" t="s">
        <v>136</v>
      </c>
      <c r="E4" s="3" t="s">
        <v>10</v>
      </c>
      <c r="F4" s="4">
        <v>42739</v>
      </c>
      <c r="G4" s="4" t="s">
        <v>102</v>
      </c>
      <c r="H4">
        <v>400</v>
      </c>
      <c r="I4">
        <v>9152</v>
      </c>
      <c r="J4">
        <v>4088</v>
      </c>
      <c r="K4">
        <v>5064</v>
      </c>
      <c r="R4" s="3"/>
      <c r="S4" s="4"/>
      <c r="T4" s="4"/>
    </row>
    <row r="5" spans="1:28" ht="13.8" x14ac:dyDescent="0.25">
      <c r="A5" t="s">
        <v>129</v>
      </c>
      <c r="B5" t="s">
        <v>9</v>
      </c>
      <c r="C5" t="s">
        <v>23</v>
      </c>
      <c r="D5" t="s">
        <v>137</v>
      </c>
      <c r="E5" s="3" t="s">
        <v>12</v>
      </c>
      <c r="F5" s="4">
        <v>42739</v>
      </c>
      <c r="G5" s="4" t="s">
        <v>103</v>
      </c>
      <c r="H5">
        <v>800</v>
      </c>
      <c r="I5">
        <v>18552</v>
      </c>
      <c r="J5">
        <v>7872</v>
      </c>
      <c r="K5">
        <v>10680</v>
      </c>
      <c r="R5" s="3"/>
      <c r="S5" s="4"/>
      <c r="T5" s="4"/>
    </row>
    <row r="6" spans="1:28" ht="13.8" x14ac:dyDescent="0.25">
      <c r="A6" t="s">
        <v>129</v>
      </c>
      <c r="B6" t="s">
        <v>14</v>
      </c>
      <c r="C6" t="s">
        <v>31</v>
      </c>
      <c r="D6" t="s">
        <v>138</v>
      </c>
      <c r="E6" s="3" t="s">
        <v>12</v>
      </c>
      <c r="F6" s="4">
        <v>42742</v>
      </c>
      <c r="G6" s="4" t="s">
        <v>104</v>
      </c>
      <c r="H6">
        <v>1000</v>
      </c>
      <c r="I6">
        <v>21730</v>
      </c>
      <c r="J6">
        <v>9840</v>
      </c>
      <c r="K6">
        <v>11890</v>
      </c>
      <c r="R6" s="3"/>
      <c r="S6" s="4"/>
      <c r="T6" s="4"/>
    </row>
    <row r="7" spans="1:28" ht="13.8" x14ac:dyDescent="0.25">
      <c r="A7" t="s">
        <v>130</v>
      </c>
      <c r="B7" t="s">
        <v>9</v>
      </c>
      <c r="C7" t="s">
        <v>24</v>
      </c>
      <c r="D7" t="s">
        <v>134</v>
      </c>
      <c r="E7" s="3" t="s">
        <v>15</v>
      </c>
      <c r="F7" s="4">
        <v>42742</v>
      </c>
      <c r="G7" s="4" t="s">
        <v>105</v>
      </c>
      <c r="H7">
        <v>400</v>
      </c>
      <c r="I7">
        <v>8456</v>
      </c>
      <c r="J7">
        <v>3388</v>
      </c>
      <c r="K7">
        <v>5068</v>
      </c>
      <c r="R7" s="3"/>
      <c r="S7" s="4"/>
      <c r="T7" s="4"/>
    </row>
    <row r="8" spans="1:28" ht="13.8" x14ac:dyDescent="0.25">
      <c r="A8" t="s">
        <v>130</v>
      </c>
      <c r="B8" t="s">
        <v>9</v>
      </c>
      <c r="C8" t="s">
        <v>24</v>
      </c>
      <c r="D8" t="s">
        <v>134</v>
      </c>
      <c r="E8" s="3" t="s">
        <v>15</v>
      </c>
      <c r="F8" s="4">
        <v>42744</v>
      </c>
      <c r="G8" s="4" t="s">
        <v>105</v>
      </c>
      <c r="H8">
        <v>800</v>
      </c>
      <c r="I8">
        <v>16416</v>
      </c>
      <c r="J8">
        <v>6776</v>
      </c>
      <c r="K8">
        <v>9640</v>
      </c>
      <c r="R8" s="3"/>
      <c r="S8" s="4"/>
      <c r="T8" s="4"/>
    </row>
    <row r="9" spans="1:28" ht="13.8" x14ac:dyDescent="0.25">
      <c r="A9" t="s">
        <v>129</v>
      </c>
      <c r="B9" t="s">
        <v>13</v>
      </c>
      <c r="C9" t="s">
        <v>32</v>
      </c>
      <c r="D9" t="s">
        <v>139</v>
      </c>
      <c r="E9" s="3" t="s">
        <v>10</v>
      </c>
      <c r="F9" s="4">
        <v>42745</v>
      </c>
      <c r="G9" s="4" t="s">
        <v>101</v>
      </c>
      <c r="H9">
        <v>900</v>
      </c>
      <c r="I9">
        <v>21438</v>
      </c>
      <c r="J9">
        <v>9198</v>
      </c>
      <c r="K9">
        <v>12240</v>
      </c>
      <c r="R9" s="3"/>
      <c r="S9" s="4"/>
      <c r="T9" s="4"/>
    </row>
    <row r="10" spans="1:28" ht="13.8" x14ac:dyDescent="0.25">
      <c r="A10" t="s">
        <v>126</v>
      </c>
      <c r="B10" t="s">
        <v>11</v>
      </c>
      <c r="C10" t="s">
        <v>27</v>
      </c>
      <c r="D10" t="s">
        <v>135</v>
      </c>
      <c r="E10" s="3" t="s">
        <v>15</v>
      </c>
      <c r="F10" s="4">
        <v>42747</v>
      </c>
      <c r="G10" s="4" t="s">
        <v>107</v>
      </c>
      <c r="H10">
        <v>300</v>
      </c>
      <c r="I10">
        <v>6267</v>
      </c>
      <c r="J10">
        <v>2541</v>
      </c>
      <c r="K10">
        <v>3726</v>
      </c>
      <c r="R10" s="3"/>
      <c r="S10" s="4"/>
      <c r="T10" s="4"/>
    </row>
    <row r="11" spans="1:28" ht="13.8" x14ac:dyDescent="0.25">
      <c r="A11" t="s">
        <v>126</v>
      </c>
      <c r="B11" t="s">
        <v>13</v>
      </c>
      <c r="C11" t="s">
        <v>28</v>
      </c>
      <c r="D11" t="s">
        <v>140</v>
      </c>
      <c r="E11" s="3" t="s">
        <v>10</v>
      </c>
      <c r="F11" s="4">
        <v>42749</v>
      </c>
      <c r="G11" s="4" t="s">
        <v>108</v>
      </c>
      <c r="H11">
        <v>100</v>
      </c>
      <c r="I11">
        <v>2401</v>
      </c>
      <c r="J11">
        <v>1022</v>
      </c>
      <c r="K11">
        <v>1379</v>
      </c>
      <c r="R11" s="3"/>
      <c r="S11" s="4"/>
      <c r="T11" s="4"/>
    </row>
    <row r="12" spans="1:28" ht="13.8" x14ac:dyDescent="0.25">
      <c r="A12" t="s">
        <v>130</v>
      </c>
      <c r="B12" t="s">
        <v>11</v>
      </c>
      <c r="C12" t="s">
        <v>27</v>
      </c>
      <c r="D12" t="s">
        <v>135</v>
      </c>
      <c r="E12" s="3" t="s">
        <v>15</v>
      </c>
      <c r="F12" s="4">
        <v>42750</v>
      </c>
      <c r="G12" s="4" t="s">
        <v>106</v>
      </c>
      <c r="H12">
        <v>500</v>
      </c>
      <c r="I12">
        <v>9345</v>
      </c>
      <c r="J12">
        <v>4235</v>
      </c>
      <c r="K12">
        <v>5110</v>
      </c>
      <c r="R12" s="3"/>
      <c r="S12" s="4"/>
      <c r="T12" s="4"/>
    </row>
    <row r="13" spans="1:28" ht="13.8" x14ac:dyDescent="0.25">
      <c r="A13" t="s">
        <v>126</v>
      </c>
      <c r="B13" t="s">
        <v>11</v>
      </c>
      <c r="C13" t="s">
        <v>27</v>
      </c>
      <c r="D13" t="s">
        <v>135</v>
      </c>
      <c r="E13" s="3" t="s">
        <v>15</v>
      </c>
      <c r="F13" s="4">
        <v>42751</v>
      </c>
      <c r="G13" s="4" t="s">
        <v>109</v>
      </c>
      <c r="H13">
        <v>600</v>
      </c>
      <c r="I13">
        <v>11628</v>
      </c>
      <c r="J13">
        <v>5082</v>
      </c>
      <c r="K13">
        <v>6546</v>
      </c>
      <c r="R13" s="3"/>
      <c r="S13" s="4"/>
      <c r="T13" s="4"/>
    </row>
    <row r="14" spans="1:28" ht="13.8" x14ac:dyDescent="0.25">
      <c r="A14" t="s">
        <v>130</v>
      </c>
      <c r="B14" t="s">
        <v>11</v>
      </c>
      <c r="C14" t="s">
        <v>27</v>
      </c>
      <c r="D14" t="s">
        <v>135</v>
      </c>
      <c r="E14" s="3" t="s">
        <v>12</v>
      </c>
      <c r="F14" s="4">
        <v>42754</v>
      </c>
      <c r="G14" s="4" t="s">
        <v>106</v>
      </c>
      <c r="H14">
        <v>100</v>
      </c>
      <c r="I14">
        <v>2042</v>
      </c>
      <c r="J14">
        <v>984</v>
      </c>
      <c r="K14">
        <v>1058</v>
      </c>
      <c r="R14" s="3"/>
      <c r="S14" s="4"/>
      <c r="T14" s="4"/>
    </row>
    <row r="15" spans="1:28" ht="13.8" x14ac:dyDescent="0.25">
      <c r="A15" t="s">
        <v>130</v>
      </c>
      <c r="B15" t="s">
        <v>11</v>
      </c>
      <c r="C15" t="s">
        <v>27</v>
      </c>
      <c r="D15" t="s">
        <v>135</v>
      </c>
      <c r="E15" s="3" t="s">
        <v>17</v>
      </c>
      <c r="F15" s="4">
        <v>42756</v>
      </c>
      <c r="G15" s="4" t="s">
        <v>110</v>
      </c>
      <c r="H15">
        <v>800</v>
      </c>
      <c r="I15">
        <v>14440</v>
      </c>
      <c r="J15">
        <v>6776</v>
      </c>
      <c r="K15">
        <v>7664</v>
      </c>
      <c r="R15" s="3"/>
      <c r="S15" s="4"/>
      <c r="T15" s="4"/>
    </row>
    <row r="16" spans="1:28" ht="13.8" x14ac:dyDescent="0.25">
      <c r="A16" t="s">
        <v>129</v>
      </c>
      <c r="B16" t="s">
        <v>9</v>
      </c>
      <c r="C16" t="s">
        <v>23</v>
      </c>
      <c r="D16" t="s">
        <v>137</v>
      </c>
      <c r="E16" s="3" t="s">
        <v>17</v>
      </c>
      <c r="F16" s="4">
        <v>42756</v>
      </c>
      <c r="G16" s="4" t="s">
        <v>103</v>
      </c>
      <c r="H16">
        <v>200</v>
      </c>
      <c r="I16">
        <v>3552</v>
      </c>
      <c r="J16">
        <v>1694</v>
      </c>
      <c r="K16">
        <v>1858</v>
      </c>
      <c r="R16" s="3"/>
      <c r="S16" s="4"/>
      <c r="T16" s="4"/>
    </row>
    <row r="17" spans="1:20" ht="13.8" x14ac:dyDescent="0.25">
      <c r="A17" t="s">
        <v>130</v>
      </c>
      <c r="B17" t="s">
        <v>9</v>
      </c>
      <c r="C17" t="s">
        <v>24</v>
      </c>
      <c r="D17" t="s">
        <v>134</v>
      </c>
      <c r="E17" s="3" t="s">
        <v>15</v>
      </c>
      <c r="F17" s="4">
        <v>42758</v>
      </c>
      <c r="G17" s="4" t="s">
        <v>105</v>
      </c>
      <c r="H17">
        <v>800</v>
      </c>
      <c r="I17">
        <v>14592</v>
      </c>
      <c r="J17">
        <v>6776</v>
      </c>
      <c r="K17">
        <v>7816</v>
      </c>
      <c r="R17" s="3"/>
      <c r="S17" s="4"/>
      <c r="T17" s="4"/>
    </row>
    <row r="18" spans="1:20" ht="13.8" x14ac:dyDescent="0.25">
      <c r="A18" t="s">
        <v>126</v>
      </c>
      <c r="B18" t="s">
        <v>11</v>
      </c>
      <c r="C18" t="s">
        <v>27</v>
      </c>
      <c r="D18" t="s">
        <v>135</v>
      </c>
      <c r="E18" s="3" t="s">
        <v>15</v>
      </c>
      <c r="F18" s="4">
        <v>42759</v>
      </c>
      <c r="G18" s="4" t="s">
        <v>107</v>
      </c>
      <c r="H18">
        <v>600</v>
      </c>
      <c r="I18">
        <v>12606</v>
      </c>
      <c r="J18">
        <v>5082</v>
      </c>
      <c r="K18">
        <v>7524</v>
      </c>
      <c r="R18" s="3"/>
      <c r="S18" s="4"/>
      <c r="T18" s="4"/>
    </row>
    <row r="19" spans="1:20" ht="13.8" x14ac:dyDescent="0.25">
      <c r="A19" t="s">
        <v>126</v>
      </c>
      <c r="B19" t="s">
        <v>11</v>
      </c>
      <c r="C19" t="s">
        <v>27</v>
      </c>
      <c r="D19" t="s">
        <v>135</v>
      </c>
      <c r="E19" s="3" t="s">
        <v>15</v>
      </c>
      <c r="F19" s="4">
        <v>42760</v>
      </c>
      <c r="G19" s="4" t="s">
        <v>109</v>
      </c>
      <c r="H19">
        <v>1000</v>
      </c>
      <c r="I19">
        <v>20770</v>
      </c>
      <c r="J19">
        <v>8470</v>
      </c>
      <c r="K19">
        <v>12300</v>
      </c>
      <c r="R19" s="3"/>
      <c r="S19" s="4"/>
      <c r="T19" s="4"/>
    </row>
    <row r="20" spans="1:20" ht="13.8" x14ac:dyDescent="0.25">
      <c r="A20" t="s">
        <v>126</v>
      </c>
      <c r="B20" t="s">
        <v>11</v>
      </c>
      <c r="C20" t="s">
        <v>27</v>
      </c>
      <c r="D20" t="s">
        <v>135</v>
      </c>
      <c r="E20" s="3" t="s">
        <v>15</v>
      </c>
      <c r="F20" s="4">
        <v>42761</v>
      </c>
      <c r="G20" s="4" t="s">
        <v>107</v>
      </c>
      <c r="H20">
        <v>400</v>
      </c>
      <c r="I20">
        <v>8128</v>
      </c>
      <c r="J20">
        <v>3388</v>
      </c>
      <c r="K20">
        <v>4740</v>
      </c>
      <c r="R20" s="3"/>
      <c r="S20" s="4"/>
      <c r="T20" s="4"/>
    </row>
    <row r="21" spans="1:20" ht="13.8" x14ac:dyDescent="0.25">
      <c r="A21" t="s">
        <v>127</v>
      </c>
      <c r="B21" t="s">
        <v>13</v>
      </c>
      <c r="C21" t="s">
        <v>30</v>
      </c>
      <c r="D21" t="s">
        <v>136</v>
      </c>
      <c r="E21" s="3" t="s">
        <v>15</v>
      </c>
      <c r="F21" s="4">
        <v>42764</v>
      </c>
      <c r="G21" s="4" t="s">
        <v>102</v>
      </c>
      <c r="H21">
        <v>400</v>
      </c>
      <c r="I21">
        <v>7136</v>
      </c>
      <c r="J21">
        <v>3388</v>
      </c>
      <c r="K21">
        <v>3748</v>
      </c>
      <c r="R21" s="3"/>
      <c r="S21" s="4"/>
      <c r="T21" s="4"/>
    </row>
    <row r="22" spans="1:20" ht="13.8" x14ac:dyDescent="0.25">
      <c r="A22" t="s">
        <v>130</v>
      </c>
      <c r="B22" t="s">
        <v>9</v>
      </c>
      <c r="C22" t="s">
        <v>24</v>
      </c>
      <c r="D22" t="s">
        <v>134</v>
      </c>
      <c r="E22" s="3" t="s">
        <v>12</v>
      </c>
      <c r="F22" s="4">
        <v>42764</v>
      </c>
      <c r="G22" s="4" t="s">
        <v>105</v>
      </c>
      <c r="H22">
        <v>700</v>
      </c>
      <c r="I22">
        <v>17150</v>
      </c>
      <c r="J22">
        <v>6888</v>
      </c>
      <c r="K22">
        <v>10262</v>
      </c>
      <c r="R22" s="3"/>
      <c r="S22" s="4"/>
      <c r="T22" s="4"/>
    </row>
    <row r="23" spans="1:20" ht="13.8" x14ac:dyDescent="0.25">
      <c r="A23" t="s">
        <v>129</v>
      </c>
      <c r="B23" t="s">
        <v>13</v>
      </c>
      <c r="C23" t="s">
        <v>32</v>
      </c>
      <c r="D23" t="s">
        <v>139</v>
      </c>
      <c r="E23" s="3" t="s">
        <v>12</v>
      </c>
      <c r="F23" s="4">
        <v>42765</v>
      </c>
      <c r="G23" s="4" t="s">
        <v>101</v>
      </c>
      <c r="H23">
        <v>300</v>
      </c>
      <c r="I23">
        <v>6714</v>
      </c>
      <c r="J23">
        <v>2952</v>
      </c>
      <c r="K23">
        <v>3762</v>
      </c>
      <c r="R23" s="3"/>
      <c r="S23" s="4"/>
      <c r="T23" s="4"/>
    </row>
    <row r="24" spans="1:20" ht="13.8" x14ac:dyDescent="0.25">
      <c r="A24" t="s">
        <v>130</v>
      </c>
      <c r="B24" t="s">
        <v>9</v>
      </c>
      <c r="C24" t="s">
        <v>24</v>
      </c>
      <c r="D24" t="s">
        <v>134</v>
      </c>
      <c r="E24" s="3" t="s">
        <v>15</v>
      </c>
      <c r="F24" s="4">
        <v>42766</v>
      </c>
      <c r="G24" s="4" t="s">
        <v>105</v>
      </c>
      <c r="H24">
        <v>800</v>
      </c>
      <c r="I24">
        <v>15640</v>
      </c>
      <c r="J24">
        <v>6776</v>
      </c>
      <c r="K24">
        <v>8864</v>
      </c>
      <c r="R24" s="3"/>
      <c r="S24" s="4"/>
      <c r="T24" s="4"/>
    </row>
    <row r="25" spans="1:20" ht="13.8" x14ac:dyDescent="0.25">
      <c r="A25" t="s">
        <v>129</v>
      </c>
      <c r="B25" t="s">
        <v>13</v>
      </c>
      <c r="C25" t="s">
        <v>32</v>
      </c>
      <c r="D25" t="s">
        <v>139</v>
      </c>
      <c r="E25" s="3" t="s">
        <v>15</v>
      </c>
      <c r="F25" s="4">
        <v>42767</v>
      </c>
      <c r="G25" s="4" t="s">
        <v>101</v>
      </c>
      <c r="H25">
        <v>300</v>
      </c>
      <c r="I25">
        <v>5532</v>
      </c>
      <c r="J25">
        <v>2541</v>
      </c>
      <c r="K25">
        <v>2991</v>
      </c>
      <c r="R25" s="3"/>
      <c r="S25" s="4"/>
      <c r="T25" s="4"/>
    </row>
    <row r="26" spans="1:20" ht="13.8" x14ac:dyDescent="0.25">
      <c r="A26" t="s">
        <v>130</v>
      </c>
      <c r="B26" t="s">
        <v>11</v>
      </c>
      <c r="C26" t="s">
        <v>27</v>
      </c>
      <c r="D26" t="s">
        <v>135</v>
      </c>
      <c r="E26" s="3" t="s">
        <v>12</v>
      </c>
      <c r="F26" s="4">
        <v>42769</v>
      </c>
      <c r="G26" s="4" t="s">
        <v>106</v>
      </c>
      <c r="H26">
        <v>800</v>
      </c>
      <c r="I26">
        <v>17160</v>
      </c>
      <c r="J26">
        <v>7872</v>
      </c>
      <c r="K26">
        <v>9288</v>
      </c>
      <c r="R26" s="3"/>
      <c r="S26" s="4"/>
      <c r="T26" s="4"/>
    </row>
    <row r="27" spans="1:20" ht="13.8" x14ac:dyDescent="0.25">
      <c r="A27" t="s">
        <v>126</v>
      </c>
      <c r="B27" t="s">
        <v>11</v>
      </c>
      <c r="C27" t="s">
        <v>27</v>
      </c>
      <c r="D27" t="s">
        <v>135</v>
      </c>
      <c r="E27" s="3" t="s">
        <v>12</v>
      </c>
      <c r="F27" s="4">
        <v>42772</v>
      </c>
      <c r="G27" s="4" t="s">
        <v>128</v>
      </c>
      <c r="H27">
        <v>900</v>
      </c>
      <c r="I27">
        <v>21708</v>
      </c>
      <c r="J27">
        <v>8856</v>
      </c>
      <c r="K27">
        <v>12852</v>
      </c>
      <c r="R27" s="3"/>
      <c r="S27" s="4"/>
      <c r="T27" s="4"/>
    </row>
    <row r="28" spans="1:20" ht="13.8" x14ac:dyDescent="0.25">
      <c r="A28" t="s">
        <v>126</v>
      </c>
      <c r="B28" t="s">
        <v>11</v>
      </c>
      <c r="C28" t="s">
        <v>27</v>
      </c>
      <c r="D28" t="s">
        <v>135</v>
      </c>
      <c r="E28" s="3" t="s">
        <v>15</v>
      </c>
      <c r="F28" s="4">
        <v>42773</v>
      </c>
      <c r="G28" s="4" t="s">
        <v>107</v>
      </c>
      <c r="H28">
        <v>1000</v>
      </c>
      <c r="I28">
        <v>19890</v>
      </c>
      <c r="J28">
        <v>8470</v>
      </c>
      <c r="K28">
        <v>11420</v>
      </c>
      <c r="R28" s="3"/>
      <c r="S28" s="4"/>
      <c r="T28" s="4"/>
    </row>
    <row r="29" spans="1:20" ht="13.8" x14ac:dyDescent="0.25">
      <c r="A29" t="s">
        <v>126</v>
      </c>
      <c r="B29" t="s">
        <v>11</v>
      </c>
      <c r="C29" t="s">
        <v>27</v>
      </c>
      <c r="D29" t="s">
        <v>135</v>
      </c>
      <c r="E29" s="3" t="s">
        <v>15</v>
      </c>
      <c r="F29" s="4">
        <v>42774</v>
      </c>
      <c r="G29" s="4" t="s">
        <v>109</v>
      </c>
      <c r="H29">
        <v>100</v>
      </c>
      <c r="I29">
        <v>1817</v>
      </c>
      <c r="J29">
        <v>847</v>
      </c>
      <c r="K29">
        <v>970</v>
      </c>
      <c r="R29" s="3"/>
      <c r="S29" s="4"/>
      <c r="T29" s="4"/>
    </row>
    <row r="30" spans="1:20" ht="13.8" x14ac:dyDescent="0.25">
      <c r="A30" t="s">
        <v>130</v>
      </c>
      <c r="B30" t="s">
        <v>9</v>
      </c>
      <c r="C30" t="s">
        <v>24</v>
      </c>
      <c r="D30" t="s">
        <v>134</v>
      </c>
      <c r="E30" s="3" t="s">
        <v>15</v>
      </c>
      <c r="F30" s="4">
        <v>42775</v>
      </c>
      <c r="G30" s="4" t="s">
        <v>105</v>
      </c>
      <c r="H30">
        <v>300</v>
      </c>
      <c r="I30">
        <v>5157</v>
      </c>
      <c r="J30">
        <v>2541</v>
      </c>
      <c r="K30">
        <v>2616</v>
      </c>
      <c r="R30" s="3"/>
      <c r="S30" s="4"/>
      <c r="T30" s="4"/>
    </row>
    <row r="31" spans="1:20" ht="13.8" x14ac:dyDescent="0.25">
      <c r="A31" t="s">
        <v>126</v>
      </c>
      <c r="B31" t="s">
        <v>11</v>
      </c>
      <c r="C31" t="s">
        <v>27</v>
      </c>
      <c r="D31" t="s">
        <v>135</v>
      </c>
      <c r="E31" s="3" t="s">
        <v>12</v>
      </c>
      <c r="F31" s="4">
        <v>42780</v>
      </c>
      <c r="G31" s="4" t="s">
        <v>109</v>
      </c>
      <c r="H31">
        <v>700</v>
      </c>
      <c r="I31">
        <v>13867</v>
      </c>
      <c r="J31">
        <v>6888</v>
      </c>
      <c r="K31">
        <v>6979</v>
      </c>
      <c r="R31" s="3"/>
      <c r="S31" s="4"/>
      <c r="T31" s="4"/>
    </row>
    <row r="32" spans="1:20" ht="13.8" x14ac:dyDescent="0.25">
      <c r="A32" t="s">
        <v>126</v>
      </c>
      <c r="B32" t="s">
        <v>9</v>
      </c>
      <c r="C32" t="s">
        <v>22</v>
      </c>
      <c r="D32" t="s">
        <v>141</v>
      </c>
      <c r="E32" s="3" t="s">
        <v>10</v>
      </c>
      <c r="F32" s="4">
        <v>42782</v>
      </c>
      <c r="G32" s="4" t="s">
        <v>111</v>
      </c>
      <c r="H32">
        <v>800</v>
      </c>
      <c r="I32">
        <v>16936</v>
      </c>
      <c r="J32">
        <v>8176</v>
      </c>
      <c r="K32">
        <v>8760</v>
      </c>
      <c r="R32" s="3"/>
      <c r="S32" s="4"/>
      <c r="T32" s="4"/>
    </row>
    <row r="33" spans="1:20" ht="13.8" x14ac:dyDescent="0.25">
      <c r="A33" t="s">
        <v>16</v>
      </c>
      <c r="B33" t="s">
        <v>13</v>
      </c>
      <c r="C33" t="s">
        <v>30</v>
      </c>
      <c r="D33" t="s">
        <v>136</v>
      </c>
      <c r="E33" s="3" t="s">
        <v>15</v>
      </c>
      <c r="F33" s="4">
        <v>42783</v>
      </c>
      <c r="G33" s="4" t="s">
        <v>112</v>
      </c>
      <c r="H33">
        <v>600</v>
      </c>
      <c r="I33">
        <v>11430</v>
      </c>
      <c r="J33">
        <v>5082</v>
      </c>
      <c r="K33">
        <v>6348</v>
      </c>
      <c r="R33" s="3"/>
      <c r="S33" s="4"/>
      <c r="T33" s="4"/>
    </row>
    <row r="34" spans="1:20" ht="13.8" x14ac:dyDescent="0.25">
      <c r="A34" t="s">
        <v>129</v>
      </c>
      <c r="B34" t="s">
        <v>13</v>
      </c>
      <c r="C34" t="s">
        <v>32</v>
      </c>
      <c r="D34" t="s">
        <v>139</v>
      </c>
      <c r="E34" s="3" t="s">
        <v>15</v>
      </c>
      <c r="F34" s="4">
        <v>42784</v>
      </c>
      <c r="G34" s="4" t="s">
        <v>101</v>
      </c>
      <c r="H34">
        <v>1000</v>
      </c>
      <c r="I34">
        <v>20250</v>
      </c>
      <c r="J34">
        <v>8470</v>
      </c>
      <c r="K34">
        <v>11780</v>
      </c>
      <c r="R34" s="3"/>
      <c r="S34" s="4"/>
      <c r="T34" s="4"/>
    </row>
    <row r="35" spans="1:20" ht="13.8" x14ac:dyDescent="0.25">
      <c r="A35" t="s">
        <v>129</v>
      </c>
      <c r="B35" t="s">
        <v>13</v>
      </c>
      <c r="C35" t="s">
        <v>32</v>
      </c>
      <c r="D35" t="s">
        <v>139</v>
      </c>
      <c r="E35" s="3" t="s">
        <v>15</v>
      </c>
      <c r="F35" s="4">
        <v>42785</v>
      </c>
      <c r="G35" s="4" t="s">
        <v>101</v>
      </c>
      <c r="H35">
        <v>500</v>
      </c>
      <c r="I35">
        <v>10385</v>
      </c>
      <c r="J35">
        <v>4235</v>
      </c>
      <c r="K35">
        <v>6150</v>
      </c>
      <c r="R35" s="3"/>
      <c r="S35" s="4"/>
      <c r="T35" s="4"/>
    </row>
    <row r="36" spans="1:20" ht="13.8" x14ac:dyDescent="0.25">
      <c r="A36" t="s">
        <v>16</v>
      </c>
      <c r="B36" t="s">
        <v>13</v>
      </c>
      <c r="C36" t="s">
        <v>30</v>
      </c>
      <c r="D36" t="s">
        <v>136</v>
      </c>
      <c r="E36" s="3" t="s">
        <v>15</v>
      </c>
      <c r="F36" s="4">
        <v>42786</v>
      </c>
      <c r="G36" s="4" t="s">
        <v>112</v>
      </c>
      <c r="H36">
        <v>600</v>
      </c>
      <c r="I36">
        <v>11124</v>
      </c>
      <c r="J36">
        <v>5082</v>
      </c>
      <c r="K36">
        <v>6042</v>
      </c>
      <c r="R36" s="3"/>
      <c r="S36" s="4"/>
      <c r="T36" s="4"/>
    </row>
    <row r="37" spans="1:20" ht="13.8" x14ac:dyDescent="0.25">
      <c r="A37" t="s">
        <v>126</v>
      </c>
      <c r="B37" t="s">
        <v>9</v>
      </c>
      <c r="C37" t="s">
        <v>24</v>
      </c>
      <c r="D37" t="s">
        <v>134</v>
      </c>
      <c r="E37" s="3" t="s">
        <v>15</v>
      </c>
      <c r="F37" s="4">
        <v>42786</v>
      </c>
      <c r="G37" s="4" t="s">
        <v>100</v>
      </c>
      <c r="H37">
        <v>300</v>
      </c>
      <c r="I37">
        <v>5700</v>
      </c>
      <c r="J37">
        <v>2541</v>
      </c>
      <c r="K37">
        <v>3159</v>
      </c>
      <c r="R37" s="3"/>
      <c r="S37" s="4"/>
      <c r="T37" s="4"/>
    </row>
    <row r="38" spans="1:20" ht="13.8" x14ac:dyDescent="0.25">
      <c r="A38" t="s">
        <v>129</v>
      </c>
      <c r="B38" t="s">
        <v>13</v>
      </c>
      <c r="C38" t="s">
        <v>32</v>
      </c>
      <c r="D38" t="s">
        <v>139</v>
      </c>
      <c r="E38" s="3" t="s">
        <v>10</v>
      </c>
      <c r="F38" s="4">
        <v>42786</v>
      </c>
      <c r="G38" s="4" t="s">
        <v>101</v>
      </c>
      <c r="H38">
        <v>1000</v>
      </c>
      <c r="I38">
        <v>23810</v>
      </c>
      <c r="J38">
        <v>10220</v>
      </c>
      <c r="K38">
        <v>13590</v>
      </c>
      <c r="R38" s="3"/>
      <c r="S38" s="4"/>
      <c r="T38" s="4"/>
    </row>
    <row r="39" spans="1:20" ht="13.8" x14ac:dyDescent="0.25">
      <c r="A39" t="s">
        <v>129</v>
      </c>
      <c r="B39" t="s">
        <v>13</v>
      </c>
      <c r="C39" t="s">
        <v>32</v>
      </c>
      <c r="D39" t="s">
        <v>139</v>
      </c>
      <c r="E39" s="3" t="s">
        <v>10</v>
      </c>
      <c r="F39" s="4">
        <v>42789</v>
      </c>
      <c r="G39" s="4" t="s">
        <v>101</v>
      </c>
      <c r="H39">
        <v>500</v>
      </c>
      <c r="I39">
        <v>11525</v>
      </c>
      <c r="J39">
        <v>5110</v>
      </c>
      <c r="K39">
        <v>6415</v>
      </c>
      <c r="R39" s="3"/>
      <c r="S39" s="4"/>
      <c r="T39" s="4"/>
    </row>
    <row r="40" spans="1:20" ht="13.8" x14ac:dyDescent="0.25">
      <c r="A40" t="s">
        <v>126</v>
      </c>
      <c r="B40" t="s">
        <v>14</v>
      </c>
      <c r="C40" t="s">
        <v>31</v>
      </c>
      <c r="D40" t="s">
        <v>138</v>
      </c>
      <c r="E40" s="3" t="s">
        <v>12</v>
      </c>
      <c r="F40" s="4">
        <v>42792</v>
      </c>
      <c r="G40" s="4" t="s">
        <v>113</v>
      </c>
      <c r="H40">
        <v>900</v>
      </c>
      <c r="I40">
        <v>20610</v>
      </c>
      <c r="J40">
        <v>8856</v>
      </c>
      <c r="K40">
        <v>11754</v>
      </c>
      <c r="R40" s="3"/>
      <c r="S40" s="4"/>
      <c r="T40" s="4"/>
    </row>
    <row r="41" spans="1:20" ht="13.8" x14ac:dyDescent="0.25">
      <c r="A41" t="s">
        <v>126</v>
      </c>
      <c r="B41" t="s">
        <v>9</v>
      </c>
      <c r="C41" t="s">
        <v>24</v>
      </c>
      <c r="D41" t="s">
        <v>134</v>
      </c>
      <c r="E41" s="3" t="s">
        <v>12</v>
      </c>
      <c r="F41" s="4">
        <v>42792</v>
      </c>
      <c r="G41" s="4" t="s">
        <v>100</v>
      </c>
      <c r="H41">
        <v>600</v>
      </c>
      <c r="I41">
        <v>13206</v>
      </c>
      <c r="J41">
        <v>5904</v>
      </c>
      <c r="K41">
        <v>7302</v>
      </c>
      <c r="R41" s="3"/>
      <c r="S41" s="4"/>
      <c r="T41" s="4"/>
    </row>
    <row r="42" spans="1:20" ht="13.8" x14ac:dyDescent="0.25">
      <c r="A42" t="s">
        <v>129</v>
      </c>
      <c r="B42" t="s">
        <v>13</v>
      </c>
      <c r="C42" t="s">
        <v>32</v>
      </c>
      <c r="D42" t="s">
        <v>139</v>
      </c>
      <c r="E42" s="3" t="s">
        <v>10</v>
      </c>
      <c r="F42" s="4">
        <v>42792</v>
      </c>
      <c r="G42" s="4" t="s">
        <v>101</v>
      </c>
      <c r="H42">
        <v>1000</v>
      </c>
      <c r="I42">
        <v>25140</v>
      </c>
      <c r="J42">
        <v>10220</v>
      </c>
      <c r="K42">
        <v>14920</v>
      </c>
      <c r="R42" s="3"/>
      <c r="S42" s="4"/>
      <c r="T42" s="4"/>
    </row>
    <row r="43" spans="1:20" ht="13.8" x14ac:dyDescent="0.25">
      <c r="A43" t="s">
        <v>126</v>
      </c>
      <c r="B43" t="s">
        <v>9</v>
      </c>
      <c r="C43" t="s">
        <v>24</v>
      </c>
      <c r="D43" t="s">
        <v>134</v>
      </c>
      <c r="E43" s="3" t="s">
        <v>15</v>
      </c>
      <c r="F43" s="4">
        <v>42793</v>
      </c>
      <c r="G43" s="4" t="s">
        <v>100</v>
      </c>
      <c r="H43">
        <v>900</v>
      </c>
      <c r="I43">
        <v>16209</v>
      </c>
      <c r="J43">
        <v>7623</v>
      </c>
      <c r="K43">
        <v>8586</v>
      </c>
      <c r="R43" s="3"/>
      <c r="S43" s="4"/>
      <c r="T43" s="4"/>
    </row>
    <row r="44" spans="1:20" ht="13.8" x14ac:dyDescent="0.25">
      <c r="A44" t="s">
        <v>129</v>
      </c>
      <c r="B44" t="s">
        <v>13</v>
      </c>
      <c r="C44" t="s">
        <v>32</v>
      </c>
      <c r="D44" t="s">
        <v>139</v>
      </c>
      <c r="E44" s="3" t="s">
        <v>12</v>
      </c>
      <c r="F44" s="4">
        <v>42793</v>
      </c>
      <c r="G44" s="4" t="s">
        <v>101</v>
      </c>
      <c r="H44">
        <v>400</v>
      </c>
      <c r="I44">
        <v>8708</v>
      </c>
      <c r="J44">
        <v>3936</v>
      </c>
      <c r="K44">
        <v>4772</v>
      </c>
      <c r="R44" s="3"/>
      <c r="S44" s="4"/>
      <c r="T44" s="4"/>
    </row>
    <row r="45" spans="1:20" ht="13.8" x14ac:dyDescent="0.25">
      <c r="A45" t="s">
        <v>130</v>
      </c>
      <c r="B45" t="s">
        <v>9</v>
      </c>
      <c r="C45" t="s">
        <v>24</v>
      </c>
      <c r="D45" t="s">
        <v>134</v>
      </c>
      <c r="E45" s="3" t="s">
        <v>10</v>
      </c>
      <c r="F45" s="4">
        <v>42794</v>
      </c>
      <c r="G45" s="4" t="s">
        <v>105</v>
      </c>
      <c r="H45">
        <v>900</v>
      </c>
      <c r="I45">
        <v>21456</v>
      </c>
      <c r="J45">
        <v>9198</v>
      </c>
      <c r="K45">
        <v>12258</v>
      </c>
      <c r="R45" s="3"/>
      <c r="S45" s="4"/>
      <c r="T45" s="4"/>
    </row>
    <row r="46" spans="1:20" ht="13.8" x14ac:dyDescent="0.25">
      <c r="A46" t="s">
        <v>129</v>
      </c>
      <c r="B46" t="s">
        <v>13</v>
      </c>
      <c r="C46" t="s">
        <v>32</v>
      </c>
      <c r="D46" t="s">
        <v>139</v>
      </c>
      <c r="E46" s="3" t="s">
        <v>10</v>
      </c>
      <c r="F46" s="4">
        <v>42795</v>
      </c>
      <c r="G46" s="4" t="s">
        <v>101</v>
      </c>
      <c r="H46">
        <v>500</v>
      </c>
      <c r="I46">
        <v>10445</v>
      </c>
      <c r="J46">
        <v>5110</v>
      </c>
      <c r="K46">
        <v>5335</v>
      </c>
      <c r="R46" s="3"/>
      <c r="S46" s="4"/>
      <c r="T46" s="4"/>
    </row>
    <row r="47" spans="1:20" ht="13.8" x14ac:dyDescent="0.25">
      <c r="A47" t="s">
        <v>126</v>
      </c>
      <c r="B47" t="s">
        <v>11</v>
      </c>
      <c r="C47" t="s">
        <v>27</v>
      </c>
      <c r="D47" t="s">
        <v>135</v>
      </c>
      <c r="E47" s="3" t="s">
        <v>12</v>
      </c>
      <c r="F47" s="4">
        <v>42798</v>
      </c>
      <c r="G47" s="4" t="s">
        <v>128</v>
      </c>
      <c r="H47">
        <v>600</v>
      </c>
      <c r="I47">
        <v>14472</v>
      </c>
      <c r="J47">
        <v>5904</v>
      </c>
      <c r="K47">
        <v>8568</v>
      </c>
      <c r="R47" s="3"/>
      <c r="S47" s="4"/>
      <c r="T47" s="4"/>
    </row>
    <row r="48" spans="1:20" ht="13.8" x14ac:dyDescent="0.25">
      <c r="A48" t="s">
        <v>129</v>
      </c>
      <c r="B48" t="s">
        <v>13</v>
      </c>
      <c r="C48" t="s">
        <v>32</v>
      </c>
      <c r="D48" t="s">
        <v>139</v>
      </c>
      <c r="E48" s="3" t="s">
        <v>10</v>
      </c>
      <c r="F48" s="4">
        <v>42799</v>
      </c>
      <c r="G48" s="4" t="s">
        <v>101</v>
      </c>
      <c r="H48">
        <v>200</v>
      </c>
      <c r="I48">
        <v>4262</v>
      </c>
      <c r="J48">
        <v>2044</v>
      </c>
      <c r="K48">
        <v>2218</v>
      </c>
      <c r="R48" s="3"/>
      <c r="S48" s="4"/>
      <c r="T48" s="4"/>
    </row>
    <row r="49" spans="1:20" ht="13.8" x14ac:dyDescent="0.25">
      <c r="A49" t="s">
        <v>126</v>
      </c>
      <c r="B49" t="s">
        <v>9</v>
      </c>
      <c r="C49" t="s">
        <v>25</v>
      </c>
      <c r="D49" t="s">
        <v>142</v>
      </c>
      <c r="E49" s="3" t="s">
        <v>15</v>
      </c>
      <c r="F49" s="4">
        <v>42800</v>
      </c>
      <c r="G49" s="4" t="s">
        <v>114</v>
      </c>
      <c r="H49">
        <v>700</v>
      </c>
      <c r="I49">
        <v>12474</v>
      </c>
      <c r="J49">
        <v>5929</v>
      </c>
      <c r="K49">
        <v>6545</v>
      </c>
      <c r="R49" s="3"/>
      <c r="S49" s="4"/>
      <c r="T49" s="4"/>
    </row>
    <row r="50" spans="1:20" ht="13.8" x14ac:dyDescent="0.25">
      <c r="A50" t="s">
        <v>16</v>
      </c>
      <c r="B50" t="s">
        <v>13</v>
      </c>
      <c r="C50" t="s">
        <v>30</v>
      </c>
      <c r="D50" t="s">
        <v>136</v>
      </c>
      <c r="E50" s="3" t="s">
        <v>15</v>
      </c>
      <c r="F50" s="4">
        <v>42801</v>
      </c>
      <c r="G50" s="4" t="s">
        <v>112</v>
      </c>
      <c r="H50">
        <v>500</v>
      </c>
      <c r="I50">
        <v>10155</v>
      </c>
      <c r="J50">
        <v>4235</v>
      </c>
      <c r="K50">
        <v>5920</v>
      </c>
      <c r="R50" s="3"/>
      <c r="S50" s="4"/>
      <c r="T50" s="4"/>
    </row>
    <row r="51" spans="1:20" ht="13.8" x14ac:dyDescent="0.25">
      <c r="A51" t="s">
        <v>129</v>
      </c>
      <c r="B51" t="s">
        <v>13</v>
      </c>
      <c r="C51" t="s">
        <v>32</v>
      </c>
      <c r="D51" t="s">
        <v>139</v>
      </c>
      <c r="E51" s="3" t="s">
        <v>12</v>
      </c>
      <c r="F51" s="4">
        <v>42804</v>
      </c>
      <c r="G51" s="4" t="s">
        <v>101</v>
      </c>
      <c r="H51">
        <v>900</v>
      </c>
      <c r="I51">
        <v>19503</v>
      </c>
      <c r="J51">
        <v>8856</v>
      </c>
      <c r="K51">
        <v>10647</v>
      </c>
      <c r="R51" s="3"/>
      <c r="S51" s="4"/>
      <c r="T51" s="4"/>
    </row>
    <row r="52" spans="1:20" ht="13.8" x14ac:dyDescent="0.25">
      <c r="A52" t="s">
        <v>126</v>
      </c>
      <c r="B52" t="s">
        <v>11</v>
      </c>
      <c r="C52" t="s">
        <v>27</v>
      </c>
      <c r="D52" t="s">
        <v>135</v>
      </c>
      <c r="E52" s="3" t="s">
        <v>15</v>
      </c>
      <c r="F52" s="4">
        <v>42807</v>
      </c>
      <c r="G52" s="4" t="s">
        <v>107</v>
      </c>
      <c r="H52">
        <v>100</v>
      </c>
      <c r="I52">
        <v>1819</v>
      </c>
      <c r="J52">
        <v>847</v>
      </c>
      <c r="K52">
        <v>972</v>
      </c>
      <c r="R52" s="3"/>
      <c r="S52" s="4"/>
      <c r="T52" s="4"/>
    </row>
    <row r="53" spans="1:20" ht="13.8" x14ac:dyDescent="0.25">
      <c r="A53" t="s">
        <v>126</v>
      </c>
      <c r="B53" t="s">
        <v>11</v>
      </c>
      <c r="C53" t="s">
        <v>27</v>
      </c>
      <c r="D53" t="s">
        <v>135</v>
      </c>
      <c r="E53" s="3" t="s">
        <v>10</v>
      </c>
      <c r="F53" s="4">
        <v>42808</v>
      </c>
      <c r="G53" s="4" t="s">
        <v>109</v>
      </c>
      <c r="H53">
        <v>1000</v>
      </c>
      <c r="I53">
        <v>24430</v>
      </c>
      <c r="J53">
        <v>10220</v>
      </c>
      <c r="K53">
        <v>14210</v>
      </c>
      <c r="R53" s="3"/>
      <c r="S53" s="4"/>
      <c r="T53" s="4"/>
    </row>
    <row r="54" spans="1:20" ht="13.8" x14ac:dyDescent="0.25">
      <c r="A54" t="s">
        <v>129</v>
      </c>
      <c r="B54" t="s">
        <v>13</v>
      </c>
      <c r="C54" t="s">
        <v>32</v>
      </c>
      <c r="D54" t="s">
        <v>139</v>
      </c>
      <c r="E54" s="3" t="s">
        <v>10</v>
      </c>
      <c r="F54" s="4">
        <v>42808</v>
      </c>
      <c r="G54" s="4" t="s">
        <v>101</v>
      </c>
      <c r="H54">
        <v>500</v>
      </c>
      <c r="I54">
        <v>10935</v>
      </c>
      <c r="J54">
        <v>5110</v>
      </c>
      <c r="K54">
        <v>5825</v>
      </c>
      <c r="R54" s="3"/>
      <c r="S54" s="4"/>
      <c r="T54" s="4"/>
    </row>
    <row r="55" spans="1:20" ht="13.8" x14ac:dyDescent="0.25">
      <c r="A55" t="s">
        <v>126</v>
      </c>
      <c r="B55" t="s">
        <v>14</v>
      </c>
      <c r="C55" t="s">
        <v>31</v>
      </c>
      <c r="D55" t="s">
        <v>138</v>
      </c>
      <c r="E55" s="3" t="s">
        <v>15</v>
      </c>
      <c r="F55" s="4">
        <v>42810</v>
      </c>
      <c r="G55" s="4" t="s">
        <v>113</v>
      </c>
      <c r="H55">
        <v>400</v>
      </c>
      <c r="I55">
        <v>8116</v>
      </c>
      <c r="J55">
        <v>3388</v>
      </c>
      <c r="K55">
        <v>4728</v>
      </c>
      <c r="R55" s="3"/>
      <c r="S55" s="4"/>
      <c r="T55" s="4"/>
    </row>
    <row r="56" spans="1:20" ht="13.8" x14ac:dyDescent="0.25">
      <c r="A56" t="s">
        <v>126</v>
      </c>
      <c r="B56" t="s">
        <v>11</v>
      </c>
      <c r="C56" t="s">
        <v>27</v>
      </c>
      <c r="D56" t="s">
        <v>135</v>
      </c>
      <c r="E56" s="3" t="s">
        <v>10</v>
      </c>
      <c r="F56" s="4">
        <v>42811</v>
      </c>
      <c r="G56" s="4" t="s">
        <v>109</v>
      </c>
      <c r="H56">
        <v>900</v>
      </c>
      <c r="I56">
        <v>18783</v>
      </c>
      <c r="J56">
        <v>9198</v>
      </c>
      <c r="K56">
        <v>9585</v>
      </c>
      <c r="R56" s="3"/>
      <c r="S56" s="4"/>
      <c r="T56" s="4"/>
    </row>
    <row r="57" spans="1:20" ht="13.8" x14ac:dyDescent="0.25">
      <c r="A57" t="s">
        <v>129</v>
      </c>
      <c r="B57" t="s">
        <v>13</v>
      </c>
      <c r="C57" t="s">
        <v>32</v>
      </c>
      <c r="D57" t="s">
        <v>139</v>
      </c>
      <c r="E57" s="3" t="s">
        <v>15</v>
      </c>
      <c r="F57" s="4">
        <v>42813</v>
      </c>
      <c r="G57" s="4" t="s">
        <v>101</v>
      </c>
      <c r="H57">
        <v>800</v>
      </c>
      <c r="I57">
        <v>16696</v>
      </c>
      <c r="J57">
        <v>6776</v>
      </c>
      <c r="K57">
        <v>9920</v>
      </c>
      <c r="R57" s="3"/>
      <c r="S57" s="4"/>
      <c r="T57" s="4"/>
    </row>
    <row r="58" spans="1:20" ht="13.8" x14ac:dyDescent="0.25">
      <c r="A58" t="s">
        <v>126</v>
      </c>
      <c r="B58" t="s">
        <v>11</v>
      </c>
      <c r="C58" t="s">
        <v>27</v>
      </c>
      <c r="D58" t="s">
        <v>135</v>
      </c>
      <c r="E58" s="3" t="s">
        <v>15</v>
      </c>
      <c r="F58" s="4">
        <v>42814</v>
      </c>
      <c r="G58" s="4" t="s">
        <v>128</v>
      </c>
      <c r="H58">
        <v>400</v>
      </c>
      <c r="I58">
        <v>7132</v>
      </c>
      <c r="J58">
        <v>3388</v>
      </c>
      <c r="K58">
        <v>3744</v>
      </c>
      <c r="R58" s="3"/>
      <c r="S58" s="4"/>
      <c r="T58" s="4"/>
    </row>
    <row r="59" spans="1:20" ht="13.8" x14ac:dyDescent="0.25">
      <c r="A59" t="s">
        <v>126</v>
      </c>
      <c r="B59" t="s">
        <v>11</v>
      </c>
      <c r="C59" t="s">
        <v>27</v>
      </c>
      <c r="D59" t="s">
        <v>135</v>
      </c>
      <c r="E59" s="3" t="s">
        <v>10</v>
      </c>
      <c r="F59" s="4">
        <v>42815</v>
      </c>
      <c r="G59" s="4" t="s">
        <v>128</v>
      </c>
      <c r="H59">
        <v>200</v>
      </c>
      <c r="I59">
        <v>4784</v>
      </c>
      <c r="J59">
        <v>2044</v>
      </c>
      <c r="K59">
        <v>2740</v>
      </c>
      <c r="R59" s="3"/>
      <c r="S59" s="4"/>
      <c r="T59" s="4"/>
    </row>
    <row r="60" spans="1:20" ht="13.8" x14ac:dyDescent="0.25">
      <c r="A60" t="s">
        <v>126</v>
      </c>
      <c r="B60" t="s">
        <v>13</v>
      </c>
      <c r="C60" t="s">
        <v>28</v>
      </c>
      <c r="D60" t="s">
        <v>140</v>
      </c>
      <c r="E60" s="3" t="s">
        <v>10</v>
      </c>
      <c r="F60" s="4">
        <v>42816</v>
      </c>
      <c r="G60" s="4" t="s">
        <v>108</v>
      </c>
      <c r="H60">
        <v>300</v>
      </c>
      <c r="I60">
        <v>6765</v>
      </c>
      <c r="J60">
        <v>3066</v>
      </c>
      <c r="K60">
        <v>3699</v>
      </c>
      <c r="R60" s="3"/>
      <c r="S60" s="4"/>
      <c r="T60" s="4"/>
    </row>
    <row r="61" spans="1:20" ht="13.8" x14ac:dyDescent="0.25">
      <c r="A61" t="s">
        <v>129</v>
      </c>
      <c r="B61" t="s">
        <v>13</v>
      </c>
      <c r="C61" t="s">
        <v>32</v>
      </c>
      <c r="D61" t="s">
        <v>139</v>
      </c>
      <c r="E61" s="3" t="s">
        <v>15</v>
      </c>
      <c r="F61" s="4">
        <v>42817</v>
      </c>
      <c r="G61" s="4" t="s">
        <v>101</v>
      </c>
      <c r="H61">
        <v>300</v>
      </c>
      <c r="I61">
        <v>5355</v>
      </c>
      <c r="J61">
        <v>2541</v>
      </c>
      <c r="K61">
        <v>2814</v>
      </c>
      <c r="R61" s="3"/>
      <c r="S61" s="4"/>
      <c r="T61" s="4"/>
    </row>
    <row r="62" spans="1:20" ht="13.8" x14ac:dyDescent="0.25">
      <c r="A62" t="s">
        <v>129</v>
      </c>
      <c r="B62" t="s">
        <v>13</v>
      </c>
      <c r="C62" t="s">
        <v>32</v>
      </c>
      <c r="D62" t="s">
        <v>139</v>
      </c>
      <c r="E62" s="3" t="s">
        <v>15</v>
      </c>
      <c r="F62" s="4">
        <v>42818</v>
      </c>
      <c r="G62" s="4" t="s">
        <v>101</v>
      </c>
      <c r="H62">
        <v>200</v>
      </c>
      <c r="I62">
        <v>3756</v>
      </c>
      <c r="J62">
        <v>1694</v>
      </c>
      <c r="K62">
        <v>2062</v>
      </c>
      <c r="R62" s="3"/>
      <c r="S62" s="4"/>
      <c r="T62" s="4"/>
    </row>
    <row r="63" spans="1:20" ht="13.8" x14ac:dyDescent="0.25">
      <c r="A63" t="s">
        <v>130</v>
      </c>
      <c r="B63" t="s">
        <v>9</v>
      </c>
      <c r="C63" t="s">
        <v>24</v>
      </c>
      <c r="D63" t="s">
        <v>134</v>
      </c>
      <c r="E63" s="3" t="s">
        <v>12</v>
      </c>
      <c r="F63" s="4">
        <v>42819</v>
      </c>
      <c r="G63" s="4" t="s">
        <v>105</v>
      </c>
      <c r="H63">
        <v>1000</v>
      </c>
      <c r="I63">
        <v>20090</v>
      </c>
      <c r="J63">
        <v>9840</v>
      </c>
      <c r="K63">
        <v>10250</v>
      </c>
      <c r="R63" s="3"/>
      <c r="S63" s="4"/>
      <c r="T63" s="4"/>
    </row>
    <row r="64" spans="1:20" ht="13.8" x14ac:dyDescent="0.25">
      <c r="A64" t="s">
        <v>126</v>
      </c>
      <c r="B64" t="s">
        <v>9</v>
      </c>
      <c r="C64" t="s">
        <v>24</v>
      </c>
      <c r="D64" t="s">
        <v>134</v>
      </c>
      <c r="E64" s="3" t="s">
        <v>10</v>
      </c>
      <c r="F64" s="4">
        <v>42820</v>
      </c>
      <c r="G64" s="4" t="s">
        <v>100</v>
      </c>
      <c r="H64">
        <v>1000</v>
      </c>
      <c r="I64">
        <v>23090</v>
      </c>
      <c r="J64">
        <v>10220</v>
      </c>
      <c r="K64">
        <v>12870</v>
      </c>
      <c r="R64" s="3"/>
      <c r="S64" s="4"/>
      <c r="T64" s="4"/>
    </row>
    <row r="65" spans="1:20" ht="13.8" x14ac:dyDescent="0.25">
      <c r="A65" t="s">
        <v>126</v>
      </c>
      <c r="B65" t="s">
        <v>13</v>
      </c>
      <c r="C65" t="s">
        <v>28</v>
      </c>
      <c r="D65" t="s">
        <v>140</v>
      </c>
      <c r="E65" s="3" t="s">
        <v>12</v>
      </c>
      <c r="F65" s="4">
        <v>42822</v>
      </c>
      <c r="G65" s="4" t="s">
        <v>108</v>
      </c>
      <c r="H65">
        <v>900</v>
      </c>
      <c r="I65">
        <v>21357</v>
      </c>
      <c r="J65">
        <v>8856</v>
      </c>
      <c r="K65">
        <v>12501</v>
      </c>
      <c r="R65" s="3"/>
      <c r="S65" s="4"/>
      <c r="T65" s="4"/>
    </row>
    <row r="66" spans="1:20" ht="13.8" x14ac:dyDescent="0.25">
      <c r="A66" t="s">
        <v>130</v>
      </c>
      <c r="B66" t="s">
        <v>9</v>
      </c>
      <c r="C66" t="s">
        <v>24</v>
      </c>
      <c r="D66" t="s">
        <v>134</v>
      </c>
      <c r="E66" s="3" t="s">
        <v>15</v>
      </c>
      <c r="F66" s="4">
        <v>42822</v>
      </c>
      <c r="G66" s="4" t="s">
        <v>105</v>
      </c>
      <c r="H66">
        <v>300</v>
      </c>
      <c r="I66">
        <v>5358</v>
      </c>
      <c r="J66">
        <v>2541</v>
      </c>
      <c r="K66">
        <v>2817</v>
      </c>
      <c r="R66" s="3"/>
      <c r="S66" s="4"/>
      <c r="T66" s="4"/>
    </row>
    <row r="67" spans="1:20" ht="13.8" x14ac:dyDescent="0.25">
      <c r="A67" t="s">
        <v>126</v>
      </c>
      <c r="B67" t="s">
        <v>11</v>
      </c>
      <c r="C67" t="s">
        <v>27</v>
      </c>
      <c r="D67" t="s">
        <v>135</v>
      </c>
      <c r="E67" s="3" t="s">
        <v>12</v>
      </c>
      <c r="F67" s="4">
        <v>42824</v>
      </c>
      <c r="G67" s="4" t="s">
        <v>128</v>
      </c>
      <c r="H67">
        <v>800</v>
      </c>
      <c r="I67">
        <v>16016</v>
      </c>
      <c r="J67">
        <v>7872</v>
      </c>
      <c r="K67">
        <v>8144</v>
      </c>
      <c r="R67" s="3"/>
      <c r="S67" s="4"/>
      <c r="T67" s="4"/>
    </row>
    <row r="68" spans="1:20" ht="13.8" x14ac:dyDescent="0.25">
      <c r="A68" t="s">
        <v>126</v>
      </c>
      <c r="B68" t="s">
        <v>13</v>
      </c>
      <c r="C68" t="s">
        <v>28</v>
      </c>
      <c r="D68" t="s">
        <v>140</v>
      </c>
      <c r="E68" s="3" t="s">
        <v>10</v>
      </c>
      <c r="F68" s="4">
        <v>42826</v>
      </c>
      <c r="G68" s="4" t="s">
        <v>108</v>
      </c>
      <c r="H68">
        <v>600</v>
      </c>
      <c r="I68">
        <v>14448</v>
      </c>
      <c r="J68">
        <v>6132</v>
      </c>
      <c r="K68">
        <v>8316</v>
      </c>
      <c r="R68" s="3"/>
      <c r="S68" s="4"/>
      <c r="T68" s="4"/>
    </row>
    <row r="69" spans="1:20" ht="13.8" x14ac:dyDescent="0.25">
      <c r="A69" t="s">
        <v>126</v>
      </c>
      <c r="B69" t="s">
        <v>13</v>
      </c>
      <c r="C69" t="s">
        <v>28</v>
      </c>
      <c r="D69" t="s">
        <v>140</v>
      </c>
      <c r="E69" s="3" t="s">
        <v>15</v>
      </c>
      <c r="F69" s="4">
        <v>42827</v>
      </c>
      <c r="G69" s="4" t="s">
        <v>108</v>
      </c>
      <c r="H69">
        <v>300</v>
      </c>
      <c r="I69">
        <v>5370</v>
      </c>
      <c r="J69">
        <v>2541</v>
      </c>
      <c r="K69">
        <v>2829</v>
      </c>
      <c r="R69" s="3"/>
      <c r="S69" s="4"/>
      <c r="T69" s="4"/>
    </row>
    <row r="70" spans="1:20" ht="13.8" x14ac:dyDescent="0.25">
      <c r="A70" t="s">
        <v>126</v>
      </c>
      <c r="B70" t="s">
        <v>9</v>
      </c>
      <c r="C70" t="s">
        <v>25</v>
      </c>
      <c r="D70" t="s">
        <v>142</v>
      </c>
      <c r="E70" s="3" t="s">
        <v>10</v>
      </c>
      <c r="F70" s="4">
        <v>42829</v>
      </c>
      <c r="G70" s="4" t="s">
        <v>114</v>
      </c>
      <c r="H70">
        <v>800</v>
      </c>
      <c r="I70">
        <v>20408</v>
      </c>
      <c r="J70">
        <v>8176</v>
      </c>
      <c r="K70">
        <v>12232</v>
      </c>
      <c r="R70" s="3"/>
      <c r="S70" s="4"/>
      <c r="T70" s="4"/>
    </row>
    <row r="71" spans="1:20" ht="13.8" x14ac:dyDescent="0.25">
      <c r="A71" t="s">
        <v>16</v>
      </c>
      <c r="B71" t="s">
        <v>13</v>
      </c>
      <c r="C71" t="s">
        <v>30</v>
      </c>
      <c r="D71" t="s">
        <v>136</v>
      </c>
      <c r="E71" s="3" t="s">
        <v>12</v>
      </c>
      <c r="F71" s="4">
        <v>42829</v>
      </c>
      <c r="G71" s="4" t="s">
        <v>112</v>
      </c>
      <c r="H71">
        <v>400</v>
      </c>
      <c r="I71">
        <v>8632</v>
      </c>
      <c r="J71">
        <v>3936</v>
      </c>
      <c r="K71">
        <v>4696</v>
      </c>
      <c r="R71" s="3"/>
      <c r="S71" s="4"/>
      <c r="T71" s="4"/>
    </row>
    <row r="72" spans="1:20" ht="13.8" x14ac:dyDescent="0.25">
      <c r="A72" t="s">
        <v>16</v>
      </c>
      <c r="B72" t="s">
        <v>13</v>
      </c>
      <c r="C72" t="s">
        <v>30</v>
      </c>
      <c r="D72" t="s">
        <v>136</v>
      </c>
      <c r="E72" s="3" t="s">
        <v>12</v>
      </c>
      <c r="F72" s="4">
        <v>42829</v>
      </c>
      <c r="G72" s="4" t="s">
        <v>112</v>
      </c>
      <c r="H72">
        <v>300</v>
      </c>
      <c r="I72">
        <v>6588</v>
      </c>
      <c r="J72">
        <v>2952</v>
      </c>
      <c r="K72">
        <v>3636</v>
      </c>
      <c r="R72" s="3"/>
      <c r="S72" s="4"/>
      <c r="T72" s="4"/>
    </row>
    <row r="73" spans="1:20" ht="13.8" x14ac:dyDescent="0.25">
      <c r="A73" t="s">
        <v>130</v>
      </c>
      <c r="B73" t="s">
        <v>11</v>
      </c>
      <c r="C73" t="s">
        <v>27</v>
      </c>
      <c r="D73" t="s">
        <v>135</v>
      </c>
      <c r="E73" s="3" t="s">
        <v>10</v>
      </c>
      <c r="F73" s="4">
        <v>42830</v>
      </c>
      <c r="G73" s="4" t="s">
        <v>106</v>
      </c>
      <c r="H73">
        <v>100</v>
      </c>
      <c r="I73">
        <v>2466</v>
      </c>
      <c r="J73">
        <v>1022</v>
      </c>
      <c r="K73">
        <v>1444</v>
      </c>
      <c r="R73" s="3"/>
      <c r="S73" s="4"/>
      <c r="T73" s="4"/>
    </row>
    <row r="74" spans="1:20" ht="13.8" x14ac:dyDescent="0.25">
      <c r="A74" t="s">
        <v>131</v>
      </c>
      <c r="B74" t="s">
        <v>13</v>
      </c>
      <c r="C74" t="s">
        <v>29</v>
      </c>
      <c r="D74" t="s">
        <v>143</v>
      </c>
      <c r="E74" s="3" t="s">
        <v>15</v>
      </c>
      <c r="F74" s="4">
        <v>42832</v>
      </c>
      <c r="G74" s="4" t="s">
        <v>115</v>
      </c>
      <c r="H74">
        <v>700</v>
      </c>
      <c r="I74">
        <v>14686</v>
      </c>
      <c r="J74">
        <v>5929</v>
      </c>
      <c r="K74">
        <v>8757</v>
      </c>
      <c r="R74" s="3"/>
      <c r="S74" s="4"/>
      <c r="T74" s="4"/>
    </row>
    <row r="75" spans="1:20" ht="13.8" x14ac:dyDescent="0.25">
      <c r="A75" t="s">
        <v>126</v>
      </c>
      <c r="B75" t="s">
        <v>11</v>
      </c>
      <c r="C75" t="s">
        <v>27</v>
      </c>
      <c r="D75" t="s">
        <v>135</v>
      </c>
      <c r="E75" s="3" t="s">
        <v>15</v>
      </c>
      <c r="F75" s="4">
        <v>42832</v>
      </c>
      <c r="G75" s="4" t="s">
        <v>128</v>
      </c>
      <c r="H75">
        <v>300</v>
      </c>
      <c r="I75">
        <v>5886</v>
      </c>
      <c r="J75">
        <v>2541</v>
      </c>
      <c r="K75">
        <v>3345</v>
      </c>
      <c r="R75" s="3"/>
      <c r="S75" s="4"/>
      <c r="T75" s="4"/>
    </row>
    <row r="76" spans="1:20" ht="13.8" x14ac:dyDescent="0.25">
      <c r="A76" t="s">
        <v>16</v>
      </c>
      <c r="B76" t="s">
        <v>13</v>
      </c>
      <c r="C76" t="s">
        <v>30</v>
      </c>
      <c r="D76" t="s">
        <v>136</v>
      </c>
      <c r="E76" s="3" t="s">
        <v>12</v>
      </c>
      <c r="F76" s="4">
        <v>42835</v>
      </c>
      <c r="G76" s="4" t="s">
        <v>112</v>
      </c>
      <c r="H76">
        <v>500</v>
      </c>
      <c r="I76">
        <v>12095</v>
      </c>
      <c r="J76">
        <v>4920</v>
      </c>
      <c r="K76">
        <v>7175</v>
      </c>
      <c r="R76" s="3"/>
      <c r="S76" s="4"/>
      <c r="T76" s="4"/>
    </row>
    <row r="77" spans="1:20" ht="13.8" x14ac:dyDescent="0.25">
      <c r="A77" t="s">
        <v>126</v>
      </c>
      <c r="B77" t="s">
        <v>11</v>
      </c>
      <c r="C77" t="s">
        <v>27</v>
      </c>
      <c r="D77" t="s">
        <v>135</v>
      </c>
      <c r="E77" s="3" t="s">
        <v>10</v>
      </c>
      <c r="F77" s="4">
        <v>42836</v>
      </c>
      <c r="G77" s="4" t="s">
        <v>107</v>
      </c>
      <c r="H77">
        <v>900</v>
      </c>
      <c r="I77">
        <v>19539</v>
      </c>
      <c r="J77">
        <v>9198</v>
      </c>
      <c r="K77">
        <v>10341</v>
      </c>
      <c r="R77" s="3"/>
      <c r="S77" s="4"/>
      <c r="T77" s="4"/>
    </row>
    <row r="78" spans="1:20" ht="13.8" x14ac:dyDescent="0.25">
      <c r="A78" t="s">
        <v>126</v>
      </c>
      <c r="B78" t="s">
        <v>11</v>
      </c>
      <c r="C78" t="s">
        <v>27</v>
      </c>
      <c r="D78" t="s">
        <v>135</v>
      </c>
      <c r="E78" s="3" t="s">
        <v>15</v>
      </c>
      <c r="F78" s="4">
        <v>42837</v>
      </c>
      <c r="G78" s="4" t="s">
        <v>128</v>
      </c>
      <c r="H78">
        <v>300</v>
      </c>
      <c r="I78">
        <v>6063</v>
      </c>
      <c r="J78">
        <v>2541</v>
      </c>
      <c r="K78">
        <v>3522</v>
      </c>
      <c r="R78" s="3"/>
      <c r="S78" s="4"/>
      <c r="T78" s="4"/>
    </row>
    <row r="79" spans="1:20" ht="13.8" x14ac:dyDescent="0.25">
      <c r="A79" t="s">
        <v>126</v>
      </c>
      <c r="B79" t="s">
        <v>11</v>
      </c>
      <c r="C79" t="s">
        <v>27</v>
      </c>
      <c r="D79" t="s">
        <v>135</v>
      </c>
      <c r="E79" s="3" t="s">
        <v>15</v>
      </c>
      <c r="F79" s="4">
        <v>42838</v>
      </c>
      <c r="G79" s="4" t="s">
        <v>128</v>
      </c>
      <c r="H79">
        <v>600</v>
      </c>
      <c r="I79">
        <v>11598</v>
      </c>
      <c r="J79">
        <v>5082</v>
      </c>
      <c r="K79">
        <v>6516</v>
      </c>
      <c r="R79" s="3"/>
      <c r="S79" s="4"/>
      <c r="T79" s="4"/>
    </row>
    <row r="80" spans="1:20" ht="13.8" x14ac:dyDescent="0.25">
      <c r="A80" t="s">
        <v>126</v>
      </c>
      <c r="B80" t="s">
        <v>11</v>
      </c>
      <c r="C80" t="s">
        <v>27</v>
      </c>
      <c r="D80" t="s">
        <v>135</v>
      </c>
      <c r="E80" s="3" t="s">
        <v>15</v>
      </c>
      <c r="F80" s="4">
        <v>42839</v>
      </c>
      <c r="G80" s="4" t="s">
        <v>109</v>
      </c>
      <c r="H80">
        <v>400</v>
      </c>
      <c r="I80">
        <v>8016</v>
      </c>
      <c r="J80">
        <v>3388</v>
      </c>
      <c r="K80">
        <v>4628</v>
      </c>
      <c r="R80" s="3"/>
      <c r="S80" s="4"/>
      <c r="T80" s="4"/>
    </row>
    <row r="81" spans="1:20" ht="13.8" x14ac:dyDescent="0.25">
      <c r="A81" t="s">
        <v>130</v>
      </c>
      <c r="B81" t="s">
        <v>11</v>
      </c>
      <c r="C81" t="s">
        <v>27</v>
      </c>
      <c r="D81" t="s">
        <v>135</v>
      </c>
      <c r="E81" s="3" t="s">
        <v>10</v>
      </c>
      <c r="F81" s="4">
        <v>42845</v>
      </c>
      <c r="G81" s="4" t="s">
        <v>106</v>
      </c>
      <c r="H81">
        <v>1000</v>
      </c>
      <c r="I81">
        <v>21880</v>
      </c>
      <c r="J81">
        <v>10220</v>
      </c>
      <c r="K81">
        <v>11660</v>
      </c>
      <c r="R81" s="3"/>
      <c r="S81" s="4"/>
      <c r="T81" s="4"/>
    </row>
    <row r="82" spans="1:20" ht="13.8" x14ac:dyDescent="0.25">
      <c r="A82" t="s">
        <v>16</v>
      </c>
      <c r="B82" t="s">
        <v>14</v>
      </c>
      <c r="C82" t="s">
        <v>31</v>
      </c>
      <c r="D82" t="s">
        <v>138</v>
      </c>
      <c r="E82" s="3" t="s">
        <v>17</v>
      </c>
      <c r="F82" s="4">
        <v>42845</v>
      </c>
      <c r="G82" s="4" t="s">
        <v>116</v>
      </c>
      <c r="H82">
        <v>200</v>
      </c>
      <c r="I82">
        <v>4948</v>
      </c>
      <c r="J82">
        <v>2044</v>
      </c>
      <c r="K82">
        <v>2904</v>
      </c>
      <c r="R82" s="3"/>
      <c r="S82" s="4"/>
      <c r="T82" s="4"/>
    </row>
    <row r="83" spans="1:20" ht="13.8" x14ac:dyDescent="0.25">
      <c r="A83" t="s">
        <v>129</v>
      </c>
      <c r="B83" t="s">
        <v>13</v>
      </c>
      <c r="C83" t="s">
        <v>32</v>
      </c>
      <c r="D83" t="s">
        <v>139</v>
      </c>
      <c r="E83" s="3" t="s">
        <v>10</v>
      </c>
      <c r="F83" s="4">
        <v>42847</v>
      </c>
      <c r="G83" s="4" t="s">
        <v>101</v>
      </c>
      <c r="H83">
        <v>700</v>
      </c>
      <c r="I83">
        <v>15834</v>
      </c>
      <c r="J83">
        <v>7154</v>
      </c>
      <c r="K83">
        <v>8680</v>
      </c>
      <c r="R83" s="3"/>
      <c r="S83" s="4"/>
      <c r="T83" s="4"/>
    </row>
    <row r="84" spans="1:20" ht="13.8" x14ac:dyDescent="0.25">
      <c r="A84" t="s">
        <v>126</v>
      </c>
      <c r="B84" t="s">
        <v>9</v>
      </c>
      <c r="C84" t="s">
        <v>24</v>
      </c>
      <c r="D84" t="s">
        <v>134</v>
      </c>
      <c r="E84" s="3" t="s">
        <v>12</v>
      </c>
      <c r="F84" s="4">
        <v>42848</v>
      </c>
      <c r="G84" s="4" t="s">
        <v>100</v>
      </c>
      <c r="H84">
        <v>100</v>
      </c>
      <c r="I84">
        <v>2457</v>
      </c>
      <c r="J84">
        <v>984</v>
      </c>
      <c r="K84">
        <v>1473</v>
      </c>
      <c r="R84" s="3"/>
      <c r="S84" s="4"/>
      <c r="T84" s="4"/>
    </row>
    <row r="85" spans="1:20" ht="13.8" x14ac:dyDescent="0.25">
      <c r="A85" t="s">
        <v>16</v>
      </c>
      <c r="B85" t="s">
        <v>13</v>
      </c>
      <c r="C85" t="s">
        <v>30</v>
      </c>
      <c r="D85" t="s">
        <v>136</v>
      </c>
      <c r="E85" s="3" t="s">
        <v>15</v>
      </c>
      <c r="F85" s="4">
        <v>42849</v>
      </c>
      <c r="G85" s="4" t="s">
        <v>112</v>
      </c>
      <c r="H85">
        <v>300</v>
      </c>
      <c r="I85">
        <v>5439</v>
      </c>
      <c r="J85">
        <v>2541</v>
      </c>
      <c r="K85">
        <v>2898</v>
      </c>
      <c r="R85" s="3"/>
      <c r="S85" s="4"/>
      <c r="T85" s="4"/>
    </row>
    <row r="86" spans="1:20" ht="13.8" x14ac:dyDescent="0.25">
      <c r="A86" t="s">
        <v>129</v>
      </c>
      <c r="B86" t="s">
        <v>13</v>
      </c>
      <c r="C86" t="s">
        <v>32</v>
      </c>
      <c r="D86" t="s">
        <v>139</v>
      </c>
      <c r="E86" s="3" t="s">
        <v>12</v>
      </c>
      <c r="F86" s="4">
        <v>42850</v>
      </c>
      <c r="G86" s="4" t="s">
        <v>101</v>
      </c>
      <c r="H86">
        <v>500</v>
      </c>
      <c r="I86">
        <v>11435</v>
      </c>
      <c r="J86">
        <v>4920</v>
      </c>
      <c r="K86">
        <v>6515</v>
      </c>
      <c r="R86" s="3"/>
      <c r="S86" s="4"/>
      <c r="T86" s="4"/>
    </row>
    <row r="87" spans="1:20" ht="13.8" x14ac:dyDescent="0.25">
      <c r="A87" t="s">
        <v>130</v>
      </c>
      <c r="B87" t="s">
        <v>9</v>
      </c>
      <c r="C87" t="s">
        <v>24</v>
      </c>
      <c r="D87" t="s">
        <v>134</v>
      </c>
      <c r="E87" s="3" t="s">
        <v>10</v>
      </c>
      <c r="F87" s="4">
        <v>42852</v>
      </c>
      <c r="G87" s="4" t="s">
        <v>105</v>
      </c>
      <c r="H87">
        <v>1000</v>
      </c>
      <c r="I87">
        <v>22530</v>
      </c>
      <c r="J87">
        <v>10220</v>
      </c>
      <c r="K87">
        <v>12310</v>
      </c>
      <c r="R87" s="3"/>
      <c r="S87" s="4"/>
      <c r="T87" s="4"/>
    </row>
    <row r="88" spans="1:20" ht="13.8" x14ac:dyDescent="0.25">
      <c r="A88" t="s">
        <v>126</v>
      </c>
      <c r="B88" t="s">
        <v>9</v>
      </c>
      <c r="C88" t="s">
        <v>24</v>
      </c>
      <c r="D88" t="s">
        <v>134</v>
      </c>
      <c r="E88" s="3" t="s">
        <v>10</v>
      </c>
      <c r="F88" s="4">
        <v>42853</v>
      </c>
      <c r="G88" s="4" t="s">
        <v>100</v>
      </c>
      <c r="H88">
        <v>1000</v>
      </c>
      <c r="I88">
        <v>25060</v>
      </c>
      <c r="J88">
        <v>10220</v>
      </c>
      <c r="K88">
        <v>14840</v>
      </c>
      <c r="R88" s="3"/>
      <c r="S88" s="4"/>
      <c r="T88" s="4"/>
    </row>
    <row r="89" spans="1:20" ht="13.8" x14ac:dyDescent="0.25">
      <c r="A89" t="s">
        <v>129</v>
      </c>
      <c r="B89" t="s">
        <v>13</v>
      </c>
      <c r="C89" t="s">
        <v>30</v>
      </c>
      <c r="D89" t="s">
        <v>136</v>
      </c>
      <c r="E89" s="3" t="s">
        <v>10</v>
      </c>
      <c r="F89" s="4">
        <v>42854</v>
      </c>
      <c r="G89" s="4" t="s">
        <v>117</v>
      </c>
      <c r="H89">
        <v>800</v>
      </c>
      <c r="I89">
        <v>18264</v>
      </c>
      <c r="J89">
        <v>8176</v>
      </c>
      <c r="K89">
        <v>10088</v>
      </c>
      <c r="R89" s="3"/>
      <c r="S89" s="4"/>
      <c r="T89" s="4"/>
    </row>
    <row r="90" spans="1:20" ht="13.8" x14ac:dyDescent="0.25">
      <c r="A90" t="s">
        <v>126</v>
      </c>
      <c r="B90" t="s">
        <v>13</v>
      </c>
      <c r="C90" t="s">
        <v>28</v>
      </c>
      <c r="D90" t="s">
        <v>140</v>
      </c>
      <c r="E90" s="3" t="s">
        <v>10</v>
      </c>
      <c r="F90" s="4">
        <v>42855</v>
      </c>
      <c r="G90" s="4" t="s">
        <v>108</v>
      </c>
      <c r="H90">
        <v>200</v>
      </c>
      <c r="I90">
        <v>4124</v>
      </c>
      <c r="J90">
        <v>2044</v>
      </c>
      <c r="K90">
        <v>2080</v>
      </c>
      <c r="R90" s="3"/>
      <c r="S90" s="4"/>
      <c r="T90" s="4"/>
    </row>
    <row r="91" spans="1:20" ht="13.8" x14ac:dyDescent="0.25">
      <c r="A91" t="s">
        <v>126</v>
      </c>
      <c r="B91" t="s">
        <v>9</v>
      </c>
      <c r="C91" t="s">
        <v>24</v>
      </c>
      <c r="D91" t="s">
        <v>134</v>
      </c>
      <c r="E91" s="3" t="s">
        <v>15</v>
      </c>
      <c r="F91" s="4">
        <v>42856</v>
      </c>
      <c r="G91" s="4" t="s">
        <v>100</v>
      </c>
      <c r="H91">
        <v>200</v>
      </c>
      <c r="I91">
        <v>3802</v>
      </c>
      <c r="J91">
        <v>1694</v>
      </c>
      <c r="K91">
        <v>2108</v>
      </c>
      <c r="R91" s="3"/>
      <c r="S91" s="4"/>
      <c r="T91" s="4"/>
    </row>
    <row r="92" spans="1:20" ht="13.8" x14ac:dyDescent="0.25">
      <c r="A92" t="s">
        <v>129</v>
      </c>
      <c r="B92" t="s">
        <v>9</v>
      </c>
      <c r="C92" t="s">
        <v>25</v>
      </c>
      <c r="D92" t="s">
        <v>142</v>
      </c>
      <c r="E92" s="3" t="s">
        <v>12</v>
      </c>
      <c r="F92" s="4">
        <v>42856</v>
      </c>
      <c r="G92" s="4" t="s">
        <v>118</v>
      </c>
      <c r="H92">
        <v>800</v>
      </c>
      <c r="I92">
        <v>19520</v>
      </c>
      <c r="J92">
        <v>7872</v>
      </c>
      <c r="K92">
        <v>11648</v>
      </c>
      <c r="R92" s="3"/>
      <c r="S92" s="4"/>
      <c r="T92" s="4"/>
    </row>
    <row r="93" spans="1:20" ht="13.8" x14ac:dyDescent="0.25">
      <c r="A93" t="s">
        <v>131</v>
      </c>
      <c r="B93" t="s">
        <v>13</v>
      </c>
      <c r="C93" t="s">
        <v>29</v>
      </c>
      <c r="D93" t="s">
        <v>143</v>
      </c>
      <c r="E93" s="3" t="s">
        <v>10</v>
      </c>
      <c r="F93" s="4">
        <v>42858</v>
      </c>
      <c r="G93" s="4" t="s">
        <v>115</v>
      </c>
      <c r="H93">
        <v>800</v>
      </c>
      <c r="I93">
        <v>19288</v>
      </c>
      <c r="J93">
        <v>8176</v>
      </c>
      <c r="K93">
        <v>11112</v>
      </c>
      <c r="R93" s="3"/>
      <c r="S93" s="4"/>
      <c r="T93" s="4"/>
    </row>
    <row r="94" spans="1:20" ht="13.8" x14ac:dyDescent="0.25">
      <c r="A94" t="s">
        <v>126</v>
      </c>
      <c r="B94" t="s">
        <v>13</v>
      </c>
      <c r="C94" t="s">
        <v>28</v>
      </c>
      <c r="D94" t="s">
        <v>140</v>
      </c>
      <c r="E94" s="3" t="s">
        <v>15</v>
      </c>
      <c r="F94" s="4">
        <v>42860</v>
      </c>
      <c r="G94" s="4" t="s">
        <v>108</v>
      </c>
      <c r="H94">
        <v>800</v>
      </c>
      <c r="I94">
        <v>15592</v>
      </c>
      <c r="J94">
        <v>6776</v>
      </c>
      <c r="K94">
        <v>8816</v>
      </c>
      <c r="R94" s="3"/>
      <c r="S94" s="4"/>
      <c r="T94" s="4"/>
    </row>
    <row r="95" spans="1:20" ht="13.8" x14ac:dyDescent="0.25">
      <c r="A95" t="s">
        <v>131</v>
      </c>
      <c r="B95" t="s">
        <v>13</v>
      </c>
      <c r="C95" t="s">
        <v>29</v>
      </c>
      <c r="D95" t="s">
        <v>143</v>
      </c>
      <c r="E95" s="3" t="s">
        <v>10</v>
      </c>
      <c r="F95" s="4">
        <v>42860</v>
      </c>
      <c r="G95" s="4" t="s">
        <v>115</v>
      </c>
      <c r="H95">
        <v>300</v>
      </c>
      <c r="I95">
        <v>6867</v>
      </c>
      <c r="J95">
        <v>3066</v>
      </c>
      <c r="K95">
        <v>3801</v>
      </c>
      <c r="R95" s="3"/>
      <c r="S95" s="4"/>
      <c r="T95" s="4"/>
    </row>
    <row r="96" spans="1:20" ht="13.8" x14ac:dyDescent="0.25">
      <c r="A96" t="s">
        <v>126</v>
      </c>
      <c r="B96" t="s">
        <v>13</v>
      </c>
      <c r="C96" t="s">
        <v>28</v>
      </c>
      <c r="D96" t="s">
        <v>140</v>
      </c>
      <c r="E96" s="3" t="s">
        <v>15</v>
      </c>
      <c r="F96" s="4">
        <v>42862</v>
      </c>
      <c r="G96" s="4" t="s">
        <v>108</v>
      </c>
      <c r="H96">
        <v>600</v>
      </c>
      <c r="I96">
        <v>12318</v>
      </c>
      <c r="J96">
        <v>5082</v>
      </c>
      <c r="K96">
        <v>7236</v>
      </c>
      <c r="R96" s="3"/>
      <c r="S96" s="4"/>
      <c r="T96" s="4"/>
    </row>
    <row r="97" spans="1:20" ht="13.8" x14ac:dyDescent="0.25">
      <c r="A97" t="s">
        <v>131</v>
      </c>
      <c r="B97" t="s">
        <v>13</v>
      </c>
      <c r="C97" t="s">
        <v>29</v>
      </c>
      <c r="D97" t="s">
        <v>143</v>
      </c>
      <c r="E97" s="3" t="s">
        <v>12</v>
      </c>
      <c r="F97" s="4">
        <v>42862</v>
      </c>
      <c r="G97" s="4" t="s">
        <v>115</v>
      </c>
      <c r="H97">
        <v>400</v>
      </c>
      <c r="I97">
        <v>8052</v>
      </c>
      <c r="J97">
        <v>3936</v>
      </c>
      <c r="K97">
        <v>4116</v>
      </c>
      <c r="R97" s="3"/>
      <c r="S97" s="4"/>
      <c r="T97" s="4"/>
    </row>
    <row r="98" spans="1:20" ht="13.8" x14ac:dyDescent="0.25">
      <c r="A98" t="s">
        <v>129</v>
      </c>
      <c r="B98" t="s">
        <v>13</v>
      </c>
      <c r="C98" t="s">
        <v>32</v>
      </c>
      <c r="D98" t="s">
        <v>139</v>
      </c>
      <c r="E98" s="3" t="s">
        <v>12</v>
      </c>
      <c r="F98" s="4">
        <v>42863</v>
      </c>
      <c r="G98" s="4" t="s">
        <v>101</v>
      </c>
      <c r="H98">
        <v>800</v>
      </c>
      <c r="I98">
        <v>17544</v>
      </c>
      <c r="J98">
        <v>7872</v>
      </c>
      <c r="K98">
        <v>9672</v>
      </c>
      <c r="R98" s="3"/>
      <c r="S98" s="4"/>
      <c r="T98" s="4"/>
    </row>
    <row r="99" spans="1:20" ht="13.8" x14ac:dyDescent="0.25">
      <c r="A99" t="s">
        <v>126</v>
      </c>
      <c r="B99" t="s">
        <v>11</v>
      </c>
      <c r="C99" t="s">
        <v>27</v>
      </c>
      <c r="D99" t="s">
        <v>135</v>
      </c>
      <c r="E99" s="3" t="s">
        <v>12</v>
      </c>
      <c r="F99" s="4">
        <v>42864</v>
      </c>
      <c r="G99" s="4" t="s">
        <v>107</v>
      </c>
      <c r="H99">
        <v>700</v>
      </c>
      <c r="I99">
        <v>16765</v>
      </c>
      <c r="J99">
        <v>6888</v>
      </c>
      <c r="K99">
        <v>9877</v>
      </c>
      <c r="R99" s="3"/>
      <c r="S99" s="4"/>
      <c r="T99" s="4"/>
    </row>
    <row r="100" spans="1:20" ht="13.8" x14ac:dyDescent="0.25">
      <c r="A100" t="s">
        <v>16</v>
      </c>
      <c r="B100" t="s">
        <v>13</v>
      </c>
      <c r="C100" t="s">
        <v>30</v>
      </c>
      <c r="D100" t="s">
        <v>136</v>
      </c>
      <c r="E100" s="3" t="s">
        <v>15</v>
      </c>
      <c r="F100" s="4">
        <v>42866</v>
      </c>
      <c r="G100" s="4" t="s">
        <v>112</v>
      </c>
      <c r="H100">
        <v>500</v>
      </c>
      <c r="I100">
        <v>8785</v>
      </c>
      <c r="J100">
        <v>4235</v>
      </c>
      <c r="K100">
        <v>4550</v>
      </c>
      <c r="R100" s="3"/>
      <c r="S100" s="4"/>
      <c r="T100" s="4"/>
    </row>
    <row r="101" spans="1:20" ht="13.8" x14ac:dyDescent="0.25">
      <c r="A101" t="s">
        <v>129</v>
      </c>
      <c r="B101" t="s">
        <v>13</v>
      </c>
      <c r="C101" t="s">
        <v>32</v>
      </c>
      <c r="D101" t="s">
        <v>139</v>
      </c>
      <c r="E101" s="3" t="s">
        <v>12</v>
      </c>
      <c r="F101" s="4">
        <v>42867</v>
      </c>
      <c r="G101" s="4" t="s">
        <v>101</v>
      </c>
      <c r="H101">
        <v>700</v>
      </c>
      <c r="I101">
        <v>16772</v>
      </c>
      <c r="J101">
        <v>6888</v>
      </c>
      <c r="K101">
        <v>9884</v>
      </c>
      <c r="R101" s="3"/>
      <c r="S101" s="4"/>
      <c r="T101" s="4"/>
    </row>
    <row r="102" spans="1:20" ht="13.8" x14ac:dyDescent="0.25">
      <c r="A102" t="s">
        <v>126</v>
      </c>
      <c r="B102" t="s">
        <v>11</v>
      </c>
      <c r="C102" t="s">
        <v>27</v>
      </c>
      <c r="D102" t="s">
        <v>135</v>
      </c>
      <c r="E102" s="3" t="s">
        <v>15</v>
      </c>
      <c r="F102" s="4">
        <v>42868</v>
      </c>
      <c r="G102" s="4" t="s">
        <v>128</v>
      </c>
      <c r="H102">
        <v>500</v>
      </c>
      <c r="I102">
        <v>9380</v>
      </c>
      <c r="J102">
        <v>4235</v>
      </c>
      <c r="K102">
        <v>5145</v>
      </c>
      <c r="R102" s="3"/>
      <c r="S102" s="4"/>
      <c r="T102" s="4"/>
    </row>
    <row r="103" spans="1:20" ht="13.8" x14ac:dyDescent="0.25">
      <c r="A103" t="s">
        <v>129</v>
      </c>
      <c r="B103" t="s">
        <v>13</v>
      </c>
      <c r="C103" t="s">
        <v>32</v>
      </c>
      <c r="D103" t="s">
        <v>139</v>
      </c>
      <c r="E103" s="3" t="s">
        <v>10</v>
      </c>
      <c r="F103" s="4">
        <v>42868</v>
      </c>
      <c r="G103" s="4" t="s">
        <v>101</v>
      </c>
      <c r="H103">
        <v>500</v>
      </c>
      <c r="I103">
        <v>12625</v>
      </c>
      <c r="J103">
        <v>5110</v>
      </c>
      <c r="K103">
        <v>7515</v>
      </c>
      <c r="R103" s="3"/>
      <c r="S103" s="4"/>
      <c r="T103" s="4"/>
    </row>
    <row r="104" spans="1:20" ht="13.8" x14ac:dyDescent="0.25">
      <c r="A104" t="s">
        <v>126</v>
      </c>
      <c r="B104" t="s">
        <v>9</v>
      </c>
      <c r="C104" t="s">
        <v>22</v>
      </c>
      <c r="D104" t="s">
        <v>141</v>
      </c>
      <c r="E104" s="3" t="s">
        <v>15</v>
      </c>
      <c r="F104" s="4">
        <v>42869</v>
      </c>
      <c r="G104" s="4" t="s">
        <v>111</v>
      </c>
      <c r="H104">
        <v>500</v>
      </c>
      <c r="I104">
        <v>9635</v>
      </c>
      <c r="J104">
        <v>4235</v>
      </c>
      <c r="K104">
        <v>5400</v>
      </c>
      <c r="R104" s="3"/>
      <c r="S104" s="4"/>
      <c r="T104" s="4"/>
    </row>
    <row r="105" spans="1:20" ht="13.8" x14ac:dyDescent="0.25">
      <c r="A105" t="s">
        <v>131</v>
      </c>
      <c r="B105" t="s">
        <v>13</v>
      </c>
      <c r="C105" t="s">
        <v>29</v>
      </c>
      <c r="D105" t="s">
        <v>143</v>
      </c>
      <c r="E105" s="3" t="s">
        <v>12</v>
      </c>
      <c r="F105" s="4">
        <v>42871</v>
      </c>
      <c r="G105" s="4" t="s">
        <v>115</v>
      </c>
      <c r="H105">
        <v>300</v>
      </c>
      <c r="I105">
        <v>6156</v>
      </c>
      <c r="J105">
        <v>2952</v>
      </c>
      <c r="K105">
        <v>3204</v>
      </c>
      <c r="R105" s="3"/>
      <c r="S105" s="4"/>
      <c r="T105" s="4"/>
    </row>
    <row r="106" spans="1:20" ht="13.8" x14ac:dyDescent="0.25">
      <c r="A106" t="s">
        <v>126</v>
      </c>
      <c r="B106" t="s">
        <v>9</v>
      </c>
      <c r="C106" t="s">
        <v>25</v>
      </c>
      <c r="D106" t="s">
        <v>142</v>
      </c>
      <c r="E106" s="3" t="s">
        <v>12</v>
      </c>
      <c r="F106" s="4">
        <v>42874</v>
      </c>
      <c r="G106" s="4" t="s">
        <v>114</v>
      </c>
      <c r="H106">
        <v>900</v>
      </c>
      <c r="I106">
        <v>17757</v>
      </c>
      <c r="J106">
        <v>8856</v>
      </c>
      <c r="K106">
        <v>8901</v>
      </c>
      <c r="R106" s="3"/>
      <c r="S106" s="4"/>
      <c r="T106" s="4"/>
    </row>
    <row r="107" spans="1:20" ht="13.8" x14ac:dyDescent="0.25">
      <c r="A107" t="s">
        <v>129</v>
      </c>
      <c r="B107" t="s">
        <v>14</v>
      </c>
      <c r="C107" t="s">
        <v>31</v>
      </c>
      <c r="D107" t="s">
        <v>138</v>
      </c>
      <c r="E107" s="3" t="s">
        <v>10</v>
      </c>
      <c r="F107" s="4">
        <v>42875</v>
      </c>
      <c r="G107" s="4" t="s">
        <v>119</v>
      </c>
      <c r="H107">
        <v>200</v>
      </c>
      <c r="I107">
        <v>4846</v>
      </c>
      <c r="J107">
        <v>2044</v>
      </c>
      <c r="K107">
        <v>2802</v>
      </c>
      <c r="R107" s="3"/>
      <c r="S107" s="4"/>
      <c r="T107" s="4"/>
    </row>
    <row r="108" spans="1:20" ht="13.8" x14ac:dyDescent="0.25">
      <c r="A108" t="s">
        <v>126</v>
      </c>
      <c r="B108" t="s">
        <v>11</v>
      </c>
      <c r="C108" t="s">
        <v>27</v>
      </c>
      <c r="D108" t="s">
        <v>135</v>
      </c>
      <c r="E108" s="3" t="s">
        <v>15</v>
      </c>
      <c r="F108" s="4">
        <v>42876</v>
      </c>
      <c r="G108" s="4" t="s">
        <v>128</v>
      </c>
      <c r="H108">
        <v>600</v>
      </c>
      <c r="I108">
        <v>11208</v>
      </c>
      <c r="J108">
        <v>5082</v>
      </c>
      <c r="K108">
        <v>6126</v>
      </c>
      <c r="R108" s="3"/>
      <c r="S108" s="4"/>
      <c r="T108" s="4"/>
    </row>
    <row r="109" spans="1:20" ht="13.8" x14ac:dyDescent="0.25">
      <c r="A109" t="s">
        <v>126</v>
      </c>
      <c r="B109" t="s">
        <v>13</v>
      </c>
      <c r="C109" t="s">
        <v>28</v>
      </c>
      <c r="D109" t="s">
        <v>140</v>
      </c>
      <c r="E109" s="3" t="s">
        <v>12</v>
      </c>
      <c r="F109" s="4">
        <v>42877</v>
      </c>
      <c r="G109" s="4" t="s">
        <v>108</v>
      </c>
      <c r="H109">
        <v>500</v>
      </c>
      <c r="I109">
        <v>10195</v>
      </c>
      <c r="J109">
        <v>4920</v>
      </c>
      <c r="K109">
        <v>5275</v>
      </c>
      <c r="R109" s="3"/>
      <c r="S109" s="4"/>
      <c r="T109" s="4"/>
    </row>
    <row r="110" spans="1:20" ht="13.8" x14ac:dyDescent="0.25">
      <c r="A110" t="s">
        <v>130</v>
      </c>
      <c r="B110" t="s">
        <v>11</v>
      </c>
      <c r="C110" t="s">
        <v>27</v>
      </c>
      <c r="D110" t="s">
        <v>135</v>
      </c>
      <c r="E110" s="3" t="s">
        <v>15</v>
      </c>
      <c r="F110" s="4">
        <v>42878</v>
      </c>
      <c r="G110" s="4" t="s">
        <v>106</v>
      </c>
      <c r="H110">
        <v>200</v>
      </c>
      <c r="I110">
        <v>4012</v>
      </c>
      <c r="J110">
        <v>1694</v>
      </c>
      <c r="K110">
        <v>2318</v>
      </c>
      <c r="R110" s="3"/>
      <c r="S110" s="4"/>
      <c r="T110" s="4"/>
    </row>
    <row r="111" spans="1:20" ht="13.8" x14ac:dyDescent="0.25">
      <c r="A111" t="s">
        <v>130</v>
      </c>
      <c r="B111" t="s">
        <v>9</v>
      </c>
      <c r="C111" t="s">
        <v>24</v>
      </c>
      <c r="D111" t="s">
        <v>134</v>
      </c>
      <c r="E111" s="3" t="s">
        <v>15</v>
      </c>
      <c r="F111" s="4">
        <v>42878</v>
      </c>
      <c r="G111" s="4" t="s">
        <v>105</v>
      </c>
      <c r="H111">
        <v>700</v>
      </c>
      <c r="I111">
        <v>12803</v>
      </c>
      <c r="J111">
        <v>5929</v>
      </c>
      <c r="K111">
        <v>6874</v>
      </c>
      <c r="R111" s="3"/>
      <c r="S111" s="4"/>
      <c r="T111" s="4"/>
    </row>
    <row r="112" spans="1:20" ht="13.8" x14ac:dyDescent="0.25">
      <c r="A112" t="s">
        <v>16</v>
      </c>
      <c r="B112" t="s">
        <v>13</v>
      </c>
      <c r="C112" t="s">
        <v>30</v>
      </c>
      <c r="D112" t="s">
        <v>136</v>
      </c>
      <c r="E112" s="3" t="s">
        <v>12</v>
      </c>
      <c r="F112" s="4">
        <v>42879</v>
      </c>
      <c r="G112" s="4" t="s">
        <v>112</v>
      </c>
      <c r="H112">
        <v>100</v>
      </c>
      <c r="I112">
        <v>2319</v>
      </c>
      <c r="J112">
        <v>984</v>
      </c>
      <c r="K112">
        <v>1335</v>
      </c>
      <c r="R112" s="3"/>
      <c r="S112" s="4"/>
      <c r="T112" s="4"/>
    </row>
    <row r="113" spans="1:20" ht="13.8" x14ac:dyDescent="0.25">
      <c r="A113" t="s">
        <v>130</v>
      </c>
      <c r="B113" t="s">
        <v>9</v>
      </c>
      <c r="C113" t="s">
        <v>24</v>
      </c>
      <c r="D113" t="s">
        <v>134</v>
      </c>
      <c r="E113" s="3" t="s">
        <v>15</v>
      </c>
      <c r="F113" s="4">
        <v>42879</v>
      </c>
      <c r="G113" s="4" t="s">
        <v>105</v>
      </c>
      <c r="H113">
        <v>600</v>
      </c>
      <c r="I113">
        <v>11700</v>
      </c>
      <c r="J113">
        <v>5082</v>
      </c>
      <c r="K113">
        <v>6618</v>
      </c>
      <c r="R113" s="3"/>
      <c r="S113" s="4"/>
      <c r="T113" s="4"/>
    </row>
    <row r="114" spans="1:20" ht="13.8" x14ac:dyDescent="0.25">
      <c r="A114" t="s">
        <v>16</v>
      </c>
      <c r="B114" t="s">
        <v>13</v>
      </c>
      <c r="C114" t="s">
        <v>30</v>
      </c>
      <c r="D114" t="s">
        <v>136</v>
      </c>
      <c r="E114" s="3" t="s">
        <v>12</v>
      </c>
      <c r="F114" s="4">
        <v>42881</v>
      </c>
      <c r="G114" s="4" t="s">
        <v>112</v>
      </c>
      <c r="H114">
        <v>600</v>
      </c>
      <c r="I114">
        <v>12048</v>
      </c>
      <c r="J114">
        <v>5904</v>
      </c>
      <c r="K114">
        <v>6144</v>
      </c>
      <c r="R114" s="3"/>
      <c r="S114" s="4"/>
      <c r="T114" s="4"/>
    </row>
    <row r="115" spans="1:20" ht="13.8" x14ac:dyDescent="0.25">
      <c r="A115" t="s">
        <v>126</v>
      </c>
      <c r="B115" t="s">
        <v>11</v>
      </c>
      <c r="C115" t="s">
        <v>27</v>
      </c>
      <c r="D115" t="s">
        <v>135</v>
      </c>
      <c r="E115" s="3" t="s">
        <v>10</v>
      </c>
      <c r="F115" s="4">
        <v>42883</v>
      </c>
      <c r="G115" s="4" t="s">
        <v>107</v>
      </c>
      <c r="H115">
        <v>700</v>
      </c>
      <c r="I115">
        <v>14469</v>
      </c>
      <c r="J115">
        <v>7154</v>
      </c>
      <c r="K115">
        <v>7315</v>
      </c>
      <c r="R115" s="3"/>
      <c r="S115" s="4"/>
      <c r="T115" s="4"/>
    </row>
    <row r="116" spans="1:20" ht="13.8" x14ac:dyDescent="0.25">
      <c r="A116" t="s">
        <v>16</v>
      </c>
      <c r="B116" t="s">
        <v>13</v>
      </c>
      <c r="C116" t="s">
        <v>30</v>
      </c>
      <c r="D116" t="s">
        <v>136</v>
      </c>
      <c r="E116" s="3" t="s">
        <v>15</v>
      </c>
      <c r="F116" s="4">
        <v>42884</v>
      </c>
      <c r="G116" s="4" t="s">
        <v>112</v>
      </c>
      <c r="H116">
        <v>900</v>
      </c>
      <c r="I116">
        <v>17964</v>
      </c>
      <c r="J116">
        <v>7623</v>
      </c>
      <c r="K116">
        <v>10341</v>
      </c>
      <c r="R116" s="3"/>
      <c r="S116" s="4"/>
      <c r="T116" s="4"/>
    </row>
    <row r="117" spans="1:20" ht="13.8" x14ac:dyDescent="0.25">
      <c r="A117" t="s">
        <v>126</v>
      </c>
      <c r="B117" t="s">
        <v>13</v>
      </c>
      <c r="C117" t="s">
        <v>28</v>
      </c>
      <c r="D117" t="s">
        <v>140</v>
      </c>
      <c r="E117" s="3" t="s">
        <v>15</v>
      </c>
      <c r="F117" s="4">
        <v>42885</v>
      </c>
      <c r="G117" s="4" t="s">
        <v>108</v>
      </c>
      <c r="H117">
        <v>700</v>
      </c>
      <c r="I117">
        <v>13412</v>
      </c>
      <c r="J117">
        <v>5929</v>
      </c>
      <c r="K117">
        <v>7483</v>
      </c>
      <c r="R117" s="3"/>
      <c r="S117" s="4"/>
      <c r="T117" s="4"/>
    </row>
    <row r="118" spans="1:20" ht="13.8" x14ac:dyDescent="0.25">
      <c r="A118" t="s">
        <v>130</v>
      </c>
      <c r="B118" t="s">
        <v>9</v>
      </c>
      <c r="C118" t="s">
        <v>24</v>
      </c>
      <c r="D118" t="s">
        <v>134</v>
      </c>
      <c r="E118" s="3" t="s">
        <v>10</v>
      </c>
      <c r="F118" s="4">
        <v>42885</v>
      </c>
      <c r="G118" s="4" t="s">
        <v>105</v>
      </c>
      <c r="H118">
        <v>300</v>
      </c>
      <c r="I118">
        <v>6660</v>
      </c>
      <c r="J118">
        <v>3066</v>
      </c>
      <c r="K118">
        <v>3594</v>
      </c>
      <c r="R118" s="3"/>
      <c r="S118" s="4"/>
      <c r="T118" s="4"/>
    </row>
    <row r="119" spans="1:20" ht="13.8" x14ac:dyDescent="0.25">
      <c r="A119" t="s">
        <v>126</v>
      </c>
      <c r="B119" t="s">
        <v>11</v>
      </c>
      <c r="C119" t="s">
        <v>27</v>
      </c>
      <c r="D119" t="s">
        <v>135</v>
      </c>
      <c r="E119" s="3" t="s">
        <v>10</v>
      </c>
      <c r="F119" s="4">
        <v>42886</v>
      </c>
      <c r="G119" s="4" t="s">
        <v>128</v>
      </c>
      <c r="H119">
        <v>900</v>
      </c>
      <c r="I119">
        <v>18918</v>
      </c>
      <c r="J119">
        <v>9198</v>
      </c>
      <c r="K119">
        <v>9720</v>
      </c>
      <c r="R119" s="3"/>
      <c r="S119" s="4"/>
      <c r="T119" s="4"/>
    </row>
    <row r="120" spans="1:20" ht="13.8" x14ac:dyDescent="0.25">
      <c r="A120" t="s">
        <v>130</v>
      </c>
      <c r="B120" t="s">
        <v>9</v>
      </c>
      <c r="C120" t="s">
        <v>24</v>
      </c>
      <c r="D120" t="s">
        <v>134</v>
      </c>
      <c r="E120" s="3" t="s">
        <v>15</v>
      </c>
      <c r="F120" s="4">
        <v>42887</v>
      </c>
      <c r="G120" s="4" t="s">
        <v>105</v>
      </c>
      <c r="H120">
        <v>700</v>
      </c>
      <c r="I120">
        <v>13986</v>
      </c>
      <c r="J120">
        <v>5929</v>
      </c>
      <c r="K120">
        <v>8057</v>
      </c>
      <c r="R120" s="3"/>
      <c r="S120" s="4"/>
      <c r="T120" s="4"/>
    </row>
    <row r="121" spans="1:20" ht="13.8" x14ac:dyDescent="0.25">
      <c r="A121" t="s">
        <v>126</v>
      </c>
      <c r="B121" t="s">
        <v>11</v>
      </c>
      <c r="C121" t="s">
        <v>27</v>
      </c>
      <c r="D121" t="s">
        <v>135</v>
      </c>
      <c r="E121" s="3" t="s">
        <v>12</v>
      </c>
      <c r="F121" s="4">
        <v>42889</v>
      </c>
      <c r="G121" s="4" t="s">
        <v>107</v>
      </c>
      <c r="H121">
        <v>1000</v>
      </c>
      <c r="I121">
        <v>20480</v>
      </c>
      <c r="J121">
        <v>9840</v>
      </c>
      <c r="K121">
        <v>10640</v>
      </c>
      <c r="R121" s="3"/>
      <c r="S121" s="4"/>
      <c r="T121" s="4"/>
    </row>
    <row r="122" spans="1:20" ht="13.8" x14ac:dyDescent="0.25">
      <c r="A122" t="s">
        <v>129</v>
      </c>
      <c r="B122" t="s">
        <v>13</v>
      </c>
      <c r="C122" t="s">
        <v>32</v>
      </c>
      <c r="D122" t="s">
        <v>139</v>
      </c>
      <c r="E122" s="3" t="s">
        <v>10</v>
      </c>
      <c r="F122" s="4">
        <v>42892</v>
      </c>
      <c r="G122" s="4" t="s">
        <v>101</v>
      </c>
      <c r="H122">
        <v>200</v>
      </c>
      <c r="I122">
        <v>4264</v>
      </c>
      <c r="J122">
        <v>2044</v>
      </c>
      <c r="K122">
        <v>2220</v>
      </c>
      <c r="R122" s="3"/>
      <c r="S122" s="4"/>
      <c r="T122" s="4"/>
    </row>
    <row r="123" spans="1:20" ht="13.8" x14ac:dyDescent="0.25">
      <c r="A123" t="s">
        <v>16</v>
      </c>
      <c r="B123" t="s">
        <v>9</v>
      </c>
      <c r="C123" t="s">
        <v>26</v>
      </c>
      <c r="D123" t="s">
        <v>144</v>
      </c>
      <c r="E123" s="3" t="s">
        <v>12</v>
      </c>
      <c r="F123" s="4">
        <v>42893</v>
      </c>
      <c r="G123" s="4" t="s">
        <v>120</v>
      </c>
      <c r="H123">
        <v>200</v>
      </c>
      <c r="I123">
        <v>4282</v>
      </c>
      <c r="J123">
        <v>1968</v>
      </c>
      <c r="K123">
        <v>2314</v>
      </c>
      <c r="R123" s="3"/>
      <c r="S123" s="4"/>
      <c r="T123" s="4"/>
    </row>
    <row r="124" spans="1:20" ht="13.8" x14ac:dyDescent="0.25">
      <c r="A124" t="s">
        <v>126</v>
      </c>
      <c r="B124" t="s">
        <v>11</v>
      </c>
      <c r="C124" t="s">
        <v>27</v>
      </c>
      <c r="D124" t="s">
        <v>135</v>
      </c>
      <c r="E124" s="3" t="s">
        <v>10</v>
      </c>
      <c r="F124" s="4">
        <v>42894</v>
      </c>
      <c r="G124" s="4" t="s">
        <v>107</v>
      </c>
      <c r="H124">
        <v>500</v>
      </c>
      <c r="I124">
        <v>12135</v>
      </c>
      <c r="J124">
        <v>5110</v>
      </c>
      <c r="K124">
        <v>7025</v>
      </c>
      <c r="R124" s="3"/>
      <c r="S124" s="4"/>
      <c r="T124" s="4"/>
    </row>
    <row r="125" spans="1:20" ht="13.8" x14ac:dyDescent="0.25">
      <c r="A125" t="s">
        <v>126</v>
      </c>
      <c r="B125" t="s">
        <v>11</v>
      </c>
      <c r="C125" t="s">
        <v>27</v>
      </c>
      <c r="D125" t="s">
        <v>135</v>
      </c>
      <c r="E125" s="3" t="s">
        <v>12</v>
      </c>
      <c r="F125" s="4">
        <v>42896</v>
      </c>
      <c r="G125" s="4" t="s">
        <v>107</v>
      </c>
      <c r="H125">
        <v>200</v>
      </c>
      <c r="I125">
        <v>4286</v>
      </c>
      <c r="J125">
        <v>1968</v>
      </c>
      <c r="K125">
        <v>2318</v>
      </c>
      <c r="R125" s="3"/>
      <c r="S125" s="4"/>
      <c r="T125" s="4"/>
    </row>
    <row r="126" spans="1:20" ht="13.8" x14ac:dyDescent="0.25">
      <c r="A126" t="s">
        <v>130</v>
      </c>
      <c r="B126" t="s">
        <v>11</v>
      </c>
      <c r="C126" t="s">
        <v>27</v>
      </c>
      <c r="D126" t="s">
        <v>135</v>
      </c>
      <c r="E126" s="3" t="s">
        <v>10</v>
      </c>
      <c r="F126" s="4">
        <v>42898</v>
      </c>
      <c r="G126" s="4" t="s">
        <v>106</v>
      </c>
      <c r="H126">
        <v>500</v>
      </c>
      <c r="I126">
        <v>10650</v>
      </c>
      <c r="J126">
        <v>5110</v>
      </c>
      <c r="K126">
        <v>5540</v>
      </c>
      <c r="R126" s="3"/>
      <c r="S126" s="4"/>
      <c r="T126" s="4"/>
    </row>
    <row r="127" spans="1:20" ht="13.8" x14ac:dyDescent="0.25">
      <c r="A127" t="s">
        <v>130</v>
      </c>
      <c r="B127" t="s">
        <v>11</v>
      </c>
      <c r="C127" t="s">
        <v>27</v>
      </c>
      <c r="D127" t="s">
        <v>135</v>
      </c>
      <c r="E127" s="3" t="s">
        <v>15</v>
      </c>
      <c r="F127" s="4">
        <v>42899</v>
      </c>
      <c r="G127" s="4" t="s">
        <v>106</v>
      </c>
      <c r="H127">
        <v>1000</v>
      </c>
      <c r="I127">
        <v>19630</v>
      </c>
      <c r="J127">
        <v>8470</v>
      </c>
      <c r="K127">
        <v>11160</v>
      </c>
      <c r="R127" s="3"/>
      <c r="S127" s="4"/>
      <c r="T127" s="4"/>
    </row>
    <row r="128" spans="1:20" ht="13.8" x14ac:dyDescent="0.25">
      <c r="A128" t="s">
        <v>126</v>
      </c>
      <c r="B128" t="s">
        <v>11</v>
      </c>
      <c r="C128" t="s">
        <v>27</v>
      </c>
      <c r="D128" t="s">
        <v>135</v>
      </c>
      <c r="E128" s="3" t="s">
        <v>15</v>
      </c>
      <c r="F128" s="4">
        <v>42900</v>
      </c>
      <c r="G128" s="4" t="s">
        <v>128</v>
      </c>
      <c r="H128">
        <v>700</v>
      </c>
      <c r="I128">
        <v>12838</v>
      </c>
      <c r="J128">
        <v>5929</v>
      </c>
      <c r="K128">
        <v>6909</v>
      </c>
      <c r="R128" s="3"/>
      <c r="S128" s="4"/>
      <c r="T128" s="4"/>
    </row>
    <row r="129" spans="1:20" ht="13.8" x14ac:dyDescent="0.25">
      <c r="A129" t="s">
        <v>126</v>
      </c>
      <c r="B129" t="s">
        <v>9</v>
      </c>
      <c r="C129" t="s">
        <v>24</v>
      </c>
      <c r="D129" t="s">
        <v>134</v>
      </c>
      <c r="E129" s="3" t="s">
        <v>15</v>
      </c>
      <c r="F129" s="4">
        <v>42901</v>
      </c>
      <c r="G129" s="4" t="s">
        <v>100</v>
      </c>
      <c r="H129">
        <v>200</v>
      </c>
      <c r="I129">
        <v>3856</v>
      </c>
      <c r="J129">
        <v>1694</v>
      </c>
      <c r="K129">
        <v>2162</v>
      </c>
      <c r="R129" s="3"/>
      <c r="S129" s="4"/>
      <c r="T129" s="4"/>
    </row>
    <row r="130" spans="1:20" ht="13.8" x14ac:dyDescent="0.25">
      <c r="A130" t="s">
        <v>130</v>
      </c>
      <c r="B130" t="s">
        <v>11</v>
      </c>
      <c r="C130" t="s">
        <v>27</v>
      </c>
      <c r="D130" t="s">
        <v>135</v>
      </c>
      <c r="E130" s="3" t="s">
        <v>12</v>
      </c>
      <c r="F130" s="4">
        <v>42905</v>
      </c>
      <c r="G130" s="4" t="s">
        <v>110</v>
      </c>
      <c r="H130">
        <v>1000</v>
      </c>
      <c r="I130">
        <v>22140</v>
      </c>
      <c r="J130">
        <v>9840</v>
      </c>
      <c r="K130">
        <v>12300</v>
      </c>
      <c r="R130" s="3"/>
      <c r="S130" s="4"/>
      <c r="T130" s="4"/>
    </row>
    <row r="131" spans="1:20" ht="13.8" x14ac:dyDescent="0.25">
      <c r="A131" t="s">
        <v>126</v>
      </c>
      <c r="B131" t="s">
        <v>11</v>
      </c>
      <c r="C131" t="s">
        <v>27</v>
      </c>
      <c r="D131" t="s">
        <v>135</v>
      </c>
      <c r="E131" s="3" t="s">
        <v>15</v>
      </c>
      <c r="F131" s="4">
        <v>42909</v>
      </c>
      <c r="G131" s="4" t="s">
        <v>107</v>
      </c>
      <c r="H131">
        <v>500</v>
      </c>
      <c r="I131">
        <v>10330</v>
      </c>
      <c r="J131">
        <v>4235</v>
      </c>
      <c r="K131">
        <v>6095</v>
      </c>
      <c r="R131" s="3"/>
      <c r="S131" s="4"/>
      <c r="T131" s="4"/>
    </row>
    <row r="132" spans="1:20" ht="13.8" x14ac:dyDescent="0.25">
      <c r="A132" t="s">
        <v>16</v>
      </c>
      <c r="B132" t="s">
        <v>13</v>
      </c>
      <c r="C132" t="s">
        <v>30</v>
      </c>
      <c r="D132" t="s">
        <v>136</v>
      </c>
      <c r="E132" s="3" t="s">
        <v>15</v>
      </c>
      <c r="F132" s="4">
        <v>42910</v>
      </c>
      <c r="G132" s="4" t="s">
        <v>112</v>
      </c>
      <c r="H132">
        <v>100</v>
      </c>
      <c r="I132">
        <v>1882</v>
      </c>
      <c r="J132">
        <v>847</v>
      </c>
      <c r="K132">
        <v>1035</v>
      </c>
      <c r="R132" s="3"/>
      <c r="S132" s="4"/>
      <c r="T132" s="4"/>
    </row>
    <row r="133" spans="1:20" ht="13.8" x14ac:dyDescent="0.25">
      <c r="A133" t="s">
        <v>126</v>
      </c>
      <c r="B133" t="s">
        <v>9</v>
      </c>
      <c r="C133" t="s">
        <v>24</v>
      </c>
      <c r="D133" t="s">
        <v>134</v>
      </c>
      <c r="E133" s="3" t="s">
        <v>12</v>
      </c>
      <c r="F133" s="4">
        <v>42911</v>
      </c>
      <c r="G133" s="4" t="s">
        <v>100</v>
      </c>
      <c r="H133">
        <v>100</v>
      </c>
      <c r="I133">
        <v>2221</v>
      </c>
      <c r="J133">
        <v>984</v>
      </c>
      <c r="K133">
        <v>1237</v>
      </c>
      <c r="R133" s="3"/>
      <c r="S133" s="4"/>
      <c r="T133" s="4"/>
    </row>
    <row r="134" spans="1:20" ht="13.8" x14ac:dyDescent="0.25">
      <c r="A134" t="s">
        <v>16</v>
      </c>
      <c r="B134" t="s">
        <v>13</v>
      </c>
      <c r="C134" t="s">
        <v>30</v>
      </c>
      <c r="D134" t="s">
        <v>136</v>
      </c>
      <c r="E134" s="3" t="s">
        <v>15</v>
      </c>
      <c r="F134" s="4">
        <v>42912</v>
      </c>
      <c r="G134" s="4" t="s">
        <v>112</v>
      </c>
      <c r="H134">
        <v>700</v>
      </c>
      <c r="I134">
        <v>13734</v>
      </c>
      <c r="J134">
        <v>5929</v>
      </c>
      <c r="K134">
        <v>7805</v>
      </c>
      <c r="R134" s="3"/>
      <c r="S134" s="4"/>
      <c r="T134" s="4"/>
    </row>
    <row r="135" spans="1:20" ht="13.8" x14ac:dyDescent="0.25">
      <c r="A135" t="s">
        <v>131</v>
      </c>
      <c r="B135" t="s">
        <v>13</v>
      </c>
      <c r="C135" t="s">
        <v>29</v>
      </c>
      <c r="D135" t="s">
        <v>143</v>
      </c>
      <c r="E135" s="3" t="s">
        <v>12</v>
      </c>
      <c r="F135" s="4">
        <v>42912</v>
      </c>
      <c r="G135" s="4" t="s">
        <v>115</v>
      </c>
      <c r="H135">
        <v>800</v>
      </c>
      <c r="I135">
        <v>15856</v>
      </c>
      <c r="J135">
        <v>7872</v>
      </c>
      <c r="K135">
        <v>7984</v>
      </c>
      <c r="R135" s="3"/>
      <c r="S135" s="4"/>
      <c r="T135" s="4"/>
    </row>
    <row r="136" spans="1:20" ht="13.8" x14ac:dyDescent="0.25">
      <c r="A136" t="s">
        <v>129</v>
      </c>
      <c r="B136" t="s">
        <v>14</v>
      </c>
      <c r="C136" t="s">
        <v>31</v>
      </c>
      <c r="D136" t="s">
        <v>138</v>
      </c>
      <c r="E136" s="3" t="s">
        <v>12</v>
      </c>
      <c r="F136" s="4">
        <v>42913</v>
      </c>
      <c r="G136" s="4" t="s">
        <v>104</v>
      </c>
      <c r="H136">
        <v>200</v>
      </c>
      <c r="I136">
        <v>4754</v>
      </c>
      <c r="J136">
        <v>1968</v>
      </c>
      <c r="K136">
        <v>2786</v>
      </c>
      <c r="R136" s="3"/>
      <c r="S136" s="4"/>
      <c r="T136" s="4"/>
    </row>
    <row r="137" spans="1:20" ht="13.8" x14ac:dyDescent="0.25">
      <c r="A137" t="s">
        <v>16</v>
      </c>
      <c r="B137" t="s">
        <v>13</v>
      </c>
      <c r="C137" t="s">
        <v>30</v>
      </c>
      <c r="D137" t="s">
        <v>136</v>
      </c>
      <c r="E137" s="3" t="s">
        <v>12</v>
      </c>
      <c r="F137" s="4">
        <v>42916</v>
      </c>
      <c r="G137" s="4" t="s">
        <v>112</v>
      </c>
      <c r="H137">
        <v>100</v>
      </c>
      <c r="I137">
        <v>2231</v>
      </c>
      <c r="J137">
        <v>984</v>
      </c>
      <c r="K137">
        <v>1247</v>
      </c>
      <c r="R137" s="3"/>
      <c r="S137" s="4"/>
      <c r="T137" s="4"/>
    </row>
    <row r="138" spans="1:20" ht="13.8" x14ac:dyDescent="0.25">
      <c r="A138" t="s">
        <v>126</v>
      </c>
      <c r="B138" t="s">
        <v>11</v>
      </c>
      <c r="C138" t="s">
        <v>27</v>
      </c>
      <c r="D138" t="s">
        <v>135</v>
      </c>
      <c r="E138" s="3" t="s">
        <v>10</v>
      </c>
      <c r="F138" s="4">
        <v>42918</v>
      </c>
      <c r="G138" s="4" t="s">
        <v>128</v>
      </c>
      <c r="H138">
        <v>900</v>
      </c>
      <c r="I138">
        <v>21960</v>
      </c>
      <c r="J138">
        <v>9198</v>
      </c>
      <c r="K138">
        <v>12762</v>
      </c>
      <c r="R138" s="3"/>
      <c r="S138" s="4"/>
      <c r="T138" s="4"/>
    </row>
    <row r="139" spans="1:20" ht="13.8" x14ac:dyDescent="0.25">
      <c r="A139" t="s">
        <v>130</v>
      </c>
      <c r="B139" t="s">
        <v>9</v>
      </c>
      <c r="C139" t="s">
        <v>22</v>
      </c>
      <c r="D139" t="s">
        <v>141</v>
      </c>
      <c r="E139" s="3" t="s">
        <v>10</v>
      </c>
      <c r="F139" s="4">
        <v>42919</v>
      </c>
      <c r="G139" s="4" t="s">
        <v>121</v>
      </c>
      <c r="H139">
        <v>300</v>
      </c>
      <c r="I139">
        <v>7167</v>
      </c>
      <c r="J139">
        <v>3066</v>
      </c>
      <c r="K139">
        <v>4101</v>
      </c>
      <c r="R139" s="3"/>
      <c r="S139" s="4"/>
      <c r="T139" s="4"/>
    </row>
    <row r="140" spans="1:20" ht="13.8" x14ac:dyDescent="0.25">
      <c r="A140" t="s">
        <v>129</v>
      </c>
      <c r="B140" t="s">
        <v>13</v>
      </c>
      <c r="C140" t="s">
        <v>32</v>
      </c>
      <c r="D140" t="s">
        <v>139</v>
      </c>
      <c r="E140" s="3" t="s">
        <v>10</v>
      </c>
      <c r="F140" s="4">
        <v>42919</v>
      </c>
      <c r="G140" s="4" t="s">
        <v>101</v>
      </c>
      <c r="H140">
        <v>900</v>
      </c>
      <c r="I140">
        <v>22716</v>
      </c>
      <c r="J140">
        <v>9198</v>
      </c>
      <c r="K140">
        <v>13518</v>
      </c>
      <c r="R140" s="3"/>
      <c r="S140" s="4"/>
      <c r="T140" s="4"/>
    </row>
    <row r="141" spans="1:20" ht="13.8" x14ac:dyDescent="0.25">
      <c r="A141" t="s">
        <v>126</v>
      </c>
      <c r="B141" t="s">
        <v>13</v>
      </c>
      <c r="C141" t="s">
        <v>28</v>
      </c>
      <c r="D141" t="s">
        <v>140</v>
      </c>
      <c r="E141" s="3" t="s">
        <v>10</v>
      </c>
      <c r="F141" s="4">
        <v>42920</v>
      </c>
      <c r="G141" s="4" t="s">
        <v>108</v>
      </c>
      <c r="H141">
        <v>900</v>
      </c>
      <c r="I141">
        <v>19062</v>
      </c>
      <c r="J141">
        <v>9198</v>
      </c>
      <c r="K141">
        <v>9864</v>
      </c>
      <c r="R141" s="3"/>
      <c r="S141" s="4"/>
      <c r="T141" s="4"/>
    </row>
    <row r="142" spans="1:20" ht="13.8" x14ac:dyDescent="0.25">
      <c r="A142" t="s">
        <v>130</v>
      </c>
      <c r="B142" t="s">
        <v>9</v>
      </c>
      <c r="C142" t="s">
        <v>24</v>
      </c>
      <c r="D142" t="s">
        <v>134</v>
      </c>
      <c r="E142" s="3" t="s">
        <v>10</v>
      </c>
      <c r="F142" s="4">
        <v>42921</v>
      </c>
      <c r="G142" s="4" t="s">
        <v>105</v>
      </c>
      <c r="H142">
        <v>300</v>
      </c>
      <c r="I142">
        <v>7593</v>
      </c>
      <c r="J142">
        <v>3066</v>
      </c>
      <c r="K142">
        <v>4527</v>
      </c>
      <c r="R142" s="3"/>
      <c r="S142" s="4"/>
      <c r="T142" s="4"/>
    </row>
    <row r="143" spans="1:20" ht="13.8" x14ac:dyDescent="0.25">
      <c r="A143" t="s">
        <v>16</v>
      </c>
      <c r="B143" t="s">
        <v>13</v>
      </c>
      <c r="C143" t="s">
        <v>30</v>
      </c>
      <c r="D143" t="s">
        <v>136</v>
      </c>
      <c r="E143" s="3" t="s">
        <v>12</v>
      </c>
      <c r="F143" s="4">
        <v>42924</v>
      </c>
      <c r="G143" s="4" t="s">
        <v>112</v>
      </c>
      <c r="H143">
        <v>900</v>
      </c>
      <c r="I143">
        <v>21168</v>
      </c>
      <c r="J143">
        <v>8856</v>
      </c>
      <c r="K143">
        <v>12312</v>
      </c>
      <c r="R143" s="3"/>
      <c r="S143" s="4"/>
      <c r="T143" s="4"/>
    </row>
    <row r="144" spans="1:20" ht="13.8" x14ac:dyDescent="0.25">
      <c r="A144" t="s">
        <v>126</v>
      </c>
      <c r="B144" t="s">
        <v>9</v>
      </c>
      <c r="C144" t="s">
        <v>22</v>
      </c>
      <c r="D144" t="s">
        <v>141</v>
      </c>
      <c r="E144" s="3" t="s">
        <v>10</v>
      </c>
      <c r="F144" s="4">
        <v>42926</v>
      </c>
      <c r="G144" s="4" t="s">
        <v>111</v>
      </c>
      <c r="H144">
        <v>1000</v>
      </c>
      <c r="I144">
        <v>24130</v>
      </c>
      <c r="J144">
        <v>10220</v>
      </c>
      <c r="K144">
        <v>13910</v>
      </c>
      <c r="R144" s="3"/>
      <c r="S144" s="4"/>
      <c r="T144" s="4"/>
    </row>
    <row r="145" spans="1:20" ht="13.8" x14ac:dyDescent="0.25">
      <c r="A145" t="s">
        <v>16</v>
      </c>
      <c r="B145" t="s">
        <v>9</v>
      </c>
      <c r="C145" t="s">
        <v>26</v>
      </c>
      <c r="D145" t="s">
        <v>144</v>
      </c>
      <c r="E145" s="3" t="s">
        <v>10</v>
      </c>
      <c r="F145" s="4">
        <v>42927</v>
      </c>
      <c r="G145" s="4" t="s">
        <v>120</v>
      </c>
      <c r="H145">
        <v>400</v>
      </c>
      <c r="I145">
        <v>8876</v>
      </c>
      <c r="J145">
        <v>4088</v>
      </c>
      <c r="K145">
        <v>4788</v>
      </c>
      <c r="R145" s="3"/>
      <c r="S145" s="4"/>
      <c r="T145" s="4"/>
    </row>
    <row r="146" spans="1:20" ht="13.8" x14ac:dyDescent="0.25">
      <c r="A146" t="s">
        <v>126</v>
      </c>
      <c r="B146" t="s">
        <v>11</v>
      </c>
      <c r="C146" t="s">
        <v>27</v>
      </c>
      <c r="D146" t="s">
        <v>135</v>
      </c>
      <c r="E146" s="3" t="s">
        <v>12</v>
      </c>
      <c r="F146" s="4">
        <v>42930</v>
      </c>
      <c r="G146" s="4" t="s">
        <v>128</v>
      </c>
      <c r="H146">
        <v>900</v>
      </c>
      <c r="I146">
        <v>21555</v>
      </c>
      <c r="J146">
        <v>8856</v>
      </c>
      <c r="K146">
        <v>12699</v>
      </c>
      <c r="R146" s="3"/>
      <c r="S146" s="4"/>
      <c r="T146" s="4"/>
    </row>
    <row r="147" spans="1:20" ht="13.8" x14ac:dyDescent="0.25">
      <c r="A147" t="s">
        <v>126</v>
      </c>
      <c r="B147" t="s">
        <v>11</v>
      </c>
      <c r="C147" t="s">
        <v>27</v>
      </c>
      <c r="D147" t="s">
        <v>135</v>
      </c>
      <c r="E147" s="3" t="s">
        <v>15</v>
      </c>
      <c r="F147" s="4">
        <v>42931</v>
      </c>
      <c r="G147" s="4" t="s">
        <v>107</v>
      </c>
      <c r="H147">
        <v>300</v>
      </c>
      <c r="I147">
        <v>5967</v>
      </c>
      <c r="J147">
        <v>2541</v>
      </c>
      <c r="K147">
        <v>3426</v>
      </c>
      <c r="R147" s="3"/>
      <c r="S147" s="4"/>
      <c r="T147" s="4"/>
    </row>
    <row r="148" spans="1:20" ht="13.8" x14ac:dyDescent="0.25">
      <c r="A148" t="s">
        <v>126</v>
      </c>
      <c r="B148" t="s">
        <v>9</v>
      </c>
      <c r="C148" t="s">
        <v>24</v>
      </c>
      <c r="D148" t="s">
        <v>134</v>
      </c>
      <c r="E148" s="3" t="s">
        <v>10</v>
      </c>
      <c r="F148" s="4">
        <v>42931</v>
      </c>
      <c r="G148" s="4" t="s">
        <v>100</v>
      </c>
      <c r="H148">
        <v>700</v>
      </c>
      <c r="I148">
        <v>15876</v>
      </c>
      <c r="J148">
        <v>7154</v>
      </c>
      <c r="K148">
        <v>8722</v>
      </c>
      <c r="R148" s="3"/>
      <c r="S148" s="4"/>
      <c r="T148" s="4"/>
    </row>
    <row r="149" spans="1:20" ht="13.8" x14ac:dyDescent="0.25">
      <c r="A149" t="s">
        <v>131</v>
      </c>
      <c r="B149" t="s">
        <v>13</v>
      </c>
      <c r="C149" t="s">
        <v>29</v>
      </c>
      <c r="D149" t="s">
        <v>143</v>
      </c>
      <c r="E149" s="3" t="s">
        <v>10</v>
      </c>
      <c r="F149" s="4">
        <v>42933</v>
      </c>
      <c r="G149" s="4" t="s">
        <v>115</v>
      </c>
      <c r="H149">
        <v>1000</v>
      </c>
      <c r="I149">
        <v>25350</v>
      </c>
      <c r="J149">
        <v>10220</v>
      </c>
      <c r="K149">
        <v>15130</v>
      </c>
      <c r="R149" s="3"/>
      <c r="S149" s="4"/>
      <c r="T149" s="4"/>
    </row>
    <row r="150" spans="1:20" ht="13.8" x14ac:dyDescent="0.25">
      <c r="A150" t="s">
        <v>126</v>
      </c>
      <c r="B150" t="s">
        <v>11</v>
      </c>
      <c r="C150" t="s">
        <v>27</v>
      </c>
      <c r="D150" t="s">
        <v>135</v>
      </c>
      <c r="E150" s="3" t="s">
        <v>12</v>
      </c>
      <c r="F150" s="4">
        <v>42934</v>
      </c>
      <c r="G150" s="4" t="s">
        <v>107</v>
      </c>
      <c r="H150">
        <v>500</v>
      </c>
      <c r="I150">
        <v>11545</v>
      </c>
      <c r="J150">
        <v>4920</v>
      </c>
      <c r="K150">
        <v>6625</v>
      </c>
      <c r="R150" s="3"/>
      <c r="S150" s="4"/>
      <c r="T150" s="4"/>
    </row>
    <row r="151" spans="1:20" ht="13.8" x14ac:dyDescent="0.25">
      <c r="A151" t="s">
        <v>131</v>
      </c>
      <c r="B151" t="s">
        <v>13</v>
      </c>
      <c r="C151" t="s">
        <v>28</v>
      </c>
      <c r="D151" t="s">
        <v>140</v>
      </c>
      <c r="E151" s="3" t="s">
        <v>15</v>
      </c>
      <c r="F151" s="4">
        <v>42934</v>
      </c>
      <c r="G151" s="4" t="s">
        <v>122</v>
      </c>
      <c r="H151">
        <v>200</v>
      </c>
      <c r="I151">
        <v>4158</v>
      </c>
      <c r="J151">
        <v>1694</v>
      </c>
      <c r="K151">
        <v>2464</v>
      </c>
      <c r="R151" s="3"/>
      <c r="S151" s="4"/>
      <c r="T151" s="4"/>
    </row>
    <row r="152" spans="1:20" ht="13.8" x14ac:dyDescent="0.25">
      <c r="A152" t="s">
        <v>130</v>
      </c>
      <c r="B152" t="s">
        <v>9</v>
      </c>
      <c r="C152" t="s">
        <v>24</v>
      </c>
      <c r="D152" t="s">
        <v>134</v>
      </c>
      <c r="E152" s="3" t="s">
        <v>15</v>
      </c>
      <c r="F152" s="4">
        <v>42936</v>
      </c>
      <c r="G152" s="4" t="s">
        <v>105</v>
      </c>
      <c r="H152">
        <v>600</v>
      </c>
      <c r="I152">
        <v>12684</v>
      </c>
      <c r="J152">
        <v>5082</v>
      </c>
      <c r="K152">
        <v>7602</v>
      </c>
      <c r="R152" s="3"/>
      <c r="S152" s="4"/>
      <c r="T152" s="4"/>
    </row>
    <row r="153" spans="1:20" ht="13.8" x14ac:dyDescent="0.25">
      <c r="A153" t="s">
        <v>129</v>
      </c>
      <c r="B153" t="s">
        <v>13</v>
      </c>
      <c r="C153" t="s">
        <v>32</v>
      </c>
      <c r="D153" t="s">
        <v>139</v>
      </c>
      <c r="E153" s="3" t="s">
        <v>15</v>
      </c>
      <c r="F153" s="4">
        <v>42938</v>
      </c>
      <c r="G153" s="4" t="s">
        <v>101</v>
      </c>
      <c r="H153">
        <v>1000</v>
      </c>
      <c r="I153">
        <v>18660</v>
      </c>
      <c r="J153">
        <v>8470</v>
      </c>
      <c r="K153">
        <v>10190</v>
      </c>
      <c r="R153" s="3"/>
      <c r="S153" s="4"/>
      <c r="T153" s="4"/>
    </row>
    <row r="154" spans="1:20" ht="13.8" x14ac:dyDescent="0.25">
      <c r="A154" t="s">
        <v>126</v>
      </c>
      <c r="B154" t="s">
        <v>13</v>
      </c>
      <c r="C154" t="s">
        <v>28</v>
      </c>
      <c r="D154" t="s">
        <v>140</v>
      </c>
      <c r="E154" s="3" t="s">
        <v>12</v>
      </c>
      <c r="F154" s="4">
        <v>42939</v>
      </c>
      <c r="G154" s="4" t="s">
        <v>108</v>
      </c>
      <c r="H154">
        <v>500</v>
      </c>
      <c r="I154">
        <v>11660</v>
      </c>
      <c r="J154">
        <v>4920</v>
      </c>
      <c r="K154">
        <v>6740</v>
      </c>
      <c r="R154" s="3"/>
      <c r="S154" s="4"/>
      <c r="T154" s="4"/>
    </row>
    <row r="155" spans="1:20" ht="13.8" x14ac:dyDescent="0.25">
      <c r="A155" t="s">
        <v>130</v>
      </c>
      <c r="B155" t="s">
        <v>9</v>
      </c>
      <c r="C155" t="s">
        <v>24</v>
      </c>
      <c r="D155" t="s">
        <v>134</v>
      </c>
      <c r="E155" s="3" t="s">
        <v>12</v>
      </c>
      <c r="F155" s="4">
        <v>42942</v>
      </c>
      <c r="G155" s="4" t="s">
        <v>105</v>
      </c>
      <c r="H155">
        <v>800</v>
      </c>
      <c r="I155">
        <v>15816</v>
      </c>
      <c r="J155">
        <v>7872</v>
      </c>
      <c r="K155">
        <v>7944</v>
      </c>
      <c r="R155" s="3"/>
      <c r="S155" s="4"/>
      <c r="T155" s="4"/>
    </row>
    <row r="156" spans="1:20" ht="13.8" x14ac:dyDescent="0.25">
      <c r="A156" t="s">
        <v>130</v>
      </c>
      <c r="B156" t="s">
        <v>9</v>
      </c>
      <c r="C156" t="s">
        <v>22</v>
      </c>
      <c r="D156" t="s">
        <v>141</v>
      </c>
      <c r="E156" s="3" t="s">
        <v>10</v>
      </c>
      <c r="F156" s="4">
        <v>42943</v>
      </c>
      <c r="G156" s="4" t="s">
        <v>121</v>
      </c>
      <c r="H156">
        <v>1000</v>
      </c>
      <c r="I156">
        <v>23890</v>
      </c>
      <c r="J156">
        <v>10220</v>
      </c>
      <c r="K156">
        <v>13670</v>
      </c>
      <c r="R156" s="3"/>
      <c r="S156" s="4"/>
      <c r="T156" s="4"/>
    </row>
    <row r="157" spans="1:20" ht="13.8" x14ac:dyDescent="0.25">
      <c r="A157" t="s">
        <v>130</v>
      </c>
      <c r="B157" t="s">
        <v>11</v>
      </c>
      <c r="C157" t="s">
        <v>27</v>
      </c>
      <c r="D157" t="s">
        <v>135</v>
      </c>
      <c r="E157" s="3" t="s">
        <v>12</v>
      </c>
      <c r="F157" s="4">
        <v>42944</v>
      </c>
      <c r="G157" s="4" t="s">
        <v>106</v>
      </c>
      <c r="H157">
        <v>600</v>
      </c>
      <c r="I157">
        <v>13866</v>
      </c>
      <c r="J157">
        <v>5904</v>
      </c>
      <c r="K157">
        <v>7962</v>
      </c>
      <c r="R157" s="3"/>
      <c r="S157" s="4"/>
      <c r="T157" s="4"/>
    </row>
    <row r="158" spans="1:20" ht="13.8" x14ac:dyDescent="0.25">
      <c r="A158" t="s">
        <v>129</v>
      </c>
      <c r="B158" t="s">
        <v>14</v>
      </c>
      <c r="C158" t="s">
        <v>31</v>
      </c>
      <c r="D158" t="s">
        <v>138</v>
      </c>
      <c r="E158" s="3" t="s">
        <v>15</v>
      </c>
      <c r="F158" s="4">
        <v>42945</v>
      </c>
      <c r="G158" s="4" t="s">
        <v>119</v>
      </c>
      <c r="H158">
        <v>1000</v>
      </c>
      <c r="I158">
        <v>17840</v>
      </c>
      <c r="J158">
        <v>8470</v>
      </c>
      <c r="K158">
        <v>9370</v>
      </c>
      <c r="R158" s="3"/>
      <c r="S158" s="4"/>
      <c r="T158" s="4"/>
    </row>
    <row r="159" spans="1:20" ht="13.8" x14ac:dyDescent="0.25">
      <c r="A159" t="s">
        <v>129</v>
      </c>
      <c r="B159" t="s">
        <v>13</v>
      </c>
      <c r="C159" t="s">
        <v>32</v>
      </c>
      <c r="D159" t="s">
        <v>139</v>
      </c>
      <c r="E159" s="3" t="s">
        <v>15</v>
      </c>
      <c r="F159" s="4">
        <v>42945</v>
      </c>
      <c r="G159" s="4" t="s">
        <v>101</v>
      </c>
      <c r="H159">
        <v>800</v>
      </c>
      <c r="I159">
        <v>13936</v>
      </c>
      <c r="J159">
        <v>6776</v>
      </c>
      <c r="K159">
        <v>7160</v>
      </c>
      <c r="R159" s="3"/>
      <c r="S159" s="4"/>
      <c r="T159" s="4"/>
    </row>
    <row r="160" spans="1:20" ht="13.8" x14ac:dyDescent="0.25">
      <c r="A160" t="s">
        <v>126</v>
      </c>
      <c r="B160" t="s">
        <v>11</v>
      </c>
      <c r="C160" t="s">
        <v>27</v>
      </c>
      <c r="D160" t="s">
        <v>135</v>
      </c>
      <c r="E160" s="3" t="s">
        <v>10</v>
      </c>
      <c r="F160" s="4">
        <v>42946</v>
      </c>
      <c r="G160" s="4" t="s">
        <v>128</v>
      </c>
      <c r="H160">
        <v>600</v>
      </c>
      <c r="I160">
        <v>12984</v>
      </c>
      <c r="J160">
        <v>6132</v>
      </c>
      <c r="K160">
        <v>6852</v>
      </c>
      <c r="R160" s="3"/>
      <c r="S160" s="4"/>
      <c r="T160" s="4"/>
    </row>
    <row r="161" spans="1:20" ht="13.8" x14ac:dyDescent="0.25">
      <c r="A161" t="s">
        <v>126</v>
      </c>
      <c r="B161" t="s">
        <v>11</v>
      </c>
      <c r="C161" t="s">
        <v>27</v>
      </c>
      <c r="D161" t="s">
        <v>135</v>
      </c>
      <c r="E161" s="3" t="s">
        <v>12</v>
      </c>
      <c r="F161" s="4">
        <v>42947</v>
      </c>
      <c r="G161" s="4" t="s">
        <v>109</v>
      </c>
      <c r="H161">
        <v>1000</v>
      </c>
      <c r="I161">
        <v>21800</v>
      </c>
      <c r="J161">
        <v>9840</v>
      </c>
      <c r="K161">
        <v>11960</v>
      </c>
      <c r="R161" s="3"/>
      <c r="S161" s="4"/>
      <c r="T161" s="4"/>
    </row>
    <row r="162" spans="1:20" ht="13.8" x14ac:dyDescent="0.25">
      <c r="A162" t="s">
        <v>129</v>
      </c>
      <c r="B162" t="s">
        <v>13</v>
      </c>
      <c r="C162" t="s">
        <v>32</v>
      </c>
      <c r="D162" t="s">
        <v>139</v>
      </c>
      <c r="E162" s="3" t="s">
        <v>15</v>
      </c>
      <c r="F162" s="4">
        <v>42947</v>
      </c>
      <c r="G162" s="4" t="s">
        <v>101</v>
      </c>
      <c r="H162">
        <v>300</v>
      </c>
      <c r="I162">
        <v>5508</v>
      </c>
      <c r="J162">
        <v>2541</v>
      </c>
      <c r="K162">
        <v>2967</v>
      </c>
      <c r="R162" s="3"/>
      <c r="S162" s="4"/>
      <c r="T162" s="4"/>
    </row>
    <row r="163" spans="1:20" ht="13.8" x14ac:dyDescent="0.25">
      <c r="A163" t="s">
        <v>16</v>
      </c>
      <c r="B163" t="s">
        <v>13</v>
      </c>
      <c r="C163" t="s">
        <v>30</v>
      </c>
      <c r="D163" t="s">
        <v>136</v>
      </c>
      <c r="E163" s="3" t="s">
        <v>10</v>
      </c>
      <c r="F163" s="4">
        <v>42950</v>
      </c>
      <c r="G163" s="4" t="s">
        <v>112</v>
      </c>
      <c r="H163">
        <v>400</v>
      </c>
      <c r="I163">
        <v>9704</v>
      </c>
      <c r="J163">
        <v>4088</v>
      </c>
      <c r="K163">
        <v>5616</v>
      </c>
      <c r="R163" s="3"/>
      <c r="S163" s="4"/>
      <c r="T163" s="4"/>
    </row>
    <row r="164" spans="1:20" ht="13.8" x14ac:dyDescent="0.25">
      <c r="A164" t="s">
        <v>131</v>
      </c>
      <c r="B164" t="s">
        <v>13</v>
      </c>
      <c r="C164" t="s">
        <v>28</v>
      </c>
      <c r="D164" t="s">
        <v>140</v>
      </c>
      <c r="E164" s="3" t="s">
        <v>10</v>
      </c>
      <c r="F164" s="4">
        <v>42951</v>
      </c>
      <c r="G164" s="4" t="s">
        <v>122</v>
      </c>
      <c r="H164">
        <v>600</v>
      </c>
      <c r="I164">
        <v>13962</v>
      </c>
      <c r="J164">
        <v>6132</v>
      </c>
      <c r="K164">
        <v>7830</v>
      </c>
      <c r="R164" s="3"/>
      <c r="S164" s="4"/>
      <c r="T164" s="4"/>
    </row>
    <row r="165" spans="1:20" ht="13.8" x14ac:dyDescent="0.25">
      <c r="A165" t="s">
        <v>16</v>
      </c>
      <c r="B165" t="s">
        <v>13</v>
      </c>
      <c r="C165" t="s">
        <v>30</v>
      </c>
      <c r="D165" t="s">
        <v>136</v>
      </c>
      <c r="E165" s="3" t="s">
        <v>15</v>
      </c>
      <c r="F165" s="4">
        <v>42952</v>
      </c>
      <c r="G165" s="4" t="s">
        <v>112</v>
      </c>
      <c r="H165">
        <v>700</v>
      </c>
      <c r="I165">
        <v>13433</v>
      </c>
      <c r="J165">
        <v>5929</v>
      </c>
      <c r="K165">
        <v>7504</v>
      </c>
      <c r="R165" s="3"/>
      <c r="S165" s="4"/>
      <c r="T165" s="4"/>
    </row>
    <row r="166" spans="1:20" ht="13.8" x14ac:dyDescent="0.25">
      <c r="A166" t="s">
        <v>131</v>
      </c>
      <c r="B166" t="s">
        <v>13</v>
      </c>
      <c r="C166" t="s">
        <v>29</v>
      </c>
      <c r="D166" t="s">
        <v>143</v>
      </c>
      <c r="E166" s="3" t="s">
        <v>15</v>
      </c>
      <c r="F166" s="4">
        <v>42953</v>
      </c>
      <c r="G166" s="4" t="s">
        <v>115</v>
      </c>
      <c r="H166">
        <v>800</v>
      </c>
      <c r="I166">
        <v>15288</v>
      </c>
      <c r="J166">
        <v>6776</v>
      </c>
      <c r="K166">
        <v>8512</v>
      </c>
      <c r="R166" s="3"/>
      <c r="S166" s="4"/>
      <c r="T166" s="4"/>
    </row>
    <row r="167" spans="1:20" ht="13.8" x14ac:dyDescent="0.25">
      <c r="A167" t="s">
        <v>130</v>
      </c>
      <c r="B167" t="s">
        <v>9</v>
      </c>
      <c r="C167" t="s">
        <v>24</v>
      </c>
      <c r="D167" t="s">
        <v>134</v>
      </c>
      <c r="E167" s="3" t="s">
        <v>10</v>
      </c>
      <c r="F167" s="4">
        <v>42953</v>
      </c>
      <c r="G167" s="4" t="s">
        <v>105</v>
      </c>
      <c r="H167">
        <v>900</v>
      </c>
      <c r="I167">
        <v>19584</v>
      </c>
      <c r="J167">
        <v>9198</v>
      </c>
      <c r="K167">
        <v>10386</v>
      </c>
      <c r="R167" s="3"/>
      <c r="S167" s="4"/>
      <c r="T167" s="4"/>
    </row>
    <row r="168" spans="1:20" ht="13.8" x14ac:dyDescent="0.25">
      <c r="A168" t="s">
        <v>126</v>
      </c>
      <c r="B168" t="s">
        <v>11</v>
      </c>
      <c r="C168" t="s">
        <v>27</v>
      </c>
      <c r="D168" t="s">
        <v>135</v>
      </c>
      <c r="E168" s="3" t="s">
        <v>10</v>
      </c>
      <c r="F168" s="4">
        <v>42954</v>
      </c>
      <c r="G168" s="4" t="s">
        <v>128</v>
      </c>
      <c r="H168">
        <v>100</v>
      </c>
      <c r="I168">
        <v>2320</v>
      </c>
      <c r="J168">
        <v>1022</v>
      </c>
      <c r="K168">
        <v>1298</v>
      </c>
      <c r="R168" s="3"/>
      <c r="S168" s="4"/>
      <c r="T168" s="4"/>
    </row>
    <row r="169" spans="1:20" ht="13.8" x14ac:dyDescent="0.25">
      <c r="A169" t="s">
        <v>126</v>
      </c>
      <c r="B169" t="s">
        <v>13</v>
      </c>
      <c r="C169" t="s">
        <v>28</v>
      </c>
      <c r="D169" t="s">
        <v>140</v>
      </c>
      <c r="E169" s="3" t="s">
        <v>12</v>
      </c>
      <c r="F169" s="4">
        <v>42959</v>
      </c>
      <c r="G169" s="4" t="s">
        <v>108</v>
      </c>
      <c r="H169">
        <v>800</v>
      </c>
      <c r="I169">
        <v>16936</v>
      </c>
      <c r="J169">
        <v>7872</v>
      </c>
      <c r="K169">
        <v>9064</v>
      </c>
      <c r="R169" s="3"/>
      <c r="S169" s="4"/>
      <c r="T169" s="4"/>
    </row>
    <row r="170" spans="1:20" ht="13.8" x14ac:dyDescent="0.25">
      <c r="A170" t="s">
        <v>126</v>
      </c>
      <c r="B170" t="s">
        <v>9</v>
      </c>
      <c r="C170" t="s">
        <v>24</v>
      </c>
      <c r="D170" t="s">
        <v>134</v>
      </c>
      <c r="E170" s="3" t="s">
        <v>15</v>
      </c>
      <c r="F170" s="4">
        <v>42961</v>
      </c>
      <c r="G170" s="4" t="s">
        <v>100</v>
      </c>
      <c r="H170">
        <v>300</v>
      </c>
      <c r="I170">
        <v>6138</v>
      </c>
      <c r="J170">
        <v>2541</v>
      </c>
      <c r="K170">
        <v>3597</v>
      </c>
      <c r="R170" s="3"/>
      <c r="S170" s="4"/>
      <c r="T170" s="4"/>
    </row>
    <row r="171" spans="1:20" ht="13.8" x14ac:dyDescent="0.25">
      <c r="A171" t="s">
        <v>126</v>
      </c>
      <c r="B171" t="s">
        <v>11</v>
      </c>
      <c r="C171" t="s">
        <v>27</v>
      </c>
      <c r="D171" t="s">
        <v>135</v>
      </c>
      <c r="E171" s="3" t="s">
        <v>12</v>
      </c>
      <c r="F171" s="4">
        <v>42961</v>
      </c>
      <c r="G171" s="4" t="s">
        <v>107</v>
      </c>
      <c r="H171">
        <v>600</v>
      </c>
      <c r="I171">
        <v>12030</v>
      </c>
      <c r="J171">
        <v>5904</v>
      </c>
      <c r="K171">
        <v>6126</v>
      </c>
      <c r="R171" s="3"/>
      <c r="S171" s="4"/>
      <c r="T171" s="4"/>
    </row>
    <row r="172" spans="1:20" ht="13.8" x14ac:dyDescent="0.25">
      <c r="A172" t="s">
        <v>131</v>
      </c>
      <c r="B172" t="s">
        <v>13</v>
      </c>
      <c r="C172" t="s">
        <v>29</v>
      </c>
      <c r="D172" t="s">
        <v>143</v>
      </c>
      <c r="E172" s="3" t="s">
        <v>10</v>
      </c>
      <c r="F172" s="4">
        <v>42963</v>
      </c>
      <c r="G172" s="4" t="s">
        <v>115</v>
      </c>
      <c r="H172">
        <v>400</v>
      </c>
      <c r="I172">
        <v>9384</v>
      </c>
      <c r="J172">
        <v>4088</v>
      </c>
      <c r="K172">
        <v>5296</v>
      </c>
      <c r="R172" s="3"/>
      <c r="S172" s="4"/>
      <c r="T172" s="4"/>
    </row>
    <row r="173" spans="1:20" ht="13.8" x14ac:dyDescent="0.25">
      <c r="A173" t="s">
        <v>16</v>
      </c>
      <c r="B173" t="s">
        <v>13</v>
      </c>
      <c r="C173" t="s">
        <v>30</v>
      </c>
      <c r="D173" t="s">
        <v>136</v>
      </c>
      <c r="E173" s="3" t="s">
        <v>15</v>
      </c>
      <c r="F173" s="4">
        <v>42964</v>
      </c>
      <c r="G173" s="4" t="s">
        <v>112</v>
      </c>
      <c r="H173">
        <v>300</v>
      </c>
      <c r="I173">
        <v>5904</v>
      </c>
      <c r="J173">
        <v>2541</v>
      </c>
      <c r="K173">
        <v>3363</v>
      </c>
      <c r="R173" s="3"/>
      <c r="S173" s="4"/>
      <c r="T173" s="4"/>
    </row>
    <row r="174" spans="1:20" ht="13.8" x14ac:dyDescent="0.25">
      <c r="A174" t="s">
        <v>16</v>
      </c>
      <c r="B174" t="s">
        <v>13</v>
      </c>
      <c r="C174" t="s">
        <v>30</v>
      </c>
      <c r="D174" t="s">
        <v>136</v>
      </c>
      <c r="E174" s="3" t="s">
        <v>15</v>
      </c>
      <c r="F174" s="4">
        <v>42966</v>
      </c>
      <c r="G174" s="4" t="s">
        <v>112</v>
      </c>
      <c r="H174">
        <v>1000</v>
      </c>
      <c r="I174">
        <v>21120</v>
      </c>
      <c r="J174">
        <v>8470</v>
      </c>
      <c r="K174">
        <v>12650</v>
      </c>
      <c r="R174" s="3"/>
      <c r="S174" s="4"/>
      <c r="T174" s="4"/>
    </row>
    <row r="175" spans="1:20" ht="13.8" x14ac:dyDescent="0.25">
      <c r="A175" t="s">
        <v>131</v>
      </c>
      <c r="B175" t="s">
        <v>13</v>
      </c>
      <c r="C175" t="s">
        <v>29</v>
      </c>
      <c r="D175" t="s">
        <v>143</v>
      </c>
      <c r="E175" s="3" t="s">
        <v>10</v>
      </c>
      <c r="F175" s="4">
        <v>42967</v>
      </c>
      <c r="G175" s="4" t="s">
        <v>115</v>
      </c>
      <c r="H175">
        <v>900</v>
      </c>
      <c r="I175">
        <v>18684</v>
      </c>
      <c r="J175">
        <v>9198</v>
      </c>
      <c r="K175">
        <v>9486</v>
      </c>
      <c r="R175" s="3"/>
      <c r="S175" s="4"/>
      <c r="T175" s="4"/>
    </row>
    <row r="176" spans="1:20" ht="13.8" x14ac:dyDescent="0.25">
      <c r="A176" t="s">
        <v>126</v>
      </c>
      <c r="B176" t="s">
        <v>9</v>
      </c>
      <c r="C176" t="s">
        <v>24</v>
      </c>
      <c r="D176" t="s">
        <v>134</v>
      </c>
      <c r="E176" s="3" t="s">
        <v>15</v>
      </c>
      <c r="F176" s="4">
        <v>42967</v>
      </c>
      <c r="G176" s="4" t="s">
        <v>100</v>
      </c>
      <c r="H176">
        <v>100</v>
      </c>
      <c r="I176">
        <v>1836</v>
      </c>
      <c r="J176">
        <v>847</v>
      </c>
      <c r="K176">
        <v>989</v>
      </c>
      <c r="R176" s="3"/>
      <c r="S176" s="4"/>
      <c r="T176" s="4"/>
    </row>
    <row r="177" spans="1:20" ht="13.8" x14ac:dyDescent="0.25">
      <c r="A177" t="s">
        <v>126</v>
      </c>
      <c r="B177" t="s">
        <v>13</v>
      </c>
      <c r="C177" t="s">
        <v>28</v>
      </c>
      <c r="D177" t="s">
        <v>140</v>
      </c>
      <c r="E177" s="3" t="s">
        <v>10</v>
      </c>
      <c r="F177" s="4">
        <v>42969</v>
      </c>
      <c r="G177" s="4" t="s">
        <v>108</v>
      </c>
      <c r="H177">
        <v>600</v>
      </c>
      <c r="I177">
        <v>15006</v>
      </c>
      <c r="J177">
        <v>6132</v>
      </c>
      <c r="K177">
        <v>8874</v>
      </c>
      <c r="R177" s="3"/>
      <c r="S177" s="4"/>
      <c r="T177" s="4"/>
    </row>
    <row r="178" spans="1:20" ht="13.8" x14ac:dyDescent="0.25">
      <c r="A178" t="s">
        <v>126</v>
      </c>
      <c r="B178" t="s">
        <v>11</v>
      </c>
      <c r="C178" t="s">
        <v>27</v>
      </c>
      <c r="D178" t="s">
        <v>135</v>
      </c>
      <c r="E178" s="3" t="s">
        <v>12</v>
      </c>
      <c r="F178" s="4">
        <v>42969</v>
      </c>
      <c r="G178" s="4" t="s">
        <v>109</v>
      </c>
      <c r="H178">
        <v>900</v>
      </c>
      <c r="I178">
        <v>19989</v>
      </c>
      <c r="J178">
        <v>8856</v>
      </c>
      <c r="K178">
        <v>11133</v>
      </c>
      <c r="R178" s="3"/>
      <c r="S178" s="4"/>
      <c r="T178" s="4"/>
    </row>
    <row r="179" spans="1:20" ht="13.8" x14ac:dyDescent="0.25">
      <c r="A179" t="s">
        <v>16</v>
      </c>
      <c r="B179" t="s">
        <v>14</v>
      </c>
      <c r="C179" t="s">
        <v>31</v>
      </c>
      <c r="D179" t="s">
        <v>138</v>
      </c>
      <c r="E179" s="3" t="s">
        <v>17</v>
      </c>
      <c r="F179" s="4">
        <v>42972</v>
      </c>
      <c r="G179" s="4" t="s">
        <v>116</v>
      </c>
      <c r="H179">
        <v>800</v>
      </c>
      <c r="I179">
        <v>17856</v>
      </c>
      <c r="J179">
        <v>8176</v>
      </c>
      <c r="K179">
        <v>9680</v>
      </c>
      <c r="R179" s="3"/>
      <c r="S179" s="4"/>
      <c r="T179" s="4"/>
    </row>
    <row r="180" spans="1:20" ht="13.8" x14ac:dyDescent="0.25">
      <c r="A180" t="s">
        <v>126</v>
      </c>
      <c r="B180" t="s">
        <v>9</v>
      </c>
      <c r="C180" t="s">
        <v>24</v>
      </c>
      <c r="D180" t="s">
        <v>134</v>
      </c>
      <c r="E180" s="3" t="s">
        <v>15</v>
      </c>
      <c r="F180" s="4">
        <v>42972</v>
      </c>
      <c r="G180" s="4" t="s">
        <v>100</v>
      </c>
      <c r="H180">
        <v>100</v>
      </c>
      <c r="I180">
        <v>1913</v>
      </c>
      <c r="J180">
        <v>847</v>
      </c>
      <c r="K180">
        <v>1066</v>
      </c>
      <c r="R180" s="3"/>
      <c r="S180" s="4"/>
      <c r="T180" s="4"/>
    </row>
    <row r="181" spans="1:20" ht="13.8" x14ac:dyDescent="0.25">
      <c r="A181" t="s">
        <v>126</v>
      </c>
      <c r="B181" t="s">
        <v>11</v>
      </c>
      <c r="C181" t="s">
        <v>27</v>
      </c>
      <c r="D181" t="s">
        <v>135</v>
      </c>
      <c r="E181" s="3" t="s">
        <v>10</v>
      </c>
      <c r="F181" s="4">
        <v>42972</v>
      </c>
      <c r="G181" s="4" t="s">
        <v>128</v>
      </c>
      <c r="H181">
        <v>400</v>
      </c>
      <c r="I181">
        <v>8744</v>
      </c>
      <c r="J181">
        <v>4088</v>
      </c>
      <c r="K181">
        <v>4656</v>
      </c>
      <c r="R181" s="3"/>
      <c r="S181" s="4"/>
      <c r="T181" s="4"/>
    </row>
    <row r="182" spans="1:20" ht="13.8" x14ac:dyDescent="0.25">
      <c r="A182" t="s">
        <v>126</v>
      </c>
      <c r="B182" t="s">
        <v>11</v>
      </c>
      <c r="C182" t="s">
        <v>27</v>
      </c>
      <c r="D182" t="s">
        <v>135</v>
      </c>
      <c r="E182" s="3" t="s">
        <v>10</v>
      </c>
      <c r="F182" s="4">
        <v>42973</v>
      </c>
      <c r="G182" s="4" t="s">
        <v>109</v>
      </c>
      <c r="H182">
        <v>900</v>
      </c>
      <c r="I182">
        <v>19368</v>
      </c>
      <c r="J182">
        <v>9198</v>
      </c>
      <c r="K182">
        <v>10170</v>
      </c>
      <c r="R182" s="3"/>
      <c r="S182" s="4"/>
      <c r="T182" s="4"/>
    </row>
    <row r="183" spans="1:20" ht="13.8" x14ac:dyDescent="0.25">
      <c r="A183" t="s">
        <v>129</v>
      </c>
      <c r="B183" t="s">
        <v>9</v>
      </c>
      <c r="C183" t="s">
        <v>25</v>
      </c>
      <c r="D183" t="s">
        <v>142</v>
      </c>
      <c r="E183" s="3" t="s">
        <v>15</v>
      </c>
      <c r="F183" s="4">
        <v>42974</v>
      </c>
      <c r="G183" s="4" t="s">
        <v>118</v>
      </c>
      <c r="H183">
        <v>100</v>
      </c>
      <c r="I183">
        <v>1819</v>
      </c>
      <c r="J183">
        <v>847</v>
      </c>
      <c r="K183">
        <v>972</v>
      </c>
      <c r="R183" s="3"/>
      <c r="S183" s="4"/>
      <c r="T183" s="4"/>
    </row>
    <row r="184" spans="1:20" ht="13.8" x14ac:dyDescent="0.25">
      <c r="A184" t="s">
        <v>126</v>
      </c>
      <c r="B184" t="s">
        <v>13</v>
      </c>
      <c r="C184" t="s">
        <v>28</v>
      </c>
      <c r="D184" t="s">
        <v>140</v>
      </c>
      <c r="E184" s="3" t="s">
        <v>10</v>
      </c>
      <c r="F184" s="4">
        <v>42975</v>
      </c>
      <c r="G184" s="4" t="s">
        <v>108</v>
      </c>
      <c r="H184">
        <v>500</v>
      </c>
      <c r="I184">
        <v>10990</v>
      </c>
      <c r="J184">
        <v>5110</v>
      </c>
      <c r="K184">
        <v>5880</v>
      </c>
      <c r="R184" s="3"/>
      <c r="S184" s="4"/>
      <c r="T184" s="4"/>
    </row>
    <row r="185" spans="1:20" ht="13.8" x14ac:dyDescent="0.25">
      <c r="A185" t="s">
        <v>126</v>
      </c>
      <c r="B185" t="s">
        <v>13</v>
      </c>
      <c r="C185" t="s">
        <v>28</v>
      </c>
      <c r="D185" t="s">
        <v>140</v>
      </c>
      <c r="E185" s="3" t="s">
        <v>10</v>
      </c>
      <c r="F185" s="4">
        <v>42975</v>
      </c>
      <c r="G185" s="4" t="s">
        <v>108</v>
      </c>
      <c r="H185">
        <v>200</v>
      </c>
      <c r="I185">
        <v>4440</v>
      </c>
      <c r="J185">
        <v>2044</v>
      </c>
      <c r="K185">
        <v>2396</v>
      </c>
      <c r="R185" s="3"/>
      <c r="S185" s="4"/>
      <c r="T185" s="4"/>
    </row>
    <row r="186" spans="1:20" ht="13.8" x14ac:dyDescent="0.25">
      <c r="A186" t="s">
        <v>130</v>
      </c>
      <c r="B186" t="s">
        <v>11</v>
      </c>
      <c r="C186" t="s">
        <v>27</v>
      </c>
      <c r="D186" t="s">
        <v>135</v>
      </c>
      <c r="E186" s="3" t="s">
        <v>15</v>
      </c>
      <c r="F186" s="4">
        <v>42976</v>
      </c>
      <c r="G186" s="4" t="s">
        <v>106</v>
      </c>
      <c r="H186">
        <v>300</v>
      </c>
      <c r="I186">
        <v>6309</v>
      </c>
      <c r="J186">
        <v>2541</v>
      </c>
      <c r="K186">
        <v>3768</v>
      </c>
      <c r="R186" s="3"/>
      <c r="S186" s="4"/>
      <c r="T186" s="4"/>
    </row>
    <row r="187" spans="1:20" ht="13.8" x14ac:dyDescent="0.25">
      <c r="A187" t="s">
        <v>131</v>
      </c>
      <c r="B187" t="s">
        <v>13</v>
      </c>
      <c r="C187" t="s">
        <v>29</v>
      </c>
      <c r="D187" t="s">
        <v>143</v>
      </c>
      <c r="E187" s="3" t="s">
        <v>12</v>
      </c>
      <c r="F187" s="4">
        <v>42977</v>
      </c>
      <c r="G187" s="4" t="s">
        <v>115</v>
      </c>
      <c r="H187">
        <v>800</v>
      </c>
      <c r="I187">
        <v>18904</v>
      </c>
      <c r="J187">
        <v>7872</v>
      </c>
      <c r="K187">
        <v>11032</v>
      </c>
      <c r="R187" s="3"/>
      <c r="S187" s="4"/>
      <c r="T187" s="4"/>
    </row>
    <row r="188" spans="1:20" ht="13.8" x14ac:dyDescent="0.25">
      <c r="A188" t="s">
        <v>127</v>
      </c>
      <c r="B188" t="s">
        <v>11</v>
      </c>
      <c r="C188" t="s">
        <v>27</v>
      </c>
      <c r="D188" t="s">
        <v>135</v>
      </c>
      <c r="E188" s="3" t="s">
        <v>10</v>
      </c>
      <c r="F188" s="4">
        <v>42979</v>
      </c>
      <c r="G188" s="4" t="s">
        <v>123</v>
      </c>
      <c r="H188">
        <v>800</v>
      </c>
      <c r="I188">
        <v>18072</v>
      </c>
      <c r="J188">
        <v>8176</v>
      </c>
      <c r="K188">
        <v>9896</v>
      </c>
      <c r="R188" s="3"/>
      <c r="S188" s="4"/>
      <c r="T188" s="4"/>
    </row>
    <row r="189" spans="1:20" ht="13.8" x14ac:dyDescent="0.25">
      <c r="A189" t="s">
        <v>129</v>
      </c>
      <c r="B189" t="s">
        <v>13</v>
      </c>
      <c r="C189" t="s">
        <v>32</v>
      </c>
      <c r="D189" t="s">
        <v>139</v>
      </c>
      <c r="E189" s="3" t="s">
        <v>15</v>
      </c>
      <c r="F189" s="4">
        <v>42979</v>
      </c>
      <c r="G189" s="4" t="s">
        <v>101</v>
      </c>
      <c r="H189">
        <v>100</v>
      </c>
      <c r="I189">
        <v>2012</v>
      </c>
      <c r="J189">
        <v>847</v>
      </c>
      <c r="K189">
        <v>1165</v>
      </c>
      <c r="R189" s="3"/>
      <c r="S189" s="4"/>
      <c r="T189" s="4"/>
    </row>
    <row r="190" spans="1:20" ht="13.8" x14ac:dyDescent="0.25">
      <c r="A190" t="s">
        <v>126</v>
      </c>
      <c r="B190" t="s">
        <v>9</v>
      </c>
      <c r="C190" t="s">
        <v>24</v>
      </c>
      <c r="D190" t="s">
        <v>134</v>
      </c>
      <c r="E190" s="3" t="s">
        <v>15</v>
      </c>
      <c r="F190" s="4">
        <v>42982</v>
      </c>
      <c r="G190" s="4" t="s">
        <v>100</v>
      </c>
      <c r="H190">
        <v>500</v>
      </c>
      <c r="I190">
        <v>10295</v>
      </c>
      <c r="J190">
        <v>4235</v>
      </c>
      <c r="K190">
        <v>6060</v>
      </c>
      <c r="R190" s="3"/>
      <c r="S190" s="4"/>
      <c r="T190" s="4"/>
    </row>
    <row r="191" spans="1:20" ht="13.8" x14ac:dyDescent="0.25">
      <c r="A191" t="s">
        <v>126</v>
      </c>
      <c r="B191" t="s">
        <v>9</v>
      </c>
      <c r="C191" t="s">
        <v>24</v>
      </c>
      <c r="D191" t="s">
        <v>134</v>
      </c>
      <c r="E191" s="3" t="s">
        <v>15</v>
      </c>
      <c r="F191" s="4">
        <v>42983</v>
      </c>
      <c r="G191" s="4" t="s">
        <v>100</v>
      </c>
      <c r="H191">
        <v>400</v>
      </c>
      <c r="I191">
        <v>7944</v>
      </c>
      <c r="J191">
        <v>3388</v>
      </c>
      <c r="K191">
        <v>4556</v>
      </c>
      <c r="R191" s="3"/>
      <c r="S191" s="4"/>
      <c r="T191" s="4"/>
    </row>
    <row r="192" spans="1:20" ht="13.8" x14ac:dyDescent="0.25">
      <c r="A192" t="s">
        <v>126</v>
      </c>
      <c r="B192" t="s">
        <v>11</v>
      </c>
      <c r="C192" t="s">
        <v>27</v>
      </c>
      <c r="D192" t="s">
        <v>135</v>
      </c>
      <c r="E192" s="3" t="s">
        <v>15</v>
      </c>
      <c r="F192" s="4">
        <v>42984</v>
      </c>
      <c r="G192" s="4" t="s">
        <v>107</v>
      </c>
      <c r="H192">
        <v>100</v>
      </c>
      <c r="I192">
        <v>1957</v>
      </c>
      <c r="J192">
        <v>847</v>
      </c>
      <c r="K192">
        <v>1110</v>
      </c>
      <c r="R192" s="3"/>
      <c r="S192" s="4"/>
      <c r="T192" s="4"/>
    </row>
    <row r="193" spans="1:20" ht="13.8" x14ac:dyDescent="0.25">
      <c r="A193" t="s">
        <v>130</v>
      </c>
      <c r="B193" t="s">
        <v>11</v>
      </c>
      <c r="C193" t="s">
        <v>27</v>
      </c>
      <c r="D193" t="s">
        <v>135</v>
      </c>
      <c r="E193" s="3" t="s">
        <v>12</v>
      </c>
      <c r="F193" s="4">
        <v>42988</v>
      </c>
      <c r="G193" s="4" t="s">
        <v>106</v>
      </c>
      <c r="H193">
        <v>700</v>
      </c>
      <c r="I193">
        <v>15680</v>
      </c>
      <c r="J193">
        <v>6888</v>
      </c>
      <c r="K193">
        <v>8792</v>
      </c>
      <c r="R193" s="3"/>
      <c r="S193" s="4"/>
      <c r="T193" s="4"/>
    </row>
    <row r="194" spans="1:20" ht="13.8" x14ac:dyDescent="0.25">
      <c r="A194" t="s">
        <v>126</v>
      </c>
      <c r="B194" t="s">
        <v>13</v>
      </c>
      <c r="C194" t="s">
        <v>28</v>
      </c>
      <c r="D194" t="s">
        <v>140</v>
      </c>
      <c r="E194" s="3" t="s">
        <v>12</v>
      </c>
      <c r="F194" s="4">
        <v>42988</v>
      </c>
      <c r="G194" s="4" t="s">
        <v>108</v>
      </c>
      <c r="H194">
        <v>600</v>
      </c>
      <c r="I194">
        <v>12756</v>
      </c>
      <c r="J194">
        <v>5904</v>
      </c>
      <c r="K194">
        <v>6852</v>
      </c>
      <c r="R194" s="3"/>
      <c r="S194" s="4"/>
      <c r="T194" s="4"/>
    </row>
    <row r="195" spans="1:20" ht="13.8" x14ac:dyDescent="0.25">
      <c r="A195" t="s">
        <v>16</v>
      </c>
      <c r="B195" t="s">
        <v>13</v>
      </c>
      <c r="C195" t="s">
        <v>30</v>
      </c>
      <c r="D195" t="s">
        <v>136</v>
      </c>
      <c r="E195" s="3" t="s">
        <v>15</v>
      </c>
      <c r="F195" s="4">
        <v>42989</v>
      </c>
      <c r="G195" s="4" t="s">
        <v>112</v>
      </c>
      <c r="H195">
        <v>300</v>
      </c>
      <c r="I195">
        <v>5826</v>
      </c>
      <c r="J195">
        <v>2541</v>
      </c>
      <c r="K195">
        <v>3285</v>
      </c>
      <c r="R195" s="3"/>
      <c r="S195" s="4"/>
      <c r="T195" s="4"/>
    </row>
    <row r="196" spans="1:20" ht="13.8" x14ac:dyDescent="0.25">
      <c r="A196" t="s">
        <v>126</v>
      </c>
      <c r="B196" t="s">
        <v>11</v>
      </c>
      <c r="C196" t="s">
        <v>27</v>
      </c>
      <c r="D196" t="s">
        <v>135</v>
      </c>
      <c r="E196" s="3" t="s">
        <v>10</v>
      </c>
      <c r="F196" s="4">
        <v>42991</v>
      </c>
      <c r="G196" s="4" t="s">
        <v>109</v>
      </c>
      <c r="H196">
        <v>800</v>
      </c>
      <c r="I196">
        <v>20008</v>
      </c>
      <c r="J196">
        <v>8176</v>
      </c>
      <c r="K196">
        <v>11832</v>
      </c>
      <c r="R196" s="3"/>
      <c r="S196" s="4"/>
      <c r="T196" s="4"/>
    </row>
    <row r="197" spans="1:20" ht="13.8" x14ac:dyDescent="0.25">
      <c r="A197" t="s">
        <v>126</v>
      </c>
      <c r="B197" t="s">
        <v>11</v>
      </c>
      <c r="C197" t="s">
        <v>27</v>
      </c>
      <c r="D197" t="s">
        <v>135</v>
      </c>
      <c r="E197" s="3" t="s">
        <v>15</v>
      </c>
      <c r="F197" s="4">
        <v>42992</v>
      </c>
      <c r="G197" s="4" t="s">
        <v>109</v>
      </c>
      <c r="H197">
        <v>300</v>
      </c>
      <c r="I197">
        <v>5457</v>
      </c>
      <c r="J197">
        <v>2541</v>
      </c>
      <c r="K197">
        <v>2916</v>
      </c>
      <c r="R197" s="3"/>
      <c r="S197" s="4"/>
      <c r="T197" s="4"/>
    </row>
    <row r="198" spans="1:20" ht="13.8" x14ac:dyDescent="0.25">
      <c r="A198" t="s">
        <v>16</v>
      </c>
      <c r="B198" t="s">
        <v>13</v>
      </c>
      <c r="C198" t="s">
        <v>30</v>
      </c>
      <c r="D198" t="s">
        <v>136</v>
      </c>
      <c r="E198" s="3" t="s">
        <v>15</v>
      </c>
      <c r="F198" s="4">
        <v>42993</v>
      </c>
      <c r="G198" s="4" t="s">
        <v>112</v>
      </c>
      <c r="H198">
        <v>600</v>
      </c>
      <c r="I198">
        <v>12330</v>
      </c>
      <c r="J198">
        <v>5082</v>
      </c>
      <c r="K198">
        <v>7248</v>
      </c>
      <c r="R198" s="3"/>
      <c r="S198" s="4"/>
      <c r="T198" s="4"/>
    </row>
    <row r="199" spans="1:20" ht="13.8" x14ac:dyDescent="0.25">
      <c r="A199" t="s">
        <v>126</v>
      </c>
      <c r="B199" t="s">
        <v>13</v>
      </c>
      <c r="C199" t="s">
        <v>28</v>
      </c>
      <c r="D199" t="s">
        <v>140</v>
      </c>
      <c r="E199" s="3" t="s">
        <v>12</v>
      </c>
      <c r="F199" s="4">
        <v>42996</v>
      </c>
      <c r="G199" s="4" t="s">
        <v>108</v>
      </c>
      <c r="H199">
        <v>500</v>
      </c>
      <c r="I199">
        <v>11845</v>
      </c>
      <c r="J199">
        <v>4920</v>
      </c>
      <c r="K199">
        <v>6925</v>
      </c>
      <c r="R199" s="3"/>
      <c r="S199" s="4"/>
      <c r="T199" s="4"/>
    </row>
    <row r="200" spans="1:20" ht="13.8" x14ac:dyDescent="0.25">
      <c r="A200" t="s">
        <v>129</v>
      </c>
      <c r="B200" t="s">
        <v>13</v>
      </c>
      <c r="C200" t="s">
        <v>30</v>
      </c>
      <c r="D200" t="s">
        <v>136</v>
      </c>
      <c r="E200" s="3" t="s">
        <v>12</v>
      </c>
      <c r="F200" s="4">
        <v>42997</v>
      </c>
      <c r="G200" s="4" t="s">
        <v>117</v>
      </c>
      <c r="H200">
        <v>800</v>
      </c>
      <c r="I200">
        <v>16784</v>
      </c>
      <c r="J200">
        <v>7872</v>
      </c>
      <c r="K200">
        <v>8912</v>
      </c>
      <c r="R200" s="3"/>
      <c r="S200" s="4"/>
      <c r="T200" s="4"/>
    </row>
    <row r="201" spans="1:20" ht="13.8" x14ac:dyDescent="0.25">
      <c r="A201" t="s">
        <v>130</v>
      </c>
      <c r="B201" t="s">
        <v>9</v>
      </c>
      <c r="C201" t="s">
        <v>24</v>
      </c>
      <c r="D201" t="s">
        <v>134</v>
      </c>
      <c r="E201" s="3" t="s">
        <v>15</v>
      </c>
      <c r="F201" s="4">
        <v>43000</v>
      </c>
      <c r="G201" s="4" t="s">
        <v>105</v>
      </c>
      <c r="H201">
        <v>1000</v>
      </c>
      <c r="I201">
        <v>17200</v>
      </c>
      <c r="J201">
        <v>8470</v>
      </c>
      <c r="K201">
        <v>8730</v>
      </c>
      <c r="R201" s="3"/>
      <c r="S201" s="4"/>
      <c r="T201" s="4"/>
    </row>
    <row r="202" spans="1:20" ht="13.8" x14ac:dyDescent="0.25">
      <c r="A202" t="s">
        <v>126</v>
      </c>
      <c r="B202" t="s">
        <v>11</v>
      </c>
      <c r="C202" t="s">
        <v>27</v>
      </c>
      <c r="D202" t="s">
        <v>135</v>
      </c>
      <c r="E202" s="3" t="s">
        <v>15</v>
      </c>
      <c r="F202" s="4">
        <v>43001</v>
      </c>
      <c r="G202" s="4" t="s">
        <v>109</v>
      </c>
      <c r="H202">
        <v>600</v>
      </c>
      <c r="I202">
        <v>10602</v>
      </c>
      <c r="J202">
        <v>5082</v>
      </c>
      <c r="K202">
        <v>5520</v>
      </c>
      <c r="R202" s="3"/>
      <c r="S202" s="4"/>
      <c r="T202" s="4"/>
    </row>
    <row r="203" spans="1:20" ht="13.8" x14ac:dyDescent="0.25">
      <c r="A203" t="s">
        <v>126</v>
      </c>
      <c r="B203" t="s">
        <v>13</v>
      </c>
      <c r="C203" t="s">
        <v>28</v>
      </c>
      <c r="D203" t="s">
        <v>140</v>
      </c>
      <c r="E203" s="3" t="s">
        <v>15</v>
      </c>
      <c r="F203" s="4">
        <v>43003</v>
      </c>
      <c r="G203" s="4" t="s">
        <v>108</v>
      </c>
      <c r="H203">
        <v>500</v>
      </c>
      <c r="I203">
        <v>9350</v>
      </c>
      <c r="J203">
        <v>4235</v>
      </c>
      <c r="K203">
        <v>5115</v>
      </c>
      <c r="R203" s="3"/>
      <c r="S203" s="4"/>
      <c r="T203" s="4"/>
    </row>
    <row r="204" spans="1:20" ht="13.8" x14ac:dyDescent="0.25">
      <c r="A204" t="s">
        <v>130</v>
      </c>
      <c r="B204" t="s">
        <v>9</v>
      </c>
      <c r="C204" t="s">
        <v>24</v>
      </c>
      <c r="D204" t="s">
        <v>134</v>
      </c>
      <c r="E204" s="3" t="s">
        <v>10</v>
      </c>
      <c r="F204" s="4">
        <v>43003</v>
      </c>
      <c r="G204" s="4" t="s">
        <v>105</v>
      </c>
      <c r="H204">
        <v>100</v>
      </c>
      <c r="I204">
        <v>2095</v>
      </c>
      <c r="J204">
        <v>1022</v>
      </c>
      <c r="K204">
        <v>1073</v>
      </c>
      <c r="R204" s="3"/>
      <c r="S204" s="4"/>
      <c r="T204" s="4"/>
    </row>
    <row r="205" spans="1:20" ht="13.8" x14ac:dyDescent="0.25">
      <c r="A205" t="s">
        <v>130</v>
      </c>
      <c r="B205" t="s">
        <v>9</v>
      </c>
      <c r="C205" t="s">
        <v>24</v>
      </c>
      <c r="D205" t="s">
        <v>134</v>
      </c>
      <c r="E205" s="3" t="s">
        <v>12</v>
      </c>
      <c r="F205" s="4">
        <v>43004</v>
      </c>
      <c r="G205" s="4" t="s">
        <v>105</v>
      </c>
      <c r="H205">
        <v>600</v>
      </c>
      <c r="I205">
        <v>13728</v>
      </c>
      <c r="J205">
        <v>5904</v>
      </c>
      <c r="K205">
        <v>7824</v>
      </c>
      <c r="R205" s="3"/>
      <c r="S205" s="4"/>
      <c r="T205" s="4"/>
    </row>
    <row r="206" spans="1:20" ht="13.8" x14ac:dyDescent="0.25">
      <c r="A206" t="s">
        <v>126</v>
      </c>
      <c r="B206" t="s">
        <v>11</v>
      </c>
      <c r="C206" t="s">
        <v>27</v>
      </c>
      <c r="D206" t="s">
        <v>135</v>
      </c>
      <c r="E206" s="3" t="s">
        <v>15</v>
      </c>
      <c r="F206" s="4">
        <v>43005</v>
      </c>
      <c r="G206" s="4" t="s">
        <v>128</v>
      </c>
      <c r="H206">
        <v>900</v>
      </c>
      <c r="I206">
        <v>17712</v>
      </c>
      <c r="J206">
        <v>7623</v>
      </c>
      <c r="K206">
        <v>10089</v>
      </c>
      <c r="R206" s="3"/>
      <c r="S206" s="4"/>
      <c r="T206" s="4"/>
    </row>
    <row r="207" spans="1:20" ht="13.8" x14ac:dyDescent="0.25">
      <c r="A207" t="s">
        <v>129</v>
      </c>
      <c r="B207" t="s">
        <v>13</v>
      </c>
      <c r="C207" t="s">
        <v>32</v>
      </c>
      <c r="D207" t="s">
        <v>139</v>
      </c>
      <c r="E207" s="3" t="s">
        <v>12</v>
      </c>
      <c r="F207" s="4">
        <v>43005</v>
      </c>
      <c r="G207" s="4" t="s">
        <v>101</v>
      </c>
      <c r="H207">
        <v>1000</v>
      </c>
      <c r="I207">
        <v>23080</v>
      </c>
      <c r="J207">
        <v>9840</v>
      </c>
      <c r="K207">
        <v>13240</v>
      </c>
      <c r="R207" s="3"/>
      <c r="S207" s="4"/>
      <c r="T207" s="4"/>
    </row>
    <row r="208" spans="1:20" ht="13.8" x14ac:dyDescent="0.25">
      <c r="A208" t="s">
        <v>129</v>
      </c>
      <c r="B208" t="s">
        <v>13</v>
      </c>
      <c r="C208" t="s">
        <v>32</v>
      </c>
      <c r="D208" t="s">
        <v>139</v>
      </c>
      <c r="E208" s="3" t="s">
        <v>15</v>
      </c>
      <c r="F208" s="4">
        <v>43006</v>
      </c>
      <c r="G208" s="4" t="s">
        <v>101</v>
      </c>
      <c r="H208">
        <v>800</v>
      </c>
      <c r="I208">
        <v>13552</v>
      </c>
      <c r="J208">
        <v>6776</v>
      </c>
      <c r="K208">
        <v>6776</v>
      </c>
      <c r="R208" s="3"/>
      <c r="S208" s="4"/>
      <c r="T208" s="4"/>
    </row>
    <row r="209" spans="1:20" ht="13.8" x14ac:dyDescent="0.25">
      <c r="A209" t="s">
        <v>130</v>
      </c>
      <c r="B209" t="s">
        <v>9</v>
      </c>
      <c r="C209" t="s">
        <v>24</v>
      </c>
      <c r="D209" t="s">
        <v>134</v>
      </c>
      <c r="E209" s="3" t="s">
        <v>10</v>
      </c>
      <c r="F209" s="4">
        <v>43007</v>
      </c>
      <c r="G209" s="4" t="s">
        <v>105</v>
      </c>
      <c r="H209">
        <v>600</v>
      </c>
      <c r="I209">
        <v>12480</v>
      </c>
      <c r="J209">
        <v>6132</v>
      </c>
      <c r="K209">
        <v>6348</v>
      </c>
      <c r="R209" s="3"/>
      <c r="S209" s="4"/>
      <c r="T209" s="4"/>
    </row>
    <row r="210" spans="1:20" ht="13.8" x14ac:dyDescent="0.25">
      <c r="A210" t="s">
        <v>126</v>
      </c>
      <c r="B210" t="s">
        <v>11</v>
      </c>
      <c r="C210" t="s">
        <v>27</v>
      </c>
      <c r="D210" t="s">
        <v>135</v>
      </c>
      <c r="E210" s="3" t="s">
        <v>15</v>
      </c>
      <c r="F210" s="4">
        <v>43008</v>
      </c>
      <c r="G210" s="4" t="s">
        <v>109</v>
      </c>
      <c r="H210">
        <v>900</v>
      </c>
      <c r="I210">
        <v>15759</v>
      </c>
      <c r="J210">
        <v>7623</v>
      </c>
      <c r="K210">
        <v>8136</v>
      </c>
      <c r="R210" s="3"/>
      <c r="S210" s="4"/>
      <c r="T210" s="4"/>
    </row>
    <row r="211" spans="1:20" ht="13.8" x14ac:dyDescent="0.25">
      <c r="A211" t="s">
        <v>126</v>
      </c>
      <c r="B211" t="s">
        <v>11</v>
      </c>
      <c r="C211" t="s">
        <v>27</v>
      </c>
      <c r="D211" t="s">
        <v>135</v>
      </c>
      <c r="E211" s="3" t="s">
        <v>12</v>
      </c>
      <c r="F211" s="4">
        <v>43010</v>
      </c>
      <c r="G211" s="4" t="s">
        <v>128</v>
      </c>
      <c r="H211">
        <v>200</v>
      </c>
      <c r="I211">
        <v>4866</v>
      </c>
      <c r="J211">
        <v>1968</v>
      </c>
      <c r="K211">
        <v>2898</v>
      </c>
      <c r="R211" s="3"/>
      <c r="S211" s="4"/>
      <c r="T211" s="4"/>
    </row>
    <row r="212" spans="1:20" ht="13.8" x14ac:dyDescent="0.25">
      <c r="A212" t="s">
        <v>126</v>
      </c>
      <c r="B212" t="s">
        <v>9</v>
      </c>
      <c r="C212" t="s">
        <v>24</v>
      </c>
      <c r="D212" t="s">
        <v>134</v>
      </c>
      <c r="E212" s="3" t="s">
        <v>15</v>
      </c>
      <c r="F212" s="4">
        <v>43011</v>
      </c>
      <c r="G212" s="4" t="s">
        <v>100</v>
      </c>
      <c r="H212">
        <v>100</v>
      </c>
      <c r="I212">
        <v>1877</v>
      </c>
      <c r="J212">
        <v>847</v>
      </c>
      <c r="K212">
        <v>1030</v>
      </c>
      <c r="R212" s="3"/>
      <c r="S212" s="4"/>
      <c r="T212" s="4"/>
    </row>
    <row r="213" spans="1:20" ht="13.8" x14ac:dyDescent="0.25">
      <c r="A213" t="s">
        <v>129</v>
      </c>
      <c r="B213" t="s">
        <v>13</v>
      </c>
      <c r="C213" t="s">
        <v>30</v>
      </c>
      <c r="D213" t="s">
        <v>136</v>
      </c>
      <c r="E213" s="3" t="s">
        <v>10</v>
      </c>
      <c r="F213" s="4">
        <v>43014</v>
      </c>
      <c r="G213" s="4" t="s">
        <v>117</v>
      </c>
      <c r="H213">
        <v>800</v>
      </c>
      <c r="I213">
        <v>16936</v>
      </c>
      <c r="J213">
        <v>8176</v>
      </c>
      <c r="K213">
        <v>8760</v>
      </c>
      <c r="R213" s="3"/>
      <c r="S213" s="4"/>
      <c r="T213" s="4"/>
    </row>
    <row r="214" spans="1:20" ht="13.8" x14ac:dyDescent="0.25">
      <c r="A214" t="s">
        <v>129</v>
      </c>
      <c r="B214" t="s">
        <v>13</v>
      </c>
      <c r="C214" t="s">
        <v>32</v>
      </c>
      <c r="D214" t="s">
        <v>139</v>
      </c>
      <c r="E214" s="3" t="s">
        <v>10</v>
      </c>
      <c r="F214" s="4">
        <v>43015</v>
      </c>
      <c r="G214" s="4" t="s">
        <v>101</v>
      </c>
      <c r="H214">
        <v>700</v>
      </c>
      <c r="I214">
        <v>15715</v>
      </c>
      <c r="J214">
        <v>7154</v>
      </c>
      <c r="K214">
        <v>8561</v>
      </c>
      <c r="R214" s="3"/>
      <c r="S214" s="4"/>
      <c r="T214" s="4"/>
    </row>
    <row r="215" spans="1:20" ht="13.8" x14ac:dyDescent="0.25">
      <c r="A215" t="s">
        <v>126</v>
      </c>
      <c r="B215" t="s">
        <v>11</v>
      </c>
      <c r="C215" t="s">
        <v>27</v>
      </c>
      <c r="D215" t="s">
        <v>135</v>
      </c>
      <c r="E215" s="3" t="s">
        <v>10</v>
      </c>
      <c r="F215" s="4">
        <v>43016</v>
      </c>
      <c r="G215" s="4" t="s">
        <v>109</v>
      </c>
      <c r="H215">
        <v>800</v>
      </c>
      <c r="I215">
        <v>18208</v>
      </c>
      <c r="J215">
        <v>8176</v>
      </c>
      <c r="K215">
        <v>10032</v>
      </c>
      <c r="R215" s="3"/>
      <c r="S215" s="4"/>
      <c r="T215" s="4"/>
    </row>
    <row r="216" spans="1:20" ht="13.8" x14ac:dyDescent="0.25">
      <c r="A216" t="s">
        <v>16</v>
      </c>
      <c r="B216" t="s">
        <v>14</v>
      </c>
      <c r="C216" t="s">
        <v>31</v>
      </c>
      <c r="D216" t="s">
        <v>138</v>
      </c>
      <c r="E216" s="3" t="s">
        <v>12</v>
      </c>
      <c r="F216" s="4">
        <v>43016</v>
      </c>
      <c r="G216" s="4" t="s">
        <v>116</v>
      </c>
      <c r="H216">
        <v>100</v>
      </c>
      <c r="I216">
        <v>2358</v>
      </c>
      <c r="J216">
        <v>984</v>
      </c>
      <c r="K216">
        <v>1374</v>
      </c>
      <c r="R216" s="3"/>
      <c r="S216" s="4"/>
      <c r="T216" s="4"/>
    </row>
    <row r="217" spans="1:20" ht="13.8" x14ac:dyDescent="0.25">
      <c r="A217" t="s">
        <v>126</v>
      </c>
      <c r="B217" t="s">
        <v>11</v>
      </c>
      <c r="C217" t="s">
        <v>27</v>
      </c>
      <c r="D217" t="s">
        <v>135</v>
      </c>
      <c r="E217" s="3" t="s">
        <v>10</v>
      </c>
      <c r="F217" s="4">
        <v>43018</v>
      </c>
      <c r="G217" s="4" t="s">
        <v>107</v>
      </c>
      <c r="H217">
        <v>400</v>
      </c>
      <c r="I217">
        <v>8560</v>
      </c>
      <c r="J217">
        <v>4088</v>
      </c>
      <c r="K217">
        <v>4472</v>
      </c>
      <c r="R217" s="3"/>
      <c r="S217" s="4"/>
      <c r="T217" s="4"/>
    </row>
    <row r="218" spans="1:20" ht="13.8" x14ac:dyDescent="0.25">
      <c r="A218" t="s">
        <v>126</v>
      </c>
      <c r="B218" t="s">
        <v>11</v>
      </c>
      <c r="C218" t="s">
        <v>27</v>
      </c>
      <c r="D218" t="s">
        <v>135</v>
      </c>
      <c r="E218" s="3" t="s">
        <v>12</v>
      </c>
      <c r="F218" s="4">
        <v>43020</v>
      </c>
      <c r="G218" s="4" t="s">
        <v>107</v>
      </c>
      <c r="H218">
        <v>1000</v>
      </c>
      <c r="I218">
        <v>20190</v>
      </c>
      <c r="J218">
        <v>9840</v>
      </c>
      <c r="K218">
        <v>10350</v>
      </c>
      <c r="R218" s="3"/>
      <c r="S218" s="4"/>
      <c r="T218" s="4"/>
    </row>
    <row r="219" spans="1:20" ht="13.8" x14ac:dyDescent="0.25">
      <c r="A219" t="s">
        <v>126</v>
      </c>
      <c r="B219" t="s">
        <v>14</v>
      </c>
      <c r="C219" t="s">
        <v>31</v>
      </c>
      <c r="D219" t="s">
        <v>138</v>
      </c>
      <c r="E219" s="3" t="s">
        <v>10</v>
      </c>
      <c r="F219" s="4">
        <v>43021</v>
      </c>
      <c r="G219" s="4" t="s">
        <v>113</v>
      </c>
      <c r="H219">
        <v>300</v>
      </c>
      <c r="I219">
        <v>7032</v>
      </c>
      <c r="J219">
        <v>3066</v>
      </c>
      <c r="K219">
        <v>3966</v>
      </c>
      <c r="R219" s="3"/>
      <c r="S219" s="4"/>
      <c r="T219" s="4"/>
    </row>
    <row r="220" spans="1:20" ht="13.8" x14ac:dyDescent="0.25">
      <c r="A220" t="s">
        <v>126</v>
      </c>
      <c r="B220" t="s">
        <v>11</v>
      </c>
      <c r="C220" t="s">
        <v>27</v>
      </c>
      <c r="D220" t="s">
        <v>135</v>
      </c>
      <c r="E220" s="3" t="s">
        <v>10</v>
      </c>
      <c r="F220" s="4">
        <v>43023</v>
      </c>
      <c r="G220" s="4" t="s">
        <v>109</v>
      </c>
      <c r="H220">
        <v>100</v>
      </c>
      <c r="I220">
        <v>2517</v>
      </c>
      <c r="J220">
        <v>1022</v>
      </c>
      <c r="K220">
        <v>1495</v>
      </c>
      <c r="R220" s="3"/>
      <c r="S220" s="4"/>
      <c r="T220" s="4"/>
    </row>
    <row r="221" spans="1:20" ht="13.8" x14ac:dyDescent="0.25">
      <c r="A221" t="s">
        <v>16</v>
      </c>
      <c r="B221" t="s">
        <v>13</v>
      </c>
      <c r="C221" t="s">
        <v>30</v>
      </c>
      <c r="D221" t="s">
        <v>136</v>
      </c>
      <c r="E221" s="3" t="s">
        <v>10</v>
      </c>
      <c r="F221" s="4">
        <v>43024</v>
      </c>
      <c r="G221" s="4" t="s">
        <v>112</v>
      </c>
      <c r="H221">
        <v>500</v>
      </c>
      <c r="I221">
        <v>10550</v>
      </c>
      <c r="J221">
        <v>5110</v>
      </c>
      <c r="K221">
        <v>5440</v>
      </c>
      <c r="R221" s="3"/>
      <c r="S221" s="4"/>
      <c r="T221" s="4"/>
    </row>
    <row r="222" spans="1:20" ht="13.8" x14ac:dyDescent="0.25">
      <c r="A222" t="s">
        <v>131</v>
      </c>
      <c r="B222" t="s">
        <v>13</v>
      </c>
      <c r="C222" t="s">
        <v>29</v>
      </c>
      <c r="D222" t="s">
        <v>143</v>
      </c>
      <c r="E222" s="3" t="s">
        <v>15</v>
      </c>
      <c r="F222" s="4">
        <v>43024</v>
      </c>
      <c r="G222" s="4" t="s">
        <v>115</v>
      </c>
      <c r="H222">
        <v>700</v>
      </c>
      <c r="I222">
        <v>14133</v>
      </c>
      <c r="J222">
        <v>5929</v>
      </c>
      <c r="K222">
        <v>8204</v>
      </c>
      <c r="R222" s="3"/>
      <c r="S222" s="4"/>
      <c r="T222" s="4"/>
    </row>
    <row r="223" spans="1:20" ht="13.8" x14ac:dyDescent="0.25">
      <c r="A223" t="s">
        <v>16</v>
      </c>
      <c r="B223" t="s">
        <v>13</v>
      </c>
      <c r="C223" t="s">
        <v>30</v>
      </c>
      <c r="D223" t="s">
        <v>136</v>
      </c>
      <c r="E223" s="3" t="s">
        <v>10</v>
      </c>
      <c r="F223" s="4">
        <v>43025</v>
      </c>
      <c r="G223" s="4" t="s">
        <v>112</v>
      </c>
      <c r="H223">
        <v>300</v>
      </c>
      <c r="I223">
        <v>6495</v>
      </c>
      <c r="J223">
        <v>3066</v>
      </c>
      <c r="K223">
        <v>3429</v>
      </c>
      <c r="R223" s="3"/>
      <c r="S223" s="4"/>
      <c r="T223" s="4"/>
    </row>
    <row r="224" spans="1:20" ht="13.8" x14ac:dyDescent="0.25">
      <c r="A224" t="s">
        <v>126</v>
      </c>
      <c r="B224" t="s">
        <v>11</v>
      </c>
      <c r="C224" t="s">
        <v>27</v>
      </c>
      <c r="D224" t="s">
        <v>135</v>
      </c>
      <c r="E224" s="3" t="s">
        <v>15</v>
      </c>
      <c r="F224" s="4">
        <v>43026</v>
      </c>
      <c r="G224" s="4" t="s">
        <v>109</v>
      </c>
      <c r="H224">
        <v>400</v>
      </c>
      <c r="I224">
        <v>7520</v>
      </c>
      <c r="J224">
        <v>3388</v>
      </c>
      <c r="K224">
        <v>4132</v>
      </c>
      <c r="R224" s="3"/>
      <c r="S224" s="4"/>
      <c r="T224" s="4"/>
    </row>
    <row r="225" spans="1:20" ht="13.8" x14ac:dyDescent="0.25">
      <c r="A225" t="s">
        <v>126</v>
      </c>
      <c r="B225" t="s">
        <v>13</v>
      </c>
      <c r="C225" t="s">
        <v>28</v>
      </c>
      <c r="D225" t="s">
        <v>140</v>
      </c>
      <c r="E225" s="3" t="s">
        <v>10</v>
      </c>
      <c r="F225" s="4">
        <v>43028</v>
      </c>
      <c r="G225" s="4" t="s">
        <v>108</v>
      </c>
      <c r="H225">
        <v>900</v>
      </c>
      <c r="I225">
        <v>21834</v>
      </c>
      <c r="J225">
        <v>9198</v>
      </c>
      <c r="K225">
        <v>12636</v>
      </c>
      <c r="R225" s="3"/>
      <c r="S225" s="4"/>
      <c r="T225" s="4"/>
    </row>
    <row r="226" spans="1:20" ht="13.8" x14ac:dyDescent="0.25">
      <c r="A226" t="s">
        <v>126</v>
      </c>
      <c r="B226" t="s">
        <v>11</v>
      </c>
      <c r="C226" t="s">
        <v>27</v>
      </c>
      <c r="D226" t="s">
        <v>135</v>
      </c>
      <c r="E226" s="3" t="s">
        <v>15</v>
      </c>
      <c r="F226" s="4">
        <v>43028</v>
      </c>
      <c r="G226" s="4" t="s">
        <v>109</v>
      </c>
      <c r="H226">
        <v>800</v>
      </c>
      <c r="I226">
        <v>14136</v>
      </c>
      <c r="J226">
        <v>6776</v>
      </c>
      <c r="K226">
        <v>7360</v>
      </c>
      <c r="R226" s="3"/>
      <c r="S226" s="4"/>
      <c r="T226" s="4"/>
    </row>
    <row r="227" spans="1:20" ht="13.8" x14ac:dyDescent="0.25">
      <c r="A227" t="s">
        <v>130</v>
      </c>
      <c r="B227" t="s">
        <v>9</v>
      </c>
      <c r="C227" t="s">
        <v>24</v>
      </c>
      <c r="D227" t="s">
        <v>134</v>
      </c>
      <c r="E227" s="3" t="s">
        <v>15</v>
      </c>
      <c r="F227" s="4">
        <v>43030</v>
      </c>
      <c r="G227" s="4" t="s">
        <v>105</v>
      </c>
      <c r="H227">
        <v>800</v>
      </c>
      <c r="I227">
        <v>16008</v>
      </c>
      <c r="J227">
        <v>6776</v>
      </c>
      <c r="K227">
        <v>9232</v>
      </c>
      <c r="R227" s="3"/>
      <c r="S227" s="4"/>
      <c r="T227" s="4"/>
    </row>
    <row r="228" spans="1:20" ht="13.8" x14ac:dyDescent="0.25">
      <c r="A228" t="s">
        <v>131</v>
      </c>
      <c r="B228" t="s">
        <v>13</v>
      </c>
      <c r="C228" t="s">
        <v>28</v>
      </c>
      <c r="D228" t="s">
        <v>140</v>
      </c>
      <c r="E228" s="3" t="s">
        <v>12</v>
      </c>
      <c r="F228" s="4">
        <v>43030</v>
      </c>
      <c r="G228" s="4" t="s">
        <v>122</v>
      </c>
      <c r="H228">
        <v>500</v>
      </c>
      <c r="I228">
        <v>11220</v>
      </c>
      <c r="J228">
        <v>4920</v>
      </c>
      <c r="K228">
        <v>6300</v>
      </c>
      <c r="R228" s="3"/>
      <c r="S228" s="4"/>
      <c r="T228" s="4"/>
    </row>
    <row r="229" spans="1:20" ht="13.8" x14ac:dyDescent="0.25">
      <c r="A229" t="s">
        <v>129</v>
      </c>
      <c r="B229" t="s">
        <v>13</v>
      </c>
      <c r="C229" t="s">
        <v>32</v>
      </c>
      <c r="D229" t="s">
        <v>139</v>
      </c>
      <c r="E229" s="3" t="s">
        <v>12</v>
      </c>
      <c r="F229" s="4">
        <v>43031</v>
      </c>
      <c r="G229" s="4" t="s">
        <v>101</v>
      </c>
      <c r="H229">
        <v>1000</v>
      </c>
      <c r="I229">
        <v>23040</v>
      </c>
      <c r="J229">
        <v>9840</v>
      </c>
      <c r="K229">
        <v>13200</v>
      </c>
      <c r="R229" s="3"/>
      <c r="S229" s="4"/>
      <c r="T229" s="4"/>
    </row>
    <row r="230" spans="1:20" ht="13.8" x14ac:dyDescent="0.25">
      <c r="A230" t="s">
        <v>16</v>
      </c>
      <c r="B230" t="s">
        <v>13</v>
      </c>
      <c r="C230" t="s">
        <v>30</v>
      </c>
      <c r="D230" t="s">
        <v>136</v>
      </c>
      <c r="E230" s="3" t="s">
        <v>12</v>
      </c>
      <c r="F230" s="4">
        <v>43033</v>
      </c>
      <c r="G230" s="4" t="s">
        <v>112</v>
      </c>
      <c r="H230">
        <v>500</v>
      </c>
      <c r="I230">
        <v>10955</v>
      </c>
      <c r="J230">
        <v>4920</v>
      </c>
      <c r="K230">
        <v>6035</v>
      </c>
      <c r="R230" s="3"/>
      <c r="S230" s="4"/>
      <c r="T230" s="4"/>
    </row>
    <row r="231" spans="1:20" ht="13.8" x14ac:dyDescent="0.25">
      <c r="A231" t="s">
        <v>16</v>
      </c>
      <c r="B231" t="s">
        <v>13</v>
      </c>
      <c r="C231" t="s">
        <v>30</v>
      </c>
      <c r="D231" t="s">
        <v>136</v>
      </c>
      <c r="E231" s="3" t="s">
        <v>10</v>
      </c>
      <c r="F231" s="4">
        <v>43033</v>
      </c>
      <c r="G231" s="4" t="s">
        <v>112</v>
      </c>
      <c r="H231">
        <v>900</v>
      </c>
      <c r="I231">
        <v>21762</v>
      </c>
      <c r="J231">
        <v>9198</v>
      </c>
      <c r="K231">
        <v>12564</v>
      </c>
      <c r="R231" s="3"/>
      <c r="S231" s="4"/>
      <c r="T231" s="4"/>
    </row>
    <row r="232" spans="1:20" ht="13.8" x14ac:dyDescent="0.25">
      <c r="A232" t="s">
        <v>16</v>
      </c>
      <c r="B232" t="s">
        <v>13</v>
      </c>
      <c r="C232" t="s">
        <v>30</v>
      </c>
      <c r="D232" t="s">
        <v>136</v>
      </c>
      <c r="E232" s="3" t="s">
        <v>15</v>
      </c>
      <c r="F232" s="4">
        <v>43035</v>
      </c>
      <c r="G232" s="4" t="s">
        <v>112</v>
      </c>
      <c r="H232">
        <v>800</v>
      </c>
      <c r="I232">
        <v>15976</v>
      </c>
      <c r="J232">
        <v>6776</v>
      </c>
      <c r="K232">
        <v>9200</v>
      </c>
      <c r="R232" s="3"/>
      <c r="S232" s="4"/>
      <c r="T232" s="4"/>
    </row>
    <row r="233" spans="1:20" ht="13.8" x14ac:dyDescent="0.25">
      <c r="A233" t="s">
        <v>126</v>
      </c>
      <c r="B233" t="s">
        <v>11</v>
      </c>
      <c r="C233" t="s">
        <v>27</v>
      </c>
      <c r="D233" t="s">
        <v>135</v>
      </c>
      <c r="E233" s="3" t="s">
        <v>12</v>
      </c>
      <c r="F233" s="4">
        <v>43038</v>
      </c>
      <c r="G233" s="4" t="s">
        <v>109</v>
      </c>
      <c r="H233">
        <v>1000</v>
      </c>
      <c r="I233">
        <v>20540</v>
      </c>
      <c r="J233">
        <v>9840</v>
      </c>
      <c r="K233">
        <v>10700</v>
      </c>
      <c r="R233" s="3"/>
      <c r="S233" s="4"/>
      <c r="T233" s="4"/>
    </row>
    <row r="234" spans="1:20" ht="13.8" x14ac:dyDescent="0.25">
      <c r="A234" t="s">
        <v>126</v>
      </c>
      <c r="B234" t="s">
        <v>11</v>
      </c>
      <c r="C234" t="s">
        <v>27</v>
      </c>
      <c r="D234" t="s">
        <v>135</v>
      </c>
      <c r="E234" s="3" t="s">
        <v>15</v>
      </c>
      <c r="F234" s="4">
        <v>43039</v>
      </c>
      <c r="G234" s="4" t="s">
        <v>128</v>
      </c>
      <c r="H234">
        <v>500</v>
      </c>
      <c r="I234">
        <v>9475</v>
      </c>
      <c r="J234">
        <v>4235</v>
      </c>
      <c r="K234">
        <v>5240</v>
      </c>
      <c r="R234" s="3"/>
      <c r="S234" s="4"/>
      <c r="T234" s="4"/>
    </row>
    <row r="235" spans="1:20" ht="13.8" x14ac:dyDescent="0.25">
      <c r="A235" t="s">
        <v>130</v>
      </c>
      <c r="B235" t="s">
        <v>9</v>
      </c>
      <c r="C235" t="s">
        <v>24</v>
      </c>
      <c r="D235" t="s">
        <v>134</v>
      </c>
      <c r="E235" s="3" t="s">
        <v>10</v>
      </c>
      <c r="F235" s="4">
        <v>43040</v>
      </c>
      <c r="G235" s="4" t="s">
        <v>105</v>
      </c>
      <c r="H235">
        <v>100</v>
      </c>
      <c r="I235">
        <v>2343</v>
      </c>
      <c r="J235">
        <v>1022</v>
      </c>
      <c r="K235">
        <v>1321</v>
      </c>
      <c r="R235" s="3"/>
      <c r="S235" s="4"/>
      <c r="T235" s="4"/>
    </row>
    <row r="236" spans="1:20" ht="13.8" x14ac:dyDescent="0.25">
      <c r="A236" t="s">
        <v>126</v>
      </c>
      <c r="B236" t="s">
        <v>11</v>
      </c>
      <c r="C236" t="s">
        <v>27</v>
      </c>
      <c r="D236" t="s">
        <v>135</v>
      </c>
      <c r="E236" s="3" t="s">
        <v>10</v>
      </c>
      <c r="F236" s="4">
        <v>43043</v>
      </c>
      <c r="G236" s="4" t="s">
        <v>128</v>
      </c>
      <c r="H236">
        <v>500</v>
      </c>
      <c r="I236">
        <v>10645</v>
      </c>
      <c r="J236">
        <v>5110</v>
      </c>
      <c r="K236">
        <v>5535</v>
      </c>
      <c r="R236" s="3"/>
      <c r="S236" s="4"/>
      <c r="T236" s="4"/>
    </row>
    <row r="237" spans="1:20" ht="13.8" x14ac:dyDescent="0.25">
      <c r="A237" t="s">
        <v>126</v>
      </c>
      <c r="B237" t="s">
        <v>11</v>
      </c>
      <c r="C237" t="s">
        <v>27</v>
      </c>
      <c r="D237" t="s">
        <v>135</v>
      </c>
      <c r="E237" s="3" t="s">
        <v>15</v>
      </c>
      <c r="F237" s="4">
        <v>43044</v>
      </c>
      <c r="G237" s="4" t="s">
        <v>128</v>
      </c>
      <c r="H237">
        <v>400</v>
      </c>
      <c r="I237">
        <v>8468</v>
      </c>
      <c r="J237">
        <v>3388</v>
      </c>
      <c r="K237">
        <v>5080</v>
      </c>
      <c r="R237" s="3"/>
      <c r="S237" s="4"/>
      <c r="T237" s="4"/>
    </row>
    <row r="238" spans="1:20" ht="13.8" x14ac:dyDescent="0.25">
      <c r="A238" t="s">
        <v>126</v>
      </c>
      <c r="B238" t="s">
        <v>11</v>
      </c>
      <c r="C238" t="s">
        <v>27</v>
      </c>
      <c r="D238" t="s">
        <v>135</v>
      </c>
      <c r="E238" s="3" t="s">
        <v>15</v>
      </c>
      <c r="F238" s="4">
        <v>43047</v>
      </c>
      <c r="G238" s="4" t="s">
        <v>109</v>
      </c>
      <c r="H238">
        <v>400</v>
      </c>
      <c r="I238">
        <v>8196</v>
      </c>
      <c r="J238">
        <v>3388</v>
      </c>
      <c r="K238">
        <v>4808</v>
      </c>
      <c r="R238" s="3"/>
      <c r="S238" s="4"/>
      <c r="T238" s="4"/>
    </row>
    <row r="239" spans="1:20" ht="13.8" x14ac:dyDescent="0.25">
      <c r="A239" t="s">
        <v>126</v>
      </c>
      <c r="B239" t="s">
        <v>11</v>
      </c>
      <c r="C239" t="s">
        <v>27</v>
      </c>
      <c r="D239" t="s">
        <v>135</v>
      </c>
      <c r="E239" s="3" t="s">
        <v>12</v>
      </c>
      <c r="F239" s="4">
        <v>43050</v>
      </c>
      <c r="G239" s="4" t="s">
        <v>109</v>
      </c>
      <c r="H239">
        <v>500</v>
      </c>
      <c r="I239">
        <v>11295</v>
      </c>
      <c r="J239">
        <v>4920</v>
      </c>
      <c r="K239">
        <v>6375</v>
      </c>
      <c r="R239" s="3"/>
      <c r="S239" s="4"/>
      <c r="T239" s="4"/>
    </row>
    <row r="240" spans="1:20" ht="13.8" x14ac:dyDescent="0.25">
      <c r="A240" t="s">
        <v>130</v>
      </c>
      <c r="B240" t="s">
        <v>11</v>
      </c>
      <c r="C240" t="s">
        <v>27</v>
      </c>
      <c r="D240" t="s">
        <v>135</v>
      </c>
      <c r="E240" s="3" t="s">
        <v>10</v>
      </c>
      <c r="F240" s="4">
        <v>43052</v>
      </c>
      <c r="G240" s="4" t="s">
        <v>106</v>
      </c>
      <c r="H240">
        <v>800</v>
      </c>
      <c r="I240">
        <v>19376</v>
      </c>
      <c r="J240">
        <v>8176</v>
      </c>
      <c r="K240">
        <v>11200</v>
      </c>
      <c r="R240" s="3"/>
      <c r="S240" s="4"/>
      <c r="T240" s="4"/>
    </row>
    <row r="241" spans="1:20" ht="13.8" x14ac:dyDescent="0.25">
      <c r="A241" t="s">
        <v>126</v>
      </c>
      <c r="B241" t="s">
        <v>11</v>
      </c>
      <c r="C241" t="s">
        <v>27</v>
      </c>
      <c r="D241" t="s">
        <v>135</v>
      </c>
      <c r="E241" s="3" t="s">
        <v>12</v>
      </c>
      <c r="F241" s="4">
        <v>43052</v>
      </c>
      <c r="G241" s="4" t="s">
        <v>128</v>
      </c>
      <c r="H241">
        <v>600</v>
      </c>
      <c r="I241">
        <v>14466</v>
      </c>
      <c r="J241">
        <v>5904</v>
      </c>
      <c r="K241">
        <v>8562</v>
      </c>
      <c r="R241" s="3"/>
      <c r="S241" s="4"/>
      <c r="T241" s="4"/>
    </row>
    <row r="242" spans="1:20" ht="13.8" x14ac:dyDescent="0.25">
      <c r="A242" t="s">
        <v>126</v>
      </c>
      <c r="B242" t="s">
        <v>13</v>
      </c>
      <c r="C242" t="s">
        <v>28</v>
      </c>
      <c r="D242" t="s">
        <v>140</v>
      </c>
      <c r="E242" s="3" t="s">
        <v>15</v>
      </c>
      <c r="F242" s="4">
        <v>43054</v>
      </c>
      <c r="G242" s="4" t="s">
        <v>108</v>
      </c>
      <c r="H242">
        <v>900</v>
      </c>
      <c r="I242">
        <v>15255</v>
      </c>
      <c r="J242">
        <v>7623</v>
      </c>
      <c r="K242">
        <v>7632</v>
      </c>
      <c r="R242" s="3"/>
      <c r="S242" s="4"/>
      <c r="T242" s="4"/>
    </row>
    <row r="243" spans="1:20" ht="13.8" x14ac:dyDescent="0.25">
      <c r="A243" t="s">
        <v>131</v>
      </c>
      <c r="B243" t="s">
        <v>13</v>
      </c>
      <c r="C243" t="s">
        <v>29</v>
      </c>
      <c r="D243" t="s">
        <v>143</v>
      </c>
      <c r="E243" s="3" t="s">
        <v>12</v>
      </c>
      <c r="F243" s="4">
        <v>43054</v>
      </c>
      <c r="G243" s="4" t="s">
        <v>115</v>
      </c>
      <c r="H243">
        <v>900</v>
      </c>
      <c r="I243">
        <v>21033</v>
      </c>
      <c r="J243">
        <v>8856</v>
      </c>
      <c r="K243">
        <v>12177</v>
      </c>
      <c r="R243" s="3"/>
      <c r="S243" s="4"/>
      <c r="T243" s="4"/>
    </row>
    <row r="244" spans="1:20" ht="13.8" x14ac:dyDescent="0.25">
      <c r="A244" t="s">
        <v>131</v>
      </c>
      <c r="B244" t="s">
        <v>14</v>
      </c>
      <c r="C244" t="s">
        <v>33</v>
      </c>
      <c r="D244" t="s">
        <v>145</v>
      </c>
      <c r="E244" s="3" t="s">
        <v>15</v>
      </c>
      <c r="F244" s="4">
        <v>43055</v>
      </c>
      <c r="G244" s="4" t="s">
        <v>124</v>
      </c>
      <c r="H244">
        <v>1000</v>
      </c>
      <c r="I244">
        <v>17250</v>
      </c>
      <c r="J244">
        <v>8470</v>
      </c>
      <c r="K244">
        <v>8780</v>
      </c>
      <c r="R244" s="3"/>
      <c r="S244" s="4"/>
      <c r="T244" s="4"/>
    </row>
    <row r="245" spans="1:20" ht="13.8" x14ac:dyDescent="0.25">
      <c r="A245" t="s">
        <v>130</v>
      </c>
      <c r="B245" t="s">
        <v>9</v>
      </c>
      <c r="C245" t="s">
        <v>24</v>
      </c>
      <c r="D245" t="s">
        <v>134</v>
      </c>
      <c r="E245" s="3" t="s">
        <v>12</v>
      </c>
      <c r="F245" s="4">
        <v>43056</v>
      </c>
      <c r="G245" s="4" t="s">
        <v>105</v>
      </c>
      <c r="H245">
        <v>600</v>
      </c>
      <c r="I245">
        <v>13200</v>
      </c>
      <c r="J245">
        <v>5904</v>
      </c>
      <c r="K245">
        <v>7296</v>
      </c>
      <c r="R245" s="3"/>
      <c r="S245" s="4"/>
      <c r="T245" s="4"/>
    </row>
    <row r="246" spans="1:20" ht="13.8" x14ac:dyDescent="0.25">
      <c r="A246" t="s">
        <v>130</v>
      </c>
      <c r="B246" t="s">
        <v>11</v>
      </c>
      <c r="C246" t="s">
        <v>27</v>
      </c>
      <c r="D246" t="s">
        <v>135</v>
      </c>
      <c r="E246" s="3" t="s">
        <v>17</v>
      </c>
      <c r="F246" s="4">
        <v>43059</v>
      </c>
      <c r="G246" s="4" t="s">
        <v>110</v>
      </c>
      <c r="H246">
        <v>1000</v>
      </c>
      <c r="I246">
        <v>24420</v>
      </c>
      <c r="J246">
        <v>10220</v>
      </c>
      <c r="K246">
        <v>14200</v>
      </c>
      <c r="R246" s="3"/>
      <c r="S246" s="4"/>
      <c r="T246" s="4"/>
    </row>
    <row r="247" spans="1:20" ht="13.8" x14ac:dyDescent="0.25">
      <c r="A247" t="s">
        <v>126</v>
      </c>
      <c r="B247" t="s">
        <v>11</v>
      </c>
      <c r="C247" t="s">
        <v>27</v>
      </c>
      <c r="D247" t="s">
        <v>135</v>
      </c>
      <c r="E247" s="3" t="s">
        <v>15</v>
      </c>
      <c r="F247" s="4">
        <v>43059</v>
      </c>
      <c r="G247" s="4" t="s">
        <v>128</v>
      </c>
      <c r="H247">
        <v>200</v>
      </c>
      <c r="I247">
        <v>3672</v>
      </c>
      <c r="J247">
        <v>1694</v>
      </c>
      <c r="K247">
        <v>1978</v>
      </c>
      <c r="R247" s="3"/>
      <c r="S247" s="4"/>
      <c r="T247" s="4"/>
    </row>
    <row r="248" spans="1:20" ht="13.8" x14ac:dyDescent="0.25">
      <c r="A248" t="s">
        <v>126</v>
      </c>
      <c r="B248" t="s">
        <v>11</v>
      </c>
      <c r="C248" t="s">
        <v>27</v>
      </c>
      <c r="D248" t="s">
        <v>135</v>
      </c>
      <c r="E248" s="3" t="s">
        <v>12</v>
      </c>
      <c r="F248" s="4">
        <v>43060</v>
      </c>
      <c r="G248" s="4" t="s">
        <v>109</v>
      </c>
      <c r="H248">
        <v>300</v>
      </c>
      <c r="I248">
        <v>7053</v>
      </c>
      <c r="J248">
        <v>2952</v>
      </c>
      <c r="K248">
        <v>4101</v>
      </c>
      <c r="R248" s="3"/>
      <c r="S248" s="4"/>
      <c r="T248" s="4"/>
    </row>
    <row r="249" spans="1:20" ht="13.8" x14ac:dyDescent="0.25">
      <c r="A249" t="s">
        <v>130</v>
      </c>
      <c r="B249" t="s">
        <v>11</v>
      </c>
      <c r="C249" t="s">
        <v>27</v>
      </c>
      <c r="D249" t="s">
        <v>135</v>
      </c>
      <c r="E249" s="3" t="s">
        <v>15</v>
      </c>
      <c r="F249" s="4">
        <v>43062</v>
      </c>
      <c r="G249" s="4" t="s">
        <v>106</v>
      </c>
      <c r="H249">
        <v>900</v>
      </c>
      <c r="I249">
        <v>17136</v>
      </c>
      <c r="J249">
        <v>7623</v>
      </c>
      <c r="K249">
        <v>9513</v>
      </c>
      <c r="R249" s="3"/>
      <c r="S249" s="4"/>
      <c r="T249" s="4"/>
    </row>
    <row r="250" spans="1:20" ht="13.8" x14ac:dyDescent="0.25">
      <c r="A250" t="s">
        <v>126</v>
      </c>
      <c r="B250" t="s">
        <v>11</v>
      </c>
      <c r="C250" t="s">
        <v>27</v>
      </c>
      <c r="D250" t="s">
        <v>135</v>
      </c>
      <c r="E250" s="3" t="s">
        <v>12</v>
      </c>
      <c r="F250" s="4">
        <v>43062</v>
      </c>
      <c r="G250" s="4" t="s">
        <v>109</v>
      </c>
      <c r="H250">
        <v>100</v>
      </c>
      <c r="I250">
        <v>2410</v>
      </c>
      <c r="J250">
        <v>984</v>
      </c>
      <c r="K250">
        <v>1426</v>
      </c>
      <c r="R250" s="3"/>
      <c r="S250" s="4"/>
      <c r="T250" s="4"/>
    </row>
    <row r="251" spans="1:20" ht="13.8" x14ac:dyDescent="0.25">
      <c r="A251" t="s">
        <v>130</v>
      </c>
      <c r="B251" t="s">
        <v>11</v>
      </c>
      <c r="C251" t="s">
        <v>27</v>
      </c>
      <c r="D251" t="s">
        <v>135</v>
      </c>
      <c r="E251" s="3" t="s">
        <v>12</v>
      </c>
      <c r="F251" s="4">
        <v>43063</v>
      </c>
      <c r="G251" s="4" t="s">
        <v>106</v>
      </c>
      <c r="H251">
        <v>300</v>
      </c>
      <c r="I251">
        <v>6462</v>
      </c>
      <c r="J251">
        <v>2952</v>
      </c>
      <c r="K251">
        <v>3510</v>
      </c>
      <c r="R251" s="3"/>
      <c r="S251" s="4"/>
      <c r="T251" s="4"/>
    </row>
    <row r="252" spans="1:20" ht="13.8" x14ac:dyDescent="0.25">
      <c r="A252" t="s">
        <v>129</v>
      </c>
      <c r="B252" t="s">
        <v>9</v>
      </c>
      <c r="C252" t="s">
        <v>25</v>
      </c>
      <c r="D252" t="s">
        <v>142</v>
      </c>
      <c r="E252" s="3" t="s">
        <v>10</v>
      </c>
      <c r="F252" s="4">
        <v>43064</v>
      </c>
      <c r="G252" s="4" t="s">
        <v>118</v>
      </c>
      <c r="H252">
        <v>100</v>
      </c>
      <c r="I252">
        <v>2538</v>
      </c>
      <c r="J252">
        <v>1022</v>
      </c>
      <c r="K252">
        <v>1516</v>
      </c>
      <c r="R252" s="3"/>
      <c r="S252" s="4"/>
      <c r="T252" s="4"/>
    </row>
    <row r="253" spans="1:20" ht="13.8" x14ac:dyDescent="0.25">
      <c r="A253" t="s">
        <v>126</v>
      </c>
      <c r="B253" t="s">
        <v>11</v>
      </c>
      <c r="C253" t="s">
        <v>27</v>
      </c>
      <c r="D253" t="s">
        <v>135</v>
      </c>
      <c r="E253" s="3" t="s">
        <v>12</v>
      </c>
      <c r="F253" s="4">
        <v>43067</v>
      </c>
      <c r="G253" s="4" t="s">
        <v>128</v>
      </c>
      <c r="H253">
        <v>500</v>
      </c>
      <c r="I253">
        <v>9890</v>
      </c>
      <c r="J253">
        <v>4920</v>
      </c>
      <c r="K253">
        <v>4970</v>
      </c>
      <c r="R253" s="3"/>
      <c r="S253" s="4"/>
      <c r="T253" s="4"/>
    </row>
    <row r="254" spans="1:20" ht="13.8" x14ac:dyDescent="0.25">
      <c r="A254" t="s">
        <v>130</v>
      </c>
      <c r="B254" t="s">
        <v>9</v>
      </c>
      <c r="C254" t="s">
        <v>24</v>
      </c>
      <c r="D254" t="s">
        <v>134</v>
      </c>
      <c r="E254" s="3" t="s">
        <v>12</v>
      </c>
      <c r="F254" s="4">
        <v>43067</v>
      </c>
      <c r="G254" s="4" t="s">
        <v>105</v>
      </c>
      <c r="H254">
        <v>100</v>
      </c>
      <c r="I254">
        <v>2004</v>
      </c>
      <c r="J254">
        <v>984</v>
      </c>
      <c r="K254">
        <v>1020</v>
      </c>
      <c r="R254" s="3"/>
      <c r="S254" s="4"/>
      <c r="T254" s="4"/>
    </row>
    <row r="255" spans="1:20" ht="13.8" x14ac:dyDescent="0.25">
      <c r="A255" t="s">
        <v>126</v>
      </c>
      <c r="B255" t="s">
        <v>11</v>
      </c>
      <c r="C255" t="s">
        <v>27</v>
      </c>
      <c r="D255" t="s">
        <v>135</v>
      </c>
      <c r="E255" s="3" t="s">
        <v>10</v>
      </c>
      <c r="F255" s="4">
        <v>43068</v>
      </c>
      <c r="G255" s="4" t="s">
        <v>128</v>
      </c>
      <c r="H255">
        <v>300</v>
      </c>
      <c r="I255">
        <v>7569</v>
      </c>
      <c r="J255">
        <v>3066</v>
      </c>
      <c r="K255">
        <v>4503</v>
      </c>
      <c r="R255" s="3"/>
      <c r="S255" s="4"/>
      <c r="T255" s="4"/>
    </row>
    <row r="256" spans="1:20" ht="13.8" x14ac:dyDescent="0.25">
      <c r="A256" t="s">
        <v>130</v>
      </c>
      <c r="B256" t="s">
        <v>11</v>
      </c>
      <c r="C256" t="s">
        <v>27</v>
      </c>
      <c r="D256" t="s">
        <v>135</v>
      </c>
      <c r="E256" s="3" t="s">
        <v>15</v>
      </c>
      <c r="F256" s="4">
        <v>43069</v>
      </c>
      <c r="G256" s="4" t="s">
        <v>106</v>
      </c>
      <c r="H256">
        <v>300</v>
      </c>
      <c r="I256">
        <v>5592</v>
      </c>
      <c r="J256">
        <v>2541</v>
      </c>
      <c r="K256">
        <v>3051</v>
      </c>
      <c r="R256" s="3"/>
      <c r="S256" s="4"/>
      <c r="T256" s="4"/>
    </row>
    <row r="257" spans="1:20" ht="13.8" x14ac:dyDescent="0.25">
      <c r="A257" t="s">
        <v>126</v>
      </c>
      <c r="B257" t="s">
        <v>11</v>
      </c>
      <c r="C257" t="s">
        <v>27</v>
      </c>
      <c r="D257" t="s">
        <v>135</v>
      </c>
      <c r="E257" s="3" t="s">
        <v>12</v>
      </c>
      <c r="F257" s="4">
        <v>43070</v>
      </c>
      <c r="G257" s="4" t="s">
        <v>107</v>
      </c>
      <c r="H257">
        <v>200</v>
      </c>
      <c r="I257">
        <v>3942</v>
      </c>
      <c r="J257">
        <v>1968</v>
      </c>
      <c r="K257">
        <v>1974</v>
      </c>
      <c r="R257" s="3"/>
      <c r="S257" s="4"/>
      <c r="T257" s="4"/>
    </row>
    <row r="258" spans="1:20" ht="13.8" x14ac:dyDescent="0.25">
      <c r="A258" t="s">
        <v>16</v>
      </c>
      <c r="B258" t="s">
        <v>9</v>
      </c>
      <c r="C258" t="s">
        <v>22</v>
      </c>
      <c r="D258" t="s">
        <v>141</v>
      </c>
      <c r="E258" s="3" t="s">
        <v>12</v>
      </c>
      <c r="F258" s="4">
        <v>43071</v>
      </c>
      <c r="G258" s="4" t="s">
        <v>125</v>
      </c>
      <c r="H258">
        <v>800</v>
      </c>
      <c r="I258">
        <v>19344</v>
      </c>
      <c r="J258">
        <v>7872</v>
      </c>
      <c r="K258">
        <v>11472</v>
      </c>
      <c r="R258" s="3"/>
      <c r="S258" s="4"/>
      <c r="T258" s="4"/>
    </row>
    <row r="259" spans="1:20" ht="13.8" x14ac:dyDescent="0.25">
      <c r="A259" t="s">
        <v>126</v>
      </c>
      <c r="B259" t="s">
        <v>13</v>
      </c>
      <c r="C259" t="s">
        <v>28</v>
      </c>
      <c r="D259" t="s">
        <v>140</v>
      </c>
      <c r="E259" s="3" t="s">
        <v>12</v>
      </c>
      <c r="F259" s="4">
        <v>43073</v>
      </c>
      <c r="G259" s="4" t="s">
        <v>108</v>
      </c>
      <c r="H259">
        <v>900</v>
      </c>
      <c r="I259">
        <v>21546</v>
      </c>
      <c r="J259">
        <v>8856</v>
      </c>
      <c r="K259">
        <v>12690</v>
      </c>
      <c r="R259" s="3"/>
      <c r="S259" s="4"/>
      <c r="T259" s="4"/>
    </row>
    <row r="260" spans="1:20" ht="13.8" x14ac:dyDescent="0.25">
      <c r="A260" t="s">
        <v>16</v>
      </c>
      <c r="B260" t="s">
        <v>9</v>
      </c>
      <c r="C260" t="s">
        <v>22</v>
      </c>
      <c r="D260" t="s">
        <v>141</v>
      </c>
      <c r="E260" s="3" t="s">
        <v>12</v>
      </c>
      <c r="F260" s="4">
        <v>43074</v>
      </c>
      <c r="G260" s="4" t="s">
        <v>125</v>
      </c>
      <c r="H260">
        <v>500</v>
      </c>
      <c r="I260">
        <v>10760</v>
      </c>
      <c r="J260">
        <v>4920</v>
      </c>
      <c r="K260">
        <v>5840</v>
      </c>
      <c r="R260" s="3"/>
      <c r="S260" s="4"/>
      <c r="T260" s="4"/>
    </row>
    <row r="261" spans="1:20" ht="13.8" x14ac:dyDescent="0.25">
      <c r="A261" t="s">
        <v>129</v>
      </c>
      <c r="B261" t="s">
        <v>13</v>
      </c>
      <c r="C261" t="s">
        <v>32</v>
      </c>
      <c r="D261" t="s">
        <v>139</v>
      </c>
      <c r="E261" s="3" t="s">
        <v>15</v>
      </c>
      <c r="F261" s="4">
        <v>43074</v>
      </c>
      <c r="G261" s="4" t="s">
        <v>101</v>
      </c>
      <c r="H261">
        <v>900</v>
      </c>
      <c r="I261">
        <v>18243</v>
      </c>
      <c r="J261">
        <v>7623</v>
      </c>
      <c r="K261">
        <v>10620</v>
      </c>
      <c r="R261" s="3"/>
      <c r="S261" s="4"/>
      <c r="T261" s="4"/>
    </row>
    <row r="262" spans="1:20" ht="13.8" x14ac:dyDescent="0.25">
      <c r="A262" t="s">
        <v>126</v>
      </c>
      <c r="B262" t="s">
        <v>9</v>
      </c>
      <c r="C262" t="s">
        <v>24</v>
      </c>
      <c r="D262" t="s">
        <v>134</v>
      </c>
      <c r="E262" s="3" t="s">
        <v>15</v>
      </c>
      <c r="F262" s="4">
        <v>43075</v>
      </c>
      <c r="G262" s="4" t="s">
        <v>100</v>
      </c>
      <c r="H262">
        <v>800</v>
      </c>
      <c r="I262">
        <v>16856</v>
      </c>
      <c r="J262">
        <v>6776</v>
      </c>
      <c r="K262">
        <v>10080</v>
      </c>
      <c r="R262" s="3"/>
      <c r="S262" s="4"/>
      <c r="T262" s="4"/>
    </row>
    <row r="263" spans="1:20" ht="13.8" x14ac:dyDescent="0.25">
      <c r="A263" t="s">
        <v>16</v>
      </c>
      <c r="B263" t="s">
        <v>13</v>
      </c>
      <c r="C263" t="s">
        <v>30</v>
      </c>
      <c r="D263" t="s">
        <v>136</v>
      </c>
      <c r="E263" s="3" t="s">
        <v>15</v>
      </c>
      <c r="F263" s="4">
        <v>43077</v>
      </c>
      <c r="G263" s="4" t="s">
        <v>112</v>
      </c>
      <c r="H263">
        <v>700</v>
      </c>
      <c r="I263">
        <v>14105</v>
      </c>
      <c r="J263">
        <v>5929</v>
      </c>
      <c r="K263">
        <v>8176</v>
      </c>
      <c r="R263" s="3"/>
      <c r="S263" s="4"/>
      <c r="T263" s="4"/>
    </row>
    <row r="264" spans="1:20" ht="13.8" x14ac:dyDescent="0.25">
      <c r="A264" t="s">
        <v>126</v>
      </c>
      <c r="B264" t="s">
        <v>11</v>
      </c>
      <c r="C264" t="s">
        <v>27</v>
      </c>
      <c r="D264" t="s">
        <v>135</v>
      </c>
      <c r="E264" s="3" t="s">
        <v>15</v>
      </c>
      <c r="F264" s="4">
        <v>43077</v>
      </c>
      <c r="G264" s="4" t="s">
        <v>107</v>
      </c>
      <c r="H264">
        <v>100</v>
      </c>
      <c r="I264">
        <v>2111</v>
      </c>
      <c r="J264">
        <v>847</v>
      </c>
      <c r="K264">
        <v>1264</v>
      </c>
      <c r="R264" s="3"/>
      <c r="S264" s="4"/>
      <c r="T264" s="4"/>
    </row>
    <row r="265" spans="1:20" ht="13.8" x14ac:dyDescent="0.25">
      <c r="A265" t="s">
        <v>126</v>
      </c>
      <c r="B265" t="s">
        <v>9</v>
      </c>
      <c r="C265" t="s">
        <v>25</v>
      </c>
      <c r="D265" t="s">
        <v>142</v>
      </c>
      <c r="E265" s="3" t="s">
        <v>10</v>
      </c>
      <c r="F265" s="4">
        <v>43078</v>
      </c>
      <c r="G265" s="4" t="s">
        <v>114</v>
      </c>
      <c r="H265">
        <v>400</v>
      </c>
      <c r="I265">
        <v>9660</v>
      </c>
      <c r="J265">
        <v>4088</v>
      </c>
      <c r="K265">
        <v>5572</v>
      </c>
      <c r="R265" s="3"/>
      <c r="S265" s="4"/>
      <c r="T265" s="4"/>
    </row>
    <row r="266" spans="1:20" ht="13.8" x14ac:dyDescent="0.25">
      <c r="A266" t="s">
        <v>16</v>
      </c>
      <c r="B266" t="s">
        <v>13</v>
      </c>
      <c r="C266" t="s">
        <v>30</v>
      </c>
      <c r="D266" t="s">
        <v>136</v>
      </c>
      <c r="E266" s="3" t="s">
        <v>15</v>
      </c>
      <c r="F266" s="4">
        <v>43079</v>
      </c>
      <c r="G266" s="4" t="s">
        <v>112</v>
      </c>
      <c r="H266">
        <v>100</v>
      </c>
      <c r="I266">
        <v>1878</v>
      </c>
      <c r="J266">
        <v>847</v>
      </c>
      <c r="K266">
        <v>1031</v>
      </c>
      <c r="R266" s="3"/>
      <c r="S266" s="4"/>
      <c r="T266" s="4"/>
    </row>
    <row r="267" spans="1:20" ht="13.8" x14ac:dyDescent="0.25">
      <c r="A267" t="s">
        <v>126</v>
      </c>
      <c r="B267" t="s">
        <v>11</v>
      </c>
      <c r="C267" t="s">
        <v>27</v>
      </c>
      <c r="D267" t="s">
        <v>135</v>
      </c>
      <c r="E267" s="3" t="s">
        <v>12</v>
      </c>
      <c r="F267" s="4">
        <v>43079</v>
      </c>
      <c r="G267" s="4" t="s">
        <v>128</v>
      </c>
      <c r="H267">
        <v>600</v>
      </c>
      <c r="I267">
        <v>12888</v>
      </c>
      <c r="J267">
        <v>5904</v>
      </c>
      <c r="K267">
        <v>6984</v>
      </c>
      <c r="R267" s="3"/>
      <c r="S267" s="4"/>
      <c r="T267" s="4"/>
    </row>
    <row r="268" spans="1:20" ht="13.8" x14ac:dyDescent="0.25">
      <c r="A268" t="s">
        <v>126</v>
      </c>
      <c r="B268" t="s">
        <v>11</v>
      </c>
      <c r="C268" t="s">
        <v>27</v>
      </c>
      <c r="D268" t="s">
        <v>135</v>
      </c>
      <c r="E268" s="3" t="s">
        <v>15</v>
      </c>
      <c r="F268" s="4">
        <v>43081</v>
      </c>
      <c r="G268" s="4" t="s">
        <v>107</v>
      </c>
      <c r="H268">
        <v>100</v>
      </c>
      <c r="I268">
        <v>2108</v>
      </c>
      <c r="J268">
        <v>847</v>
      </c>
      <c r="K268">
        <v>1261</v>
      </c>
      <c r="R268" s="3"/>
      <c r="S268" s="4"/>
      <c r="T268" s="4"/>
    </row>
    <row r="269" spans="1:20" ht="13.8" x14ac:dyDescent="0.25">
      <c r="A269" t="s">
        <v>16</v>
      </c>
      <c r="B269" t="s">
        <v>13</v>
      </c>
      <c r="C269" t="s">
        <v>30</v>
      </c>
      <c r="D269" t="s">
        <v>136</v>
      </c>
      <c r="E269" s="3" t="s">
        <v>15</v>
      </c>
      <c r="F269" s="4">
        <v>43083</v>
      </c>
      <c r="G269" s="4" t="s">
        <v>112</v>
      </c>
      <c r="H269">
        <v>600</v>
      </c>
      <c r="I269">
        <v>11964</v>
      </c>
      <c r="J269">
        <v>5082</v>
      </c>
      <c r="K269">
        <v>6882</v>
      </c>
      <c r="R269" s="3"/>
      <c r="S269" s="4"/>
      <c r="T269" s="4"/>
    </row>
    <row r="270" spans="1:20" ht="13.8" x14ac:dyDescent="0.25">
      <c r="A270" t="s">
        <v>16</v>
      </c>
      <c r="B270" t="s">
        <v>13</v>
      </c>
      <c r="C270" t="s">
        <v>30</v>
      </c>
      <c r="D270" t="s">
        <v>136</v>
      </c>
      <c r="E270" s="3" t="s">
        <v>10</v>
      </c>
      <c r="F270" s="4">
        <v>43084</v>
      </c>
      <c r="G270" s="4" t="s">
        <v>112</v>
      </c>
      <c r="H270">
        <v>900</v>
      </c>
      <c r="I270">
        <v>20664</v>
      </c>
      <c r="J270">
        <v>9198</v>
      </c>
      <c r="K270">
        <v>11466</v>
      </c>
      <c r="R270" s="3"/>
      <c r="S270" s="4"/>
      <c r="T270" s="4"/>
    </row>
    <row r="271" spans="1:20" ht="13.8" x14ac:dyDescent="0.25">
      <c r="A271" t="s">
        <v>126</v>
      </c>
      <c r="B271" t="s">
        <v>11</v>
      </c>
      <c r="C271" t="s">
        <v>27</v>
      </c>
      <c r="D271" t="s">
        <v>135</v>
      </c>
      <c r="E271" s="3" t="s">
        <v>10</v>
      </c>
      <c r="F271" s="4">
        <v>43084</v>
      </c>
      <c r="G271" s="4" t="s">
        <v>107</v>
      </c>
      <c r="H271">
        <v>300</v>
      </c>
      <c r="I271">
        <v>6732</v>
      </c>
      <c r="J271">
        <v>3066</v>
      </c>
      <c r="K271">
        <v>3666</v>
      </c>
      <c r="R271" s="3"/>
      <c r="S271" s="4"/>
      <c r="T271" s="4"/>
    </row>
    <row r="272" spans="1:20" ht="13.8" x14ac:dyDescent="0.25">
      <c r="A272" t="s">
        <v>16</v>
      </c>
      <c r="B272" t="s">
        <v>13</v>
      </c>
      <c r="C272" t="s">
        <v>30</v>
      </c>
      <c r="D272" t="s">
        <v>136</v>
      </c>
      <c r="E272" s="3" t="s">
        <v>15</v>
      </c>
      <c r="F272" s="4">
        <v>43087</v>
      </c>
      <c r="G272" s="4" t="s">
        <v>112</v>
      </c>
      <c r="H272">
        <v>900</v>
      </c>
      <c r="I272">
        <v>15651</v>
      </c>
      <c r="J272">
        <v>7623</v>
      </c>
      <c r="K272">
        <v>8028</v>
      </c>
      <c r="R272" s="3"/>
      <c r="S272" s="4"/>
      <c r="T272" s="4"/>
    </row>
    <row r="273" spans="1:20" ht="13.8" x14ac:dyDescent="0.25">
      <c r="A273" t="s">
        <v>131</v>
      </c>
      <c r="B273" t="s">
        <v>13</v>
      </c>
      <c r="C273" t="s">
        <v>29</v>
      </c>
      <c r="D273" t="s">
        <v>143</v>
      </c>
      <c r="E273" s="3" t="s">
        <v>15</v>
      </c>
      <c r="F273" s="4">
        <v>43088</v>
      </c>
      <c r="G273" s="4" t="s">
        <v>115</v>
      </c>
      <c r="H273">
        <v>600</v>
      </c>
      <c r="I273">
        <v>11274</v>
      </c>
      <c r="J273">
        <v>5082</v>
      </c>
      <c r="K273">
        <v>6192</v>
      </c>
      <c r="R273" s="3"/>
      <c r="S273" s="4"/>
      <c r="T273" s="4"/>
    </row>
    <row r="274" spans="1:20" ht="13.8" x14ac:dyDescent="0.25">
      <c r="A274" t="s">
        <v>126</v>
      </c>
      <c r="B274" t="s">
        <v>9</v>
      </c>
      <c r="C274" t="s">
        <v>24</v>
      </c>
      <c r="D274" t="s">
        <v>134</v>
      </c>
      <c r="E274" s="3" t="s">
        <v>15</v>
      </c>
      <c r="F274" s="4">
        <v>43089</v>
      </c>
      <c r="G274" s="4" t="s">
        <v>100</v>
      </c>
      <c r="H274">
        <v>800</v>
      </c>
      <c r="I274">
        <v>14408</v>
      </c>
      <c r="J274">
        <v>6776</v>
      </c>
      <c r="K274">
        <v>7632</v>
      </c>
      <c r="R274" s="3"/>
      <c r="S274" s="4"/>
      <c r="T274" s="4"/>
    </row>
    <row r="275" spans="1:20" ht="13.8" x14ac:dyDescent="0.25">
      <c r="A275" t="s">
        <v>126</v>
      </c>
      <c r="B275" t="s">
        <v>11</v>
      </c>
      <c r="C275" t="s">
        <v>27</v>
      </c>
      <c r="D275" t="s">
        <v>135</v>
      </c>
      <c r="E275" s="3" t="s">
        <v>10</v>
      </c>
      <c r="F275" s="4">
        <v>43090</v>
      </c>
      <c r="G275" s="4" t="s">
        <v>107</v>
      </c>
      <c r="H275">
        <v>100</v>
      </c>
      <c r="I275">
        <v>2213</v>
      </c>
      <c r="J275">
        <v>1022</v>
      </c>
      <c r="K275">
        <v>1191</v>
      </c>
      <c r="R275" s="3"/>
      <c r="S275" s="4"/>
      <c r="T275" s="4"/>
    </row>
    <row r="276" spans="1:20" ht="13.8" x14ac:dyDescent="0.25">
      <c r="A276" t="s">
        <v>126</v>
      </c>
      <c r="B276" t="s">
        <v>11</v>
      </c>
      <c r="C276" t="s">
        <v>27</v>
      </c>
      <c r="D276" t="s">
        <v>135</v>
      </c>
      <c r="E276" s="3" t="s">
        <v>15</v>
      </c>
      <c r="F276" s="4">
        <v>43091</v>
      </c>
      <c r="G276" s="4" t="s">
        <v>107</v>
      </c>
      <c r="H276">
        <v>500</v>
      </c>
      <c r="I276">
        <v>8725</v>
      </c>
      <c r="J276">
        <v>4235</v>
      </c>
      <c r="K276">
        <v>4490</v>
      </c>
      <c r="R276" s="3"/>
      <c r="S276" s="4"/>
      <c r="T276" s="4"/>
    </row>
    <row r="277" spans="1:20" ht="13.8" x14ac:dyDescent="0.25">
      <c r="A277" t="s">
        <v>130</v>
      </c>
      <c r="B277" t="s">
        <v>11</v>
      </c>
      <c r="C277" t="s">
        <v>27</v>
      </c>
      <c r="D277" t="s">
        <v>135</v>
      </c>
      <c r="E277" s="3" t="s">
        <v>10</v>
      </c>
      <c r="F277" s="4">
        <v>43093</v>
      </c>
      <c r="G277" s="4" t="s">
        <v>106</v>
      </c>
      <c r="H277">
        <v>900</v>
      </c>
      <c r="I277">
        <v>18666</v>
      </c>
      <c r="J277">
        <v>9198</v>
      </c>
      <c r="K277">
        <v>9468</v>
      </c>
      <c r="R277" s="3"/>
      <c r="S277" s="4"/>
      <c r="T277" s="4"/>
    </row>
    <row r="278" spans="1:20" ht="13.8" x14ac:dyDescent="0.25">
      <c r="A278" t="s">
        <v>130</v>
      </c>
      <c r="B278" t="s">
        <v>11</v>
      </c>
      <c r="C278" t="s">
        <v>27</v>
      </c>
      <c r="D278" t="s">
        <v>135</v>
      </c>
      <c r="E278" s="3" t="s">
        <v>15</v>
      </c>
      <c r="F278" s="4">
        <v>43094</v>
      </c>
      <c r="G278" s="4" t="s">
        <v>106</v>
      </c>
      <c r="H278">
        <v>100</v>
      </c>
      <c r="I278">
        <v>2055</v>
      </c>
      <c r="J278">
        <v>847</v>
      </c>
      <c r="K278">
        <v>1208</v>
      </c>
      <c r="R278" s="3"/>
      <c r="S278" s="4"/>
      <c r="T278" s="4"/>
    </row>
    <row r="279" spans="1:20" ht="13.8" x14ac:dyDescent="0.25">
      <c r="A279" t="s">
        <v>126</v>
      </c>
      <c r="B279" t="s">
        <v>11</v>
      </c>
      <c r="C279" t="s">
        <v>27</v>
      </c>
      <c r="D279" t="s">
        <v>135</v>
      </c>
      <c r="E279" s="3" t="s">
        <v>12</v>
      </c>
      <c r="F279" s="4">
        <v>43094</v>
      </c>
      <c r="G279" s="4" t="s">
        <v>128</v>
      </c>
      <c r="H279">
        <v>500</v>
      </c>
      <c r="I279">
        <v>10475</v>
      </c>
      <c r="J279">
        <v>4920</v>
      </c>
      <c r="K279">
        <v>5555</v>
      </c>
      <c r="R279" s="3"/>
      <c r="S279" s="4"/>
      <c r="T279" s="4"/>
    </row>
    <row r="280" spans="1:20" ht="13.8" x14ac:dyDescent="0.25">
      <c r="A280" t="s">
        <v>16</v>
      </c>
      <c r="B280" t="s">
        <v>13</v>
      </c>
      <c r="C280" t="s">
        <v>30</v>
      </c>
      <c r="D280" t="s">
        <v>136</v>
      </c>
      <c r="E280" s="3" t="s">
        <v>10</v>
      </c>
      <c r="F280" s="4">
        <v>43096</v>
      </c>
      <c r="G280" s="4" t="s">
        <v>112</v>
      </c>
      <c r="H280">
        <v>600</v>
      </c>
      <c r="I280">
        <v>14178</v>
      </c>
      <c r="J280">
        <v>6132</v>
      </c>
      <c r="K280">
        <v>8046</v>
      </c>
      <c r="R280" s="3"/>
      <c r="S280" s="4"/>
      <c r="T280" s="4"/>
    </row>
    <row r="281" spans="1:20" ht="13.8" x14ac:dyDescent="0.25">
      <c r="A281" t="s">
        <v>126</v>
      </c>
      <c r="B281" t="s">
        <v>11</v>
      </c>
      <c r="C281" t="s">
        <v>27</v>
      </c>
      <c r="D281" t="s">
        <v>135</v>
      </c>
      <c r="E281" s="3" t="s">
        <v>15</v>
      </c>
      <c r="F281" s="4">
        <v>43096</v>
      </c>
      <c r="G281" s="4" t="s">
        <v>128</v>
      </c>
      <c r="H281">
        <v>100</v>
      </c>
      <c r="I281">
        <v>1861</v>
      </c>
      <c r="J281">
        <v>847</v>
      </c>
      <c r="K281">
        <v>1014</v>
      </c>
      <c r="R281" s="3"/>
      <c r="S281" s="4"/>
      <c r="T281" s="4"/>
    </row>
    <row r="282" spans="1:20" ht="13.8" x14ac:dyDescent="0.25">
      <c r="A282" t="s">
        <v>126</v>
      </c>
      <c r="B282" t="s">
        <v>13</v>
      </c>
      <c r="C282" t="s">
        <v>28</v>
      </c>
      <c r="D282" t="s">
        <v>140</v>
      </c>
      <c r="E282" s="3" t="s">
        <v>15</v>
      </c>
      <c r="F282" s="4">
        <v>43097</v>
      </c>
      <c r="G282" s="4" t="s">
        <v>108</v>
      </c>
      <c r="H282">
        <v>500</v>
      </c>
      <c r="I282">
        <v>9460</v>
      </c>
      <c r="J282">
        <v>4235</v>
      </c>
      <c r="K282">
        <v>5225</v>
      </c>
      <c r="R282" s="3"/>
      <c r="S282" s="4"/>
      <c r="T282" s="4"/>
    </row>
    <row r="283" spans="1:20" ht="13.8" x14ac:dyDescent="0.25">
      <c r="A283" t="s">
        <v>130</v>
      </c>
      <c r="B283" t="s">
        <v>9</v>
      </c>
      <c r="C283" t="s">
        <v>24</v>
      </c>
      <c r="D283" t="s">
        <v>134</v>
      </c>
      <c r="E283" s="3" t="s">
        <v>15</v>
      </c>
      <c r="F283" s="4">
        <v>43098</v>
      </c>
      <c r="G283" s="4" t="s">
        <v>105</v>
      </c>
      <c r="H283">
        <v>600</v>
      </c>
      <c r="I283">
        <v>10290</v>
      </c>
      <c r="J283">
        <v>5082</v>
      </c>
      <c r="K283">
        <v>5208</v>
      </c>
      <c r="R283" s="3"/>
      <c r="S283" s="4"/>
      <c r="T283" s="4"/>
    </row>
    <row r="284" spans="1:20" ht="13.8" x14ac:dyDescent="0.25">
      <c r="A284" t="s">
        <v>130</v>
      </c>
      <c r="B284" t="s">
        <v>11</v>
      </c>
      <c r="C284" t="s">
        <v>27</v>
      </c>
      <c r="D284" t="s">
        <v>135</v>
      </c>
      <c r="E284" s="3" t="s">
        <v>15</v>
      </c>
      <c r="F284" s="4">
        <v>43102</v>
      </c>
      <c r="G284" s="4" t="s">
        <v>106</v>
      </c>
      <c r="H284">
        <v>500</v>
      </c>
      <c r="I284">
        <v>10245</v>
      </c>
      <c r="J284">
        <v>4235</v>
      </c>
      <c r="K284">
        <v>6010</v>
      </c>
      <c r="R284" s="3"/>
      <c r="S284" s="4"/>
      <c r="T284" s="4"/>
    </row>
    <row r="285" spans="1:20" ht="13.8" x14ac:dyDescent="0.25">
      <c r="A285" t="s">
        <v>126</v>
      </c>
      <c r="B285" t="s">
        <v>11</v>
      </c>
      <c r="C285" t="s">
        <v>27</v>
      </c>
      <c r="D285" t="s">
        <v>135</v>
      </c>
      <c r="E285" s="3" t="s">
        <v>10</v>
      </c>
      <c r="F285" s="4">
        <v>43103</v>
      </c>
      <c r="G285" s="4" t="s">
        <v>128</v>
      </c>
      <c r="H285">
        <v>500</v>
      </c>
      <c r="I285">
        <v>11240</v>
      </c>
      <c r="J285">
        <v>5110</v>
      </c>
      <c r="K285">
        <v>6130</v>
      </c>
      <c r="R285" s="3"/>
      <c r="S285" s="4"/>
      <c r="T285" s="4"/>
    </row>
    <row r="286" spans="1:20" ht="13.8" x14ac:dyDescent="0.25">
      <c r="A286" t="s">
        <v>126</v>
      </c>
      <c r="B286" t="s">
        <v>11</v>
      </c>
      <c r="C286" t="s">
        <v>27</v>
      </c>
      <c r="D286" t="s">
        <v>135</v>
      </c>
      <c r="E286" s="3" t="s">
        <v>10</v>
      </c>
      <c r="F286" s="4">
        <v>43104</v>
      </c>
      <c r="G286" s="4" t="s">
        <v>128</v>
      </c>
      <c r="H286">
        <v>400</v>
      </c>
      <c r="I286">
        <v>9204</v>
      </c>
      <c r="J286">
        <v>4088</v>
      </c>
      <c r="K286">
        <v>5116</v>
      </c>
      <c r="R286" s="3"/>
      <c r="S286" s="4"/>
      <c r="T286" s="4"/>
    </row>
    <row r="287" spans="1:20" ht="13.8" x14ac:dyDescent="0.25">
      <c r="A287" t="s">
        <v>126</v>
      </c>
      <c r="B287" t="s">
        <v>11</v>
      </c>
      <c r="C287" t="s">
        <v>27</v>
      </c>
      <c r="D287" t="s">
        <v>135</v>
      </c>
      <c r="E287" s="3" t="s">
        <v>15</v>
      </c>
      <c r="F287" s="4">
        <v>43105</v>
      </c>
      <c r="G287" s="4" t="s">
        <v>107</v>
      </c>
      <c r="H287">
        <v>400</v>
      </c>
      <c r="I287">
        <v>6860</v>
      </c>
      <c r="J287">
        <v>3388</v>
      </c>
      <c r="K287">
        <v>3472</v>
      </c>
      <c r="R287" s="3"/>
      <c r="S287" s="4"/>
      <c r="T287" s="4"/>
    </row>
    <row r="288" spans="1:20" ht="13.8" x14ac:dyDescent="0.25">
      <c r="A288" t="s">
        <v>127</v>
      </c>
      <c r="B288" t="s">
        <v>13</v>
      </c>
      <c r="C288" t="s">
        <v>30</v>
      </c>
      <c r="D288" t="s">
        <v>136</v>
      </c>
      <c r="E288" s="3" t="s">
        <v>10</v>
      </c>
      <c r="F288" s="4">
        <v>43107</v>
      </c>
      <c r="G288" s="4" t="s">
        <v>102</v>
      </c>
      <c r="H288">
        <v>600</v>
      </c>
      <c r="I288">
        <v>13806</v>
      </c>
      <c r="J288">
        <v>6132</v>
      </c>
      <c r="K288">
        <v>7674</v>
      </c>
      <c r="R288" s="3"/>
      <c r="S288" s="4"/>
      <c r="T288" s="4"/>
    </row>
    <row r="289" spans="1:20" ht="13.8" x14ac:dyDescent="0.25">
      <c r="A289" t="s">
        <v>129</v>
      </c>
      <c r="B289" t="s">
        <v>14</v>
      </c>
      <c r="C289" t="s">
        <v>31</v>
      </c>
      <c r="D289" t="s">
        <v>138</v>
      </c>
      <c r="E289" s="3" t="s">
        <v>10</v>
      </c>
      <c r="F289" s="4">
        <v>43109</v>
      </c>
      <c r="G289" s="4" t="s">
        <v>119</v>
      </c>
      <c r="H289">
        <v>900</v>
      </c>
      <c r="I289">
        <v>21015</v>
      </c>
      <c r="J289">
        <v>9198</v>
      </c>
      <c r="K289">
        <v>11817</v>
      </c>
      <c r="R289" s="3"/>
      <c r="S289" s="4"/>
      <c r="T289" s="4"/>
    </row>
    <row r="290" spans="1:20" ht="13.8" x14ac:dyDescent="0.25">
      <c r="A290" t="s">
        <v>126</v>
      </c>
      <c r="B290" t="s">
        <v>11</v>
      </c>
      <c r="C290" t="s">
        <v>27</v>
      </c>
      <c r="D290" t="s">
        <v>135</v>
      </c>
      <c r="E290" s="3" t="s">
        <v>10</v>
      </c>
      <c r="F290" s="4">
        <v>43110</v>
      </c>
      <c r="G290" s="4" t="s">
        <v>128</v>
      </c>
      <c r="H290">
        <v>900</v>
      </c>
      <c r="I290">
        <v>21465</v>
      </c>
      <c r="J290">
        <v>9198</v>
      </c>
      <c r="K290">
        <v>12267</v>
      </c>
      <c r="R290" s="3"/>
      <c r="S290" s="4"/>
      <c r="T290" s="4"/>
    </row>
    <row r="291" spans="1:20" ht="13.8" x14ac:dyDescent="0.25">
      <c r="A291" t="s">
        <v>126</v>
      </c>
      <c r="B291" t="s">
        <v>11</v>
      </c>
      <c r="C291" t="s">
        <v>27</v>
      </c>
      <c r="D291" t="s">
        <v>135</v>
      </c>
      <c r="E291" s="3" t="s">
        <v>10</v>
      </c>
      <c r="F291" s="4">
        <v>43112</v>
      </c>
      <c r="G291" s="4" t="s">
        <v>128</v>
      </c>
      <c r="H291">
        <v>400</v>
      </c>
      <c r="I291">
        <v>9144</v>
      </c>
      <c r="J291">
        <v>4088</v>
      </c>
      <c r="K291">
        <v>5056</v>
      </c>
      <c r="R291" s="3"/>
      <c r="S291" s="4"/>
      <c r="T291" s="4"/>
    </row>
    <row r="292" spans="1:20" ht="13.8" x14ac:dyDescent="0.25">
      <c r="A292" t="s">
        <v>126</v>
      </c>
      <c r="B292" t="s">
        <v>13</v>
      </c>
      <c r="C292" t="s">
        <v>28</v>
      </c>
      <c r="D292" t="s">
        <v>140</v>
      </c>
      <c r="E292" s="3" t="s">
        <v>15</v>
      </c>
      <c r="F292" s="4">
        <v>43114</v>
      </c>
      <c r="G292" s="4" t="s">
        <v>108</v>
      </c>
      <c r="H292">
        <v>100</v>
      </c>
      <c r="I292">
        <v>1740</v>
      </c>
      <c r="J292">
        <v>847</v>
      </c>
      <c r="K292">
        <v>893</v>
      </c>
      <c r="R292" s="3"/>
      <c r="S292" s="4"/>
      <c r="T292" s="4"/>
    </row>
    <row r="293" spans="1:20" ht="13.8" x14ac:dyDescent="0.25">
      <c r="A293" t="s">
        <v>129</v>
      </c>
      <c r="B293" t="s">
        <v>13</v>
      </c>
      <c r="C293" t="s">
        <v>32</v>
      </c>
      <c r="D293" t="s">
        <v>139</v>
      </c>
      <c r="E293" s="3" t="s">
        <v>15</v>
      </c>
      <c r="F293" s="4">
        <v>43114</v>
      </c>
      <c r="G293" s="4" t="s">
        <v>101</v>
      </c>
      <c r="H293">
        <v>1000</v>
      </c>
      <c r="I293">
        <v>19110</v>
      </c>
      <c r="J293">
        <v>8470</v>
      </c>
      <c r="K293">
        <v>10640</v>
      </c>
      <c r="R293" s="3"/>
      <c r="S293" s="4"/>
      <c r="T293" s="4"/>
    </row>
    <row r="294" spans="1:20" ht="13.8" x14ac:dyDescent="0.25">
      <c r="A294" t="s">
        <v>129</v>
      </c>
      <c r="B294" t="s">
        <v>13</v>
      </c>
      <c r="C294" t="s">
        <v>32</v>
      </c>
      <c r="D294" t="s">
        <v>139</v>
      </c>
      <c r="E294" s="3" t="s">
        <v>10</v>
      </c>
      <c r="F294" s="4">
        <v>43116</v>
      </c>
      <c r="G294" s="4" t="s">
        <v>101</v>
      </c>
      <c r="H294">
        <v>900</v>
      </c>
      <c r="I294">
        <v>21888</v>
      </c>
      <c r="J294">
        <v>9198</v>
      </c>
      <c r="K294">
        <v>12690</v>
      </c>
      <c r="R294" s="3"/>
      <c r="S294" s="4"/>
      <c r="T294" s="4"/>
    </row>
    <row r="295" spans="1:20" ht="13.8" x14ac:dyDescent="0.25">
      <c r="A295" t="s">
        <v>16</v>
      </c>
      <c r="B295" t="s">
        <v>13</v>
      </c>
      <c r="C295" t="s">
        <v>30</v>
      </c>
      <c r="D295" t="s">
        <v>136</v>
      </c>
      <c r="E295" s="3" t="s">
        <v>12</v>
      </c>
      <c r="F295" s="4">
        <v>43117</v>
      </c>
      <c r="G295" s="4" t="s">
        <v>112</v>
      </c>
      <c r="H295">
        <v>300</v>
      </c>
      <c r="I295">
        <v>5961</v>
      </c>
      <c r="J295">
        <v>2952</v>
      </c>
      <c r="K295">
        <v>3009</v>
      </c>
      <c r="R295" s="3"/>
      <c r="S295" s="4"/>
      <c r="T295" s="4"/>
    </row>
    <row r="296" spans="1:20" ht="13.8" x14ac:dyDescent="0.25">
      <c r="A296" t="s">
        <v>126</v>
      </c>
      <c r="B296" t="s">
        <v>11</v>
      </c>
      <c r="C296" t="s">
        <v>27</v>
      </c>
      <c r="D296" t="s">
        <v>135</v>
      </c>
      <c r="E296" s="3" t="s">
        <v>15</v>
      </c>
      <c r="F296" s="4">
        <v>43120</v>
      </c>
      <c r="G296" s="4" t="s">
        <v>109</v>
      </c>
      <c r="H296">
        <v>900</v>
      </c>
      <c r="I296">
        <v>17505</v>
      </c>
      <c r="J296">
        <v>7623</v>
      </c>
      <c r="K296">
        <v>9882</v>
      </c>
      <c r="R296" s="3"/>
      <c r="S296" s="4"/>
      <c r="T296" s="4"/>
    </row>
    <row r="297" spans="1:20" ht="13.8" x14ac:dyDescent="0.25">
      <c r="A297" t="s">
        <v>16</v>
      </c>
      <c r="B297" t="s">
        <v>13</v>
      </c>
      <c r="C297" t="s">
        <v>30</v>
      </c>
      <c r="D297" t="s">
        <v>136</v>
      </c>
      <c r="E297" s="3" t="s">
        <v>12</v>
      </c>
      <c r="F297" s="4">
        <v>43121</v>
      </c>
      <c r="G297" s="4" t="s">
        <v>112</v>
      </c>
      <c r="H297">
        <v>300</v>
      </c>
      <c r="I297">
        <v>7032</v>
      </c>
      <c r="J297">
        <v>2952</v>
      </c>
      <c r="K297">
        <v>4080</v>
      </c>
      <c r="R297" s="3"/>
      <c r="S297" s="4"/>
      <c r="T297" s="4"/>
    </row>
    <row r="298" spans="1:20" ht="13.8" x14ac:dyDescent="0.25">
      <c r="A298" t="s">
        <v>16</v>
      </c>
      <c r="B298" t="s">
        <v>13</v>
      </c>
      <c r="C298" t="s">
        <v>30</v>
      </c>
      <c r="D298" t="s">
        <v>136</v>
      </c>
      <c r="E298" s="3" t="s">
        <v>12</v>
      </c>
      <c r="F298" s="4">
        <v>43122</v>
      </c>
      <c r="G298" s="4" t="s">
        <v>112</v>
      </c>
      <c r="H298">
        <v>300</v>
      </c>
      <c r="I298">
        <v>6735</v>
      </c>
      <c r="J298">
        <v>2952</v>
      </c>
      <c r="K298">
        <v>3783</v>
      </c>
      <c r="R298" s="3"/>
      <c r="S298" s="4"/>
      <c r="T298" s="4"/>
    </row>
    <row r="299" spans="1:20" ht="13.8" x14ac:dyDescent="0.25">
      <c r="A299" t="s">
        <v>16</v>
      </c>
      <c r="B299" t="s">
        <v>13</v>
      </c>
      <c r="C299" t="s">
        <v>30</v>
      </c>
      <c r="D299" t="s">
        <v>136</v>
      </c>
      <c r="E299" s="3" t="s">
        <v>15</v>
      </c>
      <c r="F299" s="4">
        <v>43123</v>
      </c>
      <c r="G299" s="4" t="s">
        <v>112</v>
      </c>
      <c r="H299">
        <v>400</v>
      </c>
      <c r="I299">
        <v>8164</v>
      </c>
      <c r="J299">
        <v>3388</v>
      </c>
      <c r="K299">
        <v>4776</v>
      </c>
      <c r="R299" s="3"/>
      <c r="S299" s="4"/>
      <c r="T299" s="4"/>
    </row>
    <row r="300" spans="1:20" ht="13.8" x14ac:dyDescent="0.25">
      <c r="A300" t="s">
        <v>129</v>
      </c>
      <c r="B300" t="s">
        <v>13</v>
      </c>
      <c r="C300" t="s">
        <v>32</v>
      </c>
      <c r="D300" t="s">
        <v>139</v>
      </c>
      <c r="E300" s="3" t="s">
        <v>15</v>
      </c>
      <c r="F300" s="4">
        <v>43124</v>
      </c>
      <c r="G300" s="4" t="s">
        <v>101</v>
      </c>
      <c r="H300">
        <v>300</v>
      </c>
      <c r="I300">
        <v>6207</v>
      </c>
      <c r="J300">
        <v>2541</v>
      </c>
      <c r="K300">
        <v>3666</v>
      </c>
      <c r="R300" s="3"/>
      <c r="S300" s="4"/>
      <c r="T300" s="4"/>
    </row>
    <row r="301" spans="1:20" ht="13.8" x14ac:dyDescent="0.25">
      <c r="A301" t="s">
        <v>16</v>
      </c>
      <c r="B301" t="s">
        <v>13</v>
      </c>
      <c r="C301" t="s">
        <v>30</v>
      </c>
      <c r="D301" t="s">
        <v>136</v>
      </c>
      <c r="E301" s="3" t="s">
        <v>12</v>
      </c>
      <c r="F301" s="4">
        <v>43125</v>
      </c>
      <c r="G301" s="4" t="s">
        <v>112</v>
      </c>
      <c r="H301">
        <v>300</v>
      </c>
      <c r="I301">
        <v>6240</v>
      </c>
      <c r="J301">
        <v>2952</v>
      </c>
      <c r="K301">
        <v>3288</v>
      </c>
      <c r="R301" s="3"/>
      <c r="S301" s="4"/>
      <c r="T301" s="4"/>
    </row>
    <row r="302" spans="1:20" ht="13.8" x14ac:dyDescent="0.25">
      <c r="A302" t="s">
        <v>126</v>
      </c>
      <c r="B302" t="s">
        <v>11</v>
      </c>
      <c r="C302" t="s">
        <v>27</v>
      </c>
      <c r="D302" t="s">
        <v>135</v>
      </c>
      <c r="E302" s="3" t="s">
        <v>15</v>
      </c>
      <c r="F302" s="4">
        <v>43127</v>
      </c>
      <c r="G302" s="4" t="s">
        <v>128</v>
      </c>
      <c r="H302">
        <v>500</v>
      </c>
      <c r="I302">
        <v>10445</v>
      </c>
      <c r="J302">
        <v>4235</v>
      </c>
      <c r="K302">
        <v>6210</v>
      </c>
      <c r="R302" s="3"/>
      <c r="S302" s="4"/>
      <c r="T302" s="4"/>
    </row>
    <row r="303" spans="1:20" ht="13.8" x14ac:dyDescent="0.25">
      <c r="A303" t="s">
        <v>129</v>
      </c>
      <c r="B303" t="s">
        <v>13</v>
      </c>
      <c r="C303" t="s">
        <v>32</v>
      </c>
      <c r="D303" t="s">
        <v>139</v>
      </c>
      <c r="E303" s="3" t="s">
        <v>15</v>
      </c>
      <c r="F303" s="4">
        <v>43129</v>
      </c>
      <c r="G303" s="4" t="s">
        <v>101</v>
      </c>
      <c r="H303">
        <v>800</v>
      </c>
      <c r="I303">
        <v>14224</v>
      </c>
      <c r="J303">
        <v>6776</v>
      </c>
      <c r="K303">
        <v>7448</v>
      </c>
      <c r="R303" s="3"/>
      <c r="S303" s="4"/>
      <c r="T303" s="4"/>
    </row>
    <row r="304" spans="1:20" ht="13.8" x14ac:dyDescent="0.25">
      <c r="A304" t="s">
        <v>126</v>
      </c>
      <c r="B304" t="s">
        <v>13</v>
      </c>
      <c r="C304" t="s">
        <v>28</v>
      </c>
      <c r="D304" t="s">
        <v>140</v>
      </c>
      <c r="E304" s="3" t="s">
        <v>10</v>
      </c>
      <c r="F304" s="4">
        <v>43130</v>
      </c>
      <c r="G304" s="4" t="s">
        <v>108</v>
      </c>
      <c r="H304">
        <v>400</v>
      </c>
      <c r="I304">
        <v>10044</v>
      </c>
      <c r="J304">
        <v>4088</v>
      </c>
      <c r="K304">
        <v>5956</v>
      </c>
      <c r="R304" s="3"/>
      <c r="S304" s="4"/>
      <c r="T304" s="4"/>
    </row>
    <row r="305" spans="1:20" ht="13.8" x14ac:dyDescent="0.25">
      <c r="A305" t="s">
        <v>126</v>
      </c>
      <c r="B305" t="s">
        <v>11</v>
      </c>
      <c r="C305" t="s">
        <v>27</v>
      </c>
      <c r="D305" t="s">
        <v>135</v>
      </c>
      <c r="E305" s="3" t="s">
        <v>15</v>
      </c>
      <c r="F305" s="4">
        <v>43131</v>
      </c>
      <c r="G305" s="4" t="s">
        <v>109</v>
      </c>
      <c r="H305">
        <v>1000</v>
      </c>
      <c r="I305">
        <v>19250</v>
      </c>
      <c r="J305">
        <v>8470</v>
      </c>
      <c r="K305">
        <v>10780</v>
      </c>
      <c r="R305" s="3"/>
      <c r="S305" s="4"/>
      <c r="T305" s="4"/>
    </row>
    <row r="306" spans="1:20" ht="13.8" x14ac:dyDescent="0.25">
      <c r="A306" t="s">
        <v>16</v>
      </c>
      <c r="B306" t="s">
        <v>13</v>
      </c>
      <c r="C306" t="s">
        <v>30</v>
      </c>
      <c r="D306" t="s">
        <v>136</v>
      </c>
      <c r="E306" s="3" t="s">
        <v>12</v>
      </c>
      <c r="F306" s="4">
        <v>43132</v>
      </c>
      <c r="G306" s="4" t="s">
        <v>112</v>
      </c>
      <c r="H306">
        <v>200</v>
      </c>
      <c r="I306">
        <v>4740</v>
      </c>
      <c r="J306">
        <v>1968</v>
      </c>
      <c r="K306">
        <v>2772</v>
      </c>
      <c r="R306" s="3"/>
      <c r="S306" s="4"/>
      <c r="T306" s="4"/>
    </row>
    <row r="307" spans="1:20" ht="13.8" x14ac:dyDescent="0.25">
      <c r="A307" t="s">
        <v>130</v>
      </c>
      <c r="B307" t="s">
        <v>9</v>
      </c>
      <c r="C307" t="s">
        <v>24</v>
      </c>
      <c r="D307" t="s">
        <v>134</v>
      </c>
      <c r="E307" s="3" t="s">
        <v>12</v>
      </c>
      <c r="F307" s="4">
        <v>43132</v>
      </c>
      <c r="G307" s="4" t="s">
        <v>105</v>
      </c>
      <c r="H307">
        <v>600</v>
      </c>
      <c r="I307">
        <v>12672</v>
      </c>
      <c r="J307">
        <v>5904</v>
      </c>
      <c r="K307">
        <v>6768</v>
      </c>
      <c r="R307" s="3"/>
      <c r="S307" s="4"/>
      <c r="T307" s="4"/>
    </row>
    <row r="308" spans="1:20" ht="13.8" x14ac:dyDescent="0.25">
      <c r="A308" t="s">
        <v>16</v>
      </c>
      <c r="B308" t="s">
        <v>13</v>
      </c>
      <c r="C308" t="s">
        <v>30</v>
      </c>
      <c r="D308" t="s">
        <v>136</v>
      </c>
      <c r="E308" s="3" t="s">
        <v>15</v>
      </c>
      <c r="F308" s="4">
        <v>43136</v>
      </c>
      <c r="G308" s="4" t="s">
        <v>112</v>
      </c>
      <c r="H308">
        <v>700</v>
      </c>
      <c r="I308">
        <v>13314</v>
      </c>
      <c r="J308">
        <v>5929</v>
      </c>
      <c r="K308">
        <v>7385</v>
      </c>
      <c r="R308" s="3"/>
      <c r="S308" s="4"/>
      <c r="T308" s="4"/>
    </row>
    <row r="309" spans="1:20" ht="13.8" x14ac:dyDescent="0.25">
      <c r="A309" t="s">
        <v>126</v>
      </c>
      <c r="B309" t="s">
        <v>11</v>
      </c>
      <c r="C309" t="s">
        <v>27</v>
      </c>
      <c r="D309" t="s">
        <v>135</v>
      </c>
      <c r="E309" s="3" t="s">
        <v>12</v>
      </c>
      <c r="F309" s="4">
        <v>43137</v>
      </c>
      <c r="G309" s="4" t="s">
        <v>128</v>
      </c>
      <c r="H309">
        <v>200</v>
      </c>
      <c r="I309">
        <v>4280</v>
      </c>
      <c r="J309">
        <v>1968</v>
      </c>
      <c r="K309">
        <v>2312</v>
      </c>
      <c r="R309" s="3"/>
      <c r="S309" s="4"/>
      <c r="T309" s="4"/>
    </row>
    <row r="310" spans="1:20" ht="13.8" x14ac:dyDescent="0.25">
      <c r="A310" t="s">
        <v>130</v>
      </c>
      <c r="B310" t="s">
        <v>11</v>
      </c>
      <c r="C310" t="s">
        <v>27</v>
      </c>
      <c r="D310" t="s">
        <v>135</v>
      </c>
      <c r="E310" s="3" t="s">
        <v>15</v>
      </c>
      <c r="F310" s="4">
        <v>43139</v>
      </c>
      <c r="G310" s="4" t="s">
        <v>106</v>
      </c>
      <c r="H310">
        <v>300</v>
      </c>
      <c r="I310">
        <v>6045</v>
      </c>
      <c r="J310">
        <v>2541</v>
      </c>
      <c r="K310">
        <v>3504</v>
      </c>
      <c r="R310" s="3"/>
      <c r="S310" s="4"/>
      <c r="T310" s="4"/>
    </row>
    <row r="311" spans="1:20" ht="13.8" x14ac:dyDescent="0.25">
      <c r="A311" t="s">
        <v>129</v>
      </c>
      <c r="B311" t="s">
        <v>13</v>
      </c>
      <c r="C311" t="s">
        <v>32</v>
      </c>
      <c r="D311" t="s">
        <v>139</v>
      </c>
      <c r="E311" s="3" t="s">
        <v>15</v>
      </c>
      <c r="F311" s="4">
        <v>43140</v>
      </c>
      <c r="G311" s="4" t="s">
        <v>101</v>
      </c>
      <c r="H311">
        <v>400</v>
      </c>
      <c r="I311">
        <v>7180</v>
      </c>
      <c r="J311">
        <v>3388</v>
      </c>
      <c r="K311">
        <v>3792</v>
      </c>
      <c r="R311" s="3"/>
      <c r="S311" s="4"/>
      <c r="T311" s="4"/>
    </row>
    <row r="312" spans="1:20" ht="13.8" x14ac:dyDescent="0.25">
      <c r="A312" t="s">
        <v>126</v>
      </c>
      <c r="B312" t="s">
        <v>11</v>
      </c>
      <c r="C312" t="s">
        <v>27</v>
      </c>
      <c r="D312" t="s">
        <v>135</v>
      </c>
      <c r="E312" s="3" t="s">
        <v>12</v>
      </c>
      <c r="F312" s="4">
        <v>43144</v>
      </c>
      <c r="G312" s="4" t="s">
        <v>109</v>
      </c>
      <c r="H312">
        <v>600</v>
      </c>
      <c r="I312">
        <v>12798</v>
      </c>
      <c r="J312">
        <v>5904</v>
      </c>
      <c r="K312">
        <v>6894</v>
      </c>
      <c r="R312" s="3"/>
      <c r="S312" s="4"/>
      <c r="T312" s="4"/>
    </row>
    <row r="313" spans="1:20" ht="13.8" x14ac:dyDescent="0.25">
      <c r="A313" t="s">
        <v>129</v>
      </c>
      <c r="B313" t="s">
        <v>13</v>
      </c>
      <c r="C313" t="s">
        <v>32</v>
      </c>
      <c r="D313" t="s">
        <v>139</v>
      </c>
      <c r="E313" s="3" t="s">
        <v>15</v>
      </c>
      <c r="F313" s="4">
        <v>43146</v>
      </c>
      <c r="G313" s="4" t="s">
        <v>101</v>
      </c>
      <c r="H313">
        <v>100</v>
      </c>
      <c r="I313">
        <v>2066</v>
      </c>
      <c r="J313">
        <v>847</v>
      </c>
      <c r="K313">
        <v>1219</v>
      </c>
      <c r="R313" s="3"/>
      <c r="S313" s="4"/>
      <c r="T313" s="4"/>
    </row>
    <row r="314" spans="1:20" ht="13.8" x14ac:dyDescent="0.25">
      <c r="A314" t="s">
        <v>126</v>
      </c>
      <c r="B314" t="s">
        <v>9</v>
      </c>
      <c r="C314" t="s">
        <v>24</v>
      </c>
      <c r="D314" t="s">
        <v>134</v>
      </c>
      <c r="E314" s="3" t="s">
        <v>12</v>
      </c>
      <c r="F314" s="4">
        <v>43147</v>
      </c>
      <c r="G314" s="4" t="s">
        <v>100</v>
      </c>
      <c r="H314">
        <v>200</v>
      </c>
      <c r="I314">
        <v>4742</v>
      </c>
      <c r="J314">
        <v>1968</v>
      </c>
      <c r="K314">
        <v>2774</v>
      </c>
      <c r="R314" s="3"/>
      <c r="S314" s="4"/>
      <c r="T314" s="4"/>
    </row>
    <row r="315" spans="1:20" ht="13.8" x14ac:dyDescent="0.25">
      <c r="A315" t="s">
        <v>130</v>
      </c>
      <c r="B315" t="s">
        <v>9</v>
      </c>
      <c r="C315" t="s">
        <v>24</v>
      </c>
      <c r="D315" t="s">
        <v>134</v>
      </c>
      <c r="E315" s="3" t="s">
        <v>15</v>
      </c>
      <c r="F315" s="4">
        <v>43148</v>
      </c>
      <c r="G315" s="4" t="s">
        <v>105</v>
      </c>
      <c r="H315">
        <v>200</v>
      </c>
      <c r="I315">
        <v>3876</v>
      </c>
      <c r="J315">
        <v>1694</v>
      </c>
      <c r="K315">
        <v>2182</v>
      </c>
      <c r="R315" s="3"/>
      <c r="S315" s="4"/>
      <c r="T315" s="4"/>
    </row>
    <row r="316" spans="1:20" ht="13.8" x14ac:dyDescent="0.25">
      <c r="A316" t="s">
        <v>126</v>
      </c>
      <c r="B316" t="s">
        <v>11</v>
      </c>
      <c r="C316" t="s">
        <v>27</v>
      </c>
      <c r="D316" t="s">
        <v>135</v>
      </c>
      <c r="E316" s="3" t="s">
        <v>12</v>
      </c>
      <c r="F316" s="4">
        <v>43150</v>
      </c>
      <c r="G316" s="4" t="s">
        <v>107</v>
      </c>
      <c r="H316">
        <v>400</v>
      </c>
      <c r="I316">
        <v>9088</v>
      </c>
      <c r="J316">
        <v>3936</v>
      </c>
      <c r="K316">
        <v>5152</v>
      </c>
      <c r="R316" s="3"/>
      <c r="S316" s="4"/>
      <c r="T316" s="4"/>
    </row>
    <row r="317" spans="1:20" ht="13.8" x14ac:dyDescent="0.25">
      <c r="A317" t="s">
        <v>130</v>
      </c>
      <c r="B317" t="s">
        <v>9</v>
      </c>
      <c r="C317" t="s">
        <v>24</v>
      </c>
      <c r="D317" t="s">
        <v>134</v>
      </c>
      <c r="E317" s="3" t="s">
        <v>10</v>
      </c>
      <c r="F317" s="4">
        <v>43150</v>
      </c>
      <c r="G317" s="4" t="s">
        <v>105</v>
      </c>
      <c r="H317">
        <v>1000</v>
      </c>
      <c r="I317">
        <v>25080</v>
      </c>
      <c r="J317">
        <v>10220</v>
      </c>
      <c r="K317">
        <v>14860</v>
      </c>
      <c r="R317" s="3"/>
      <c r="S317" s="4"/>
      <c r="T317" s="4"/>
    </row>
    <row r="318" spans="1:20" ht="13.8" x14ac:dyDescent="0.25">
      <c r="A318" t="s">
        <v>131</v>
      </c>
      <c r="B318" t="s">
        <v>13</v>
      </c>
      <c r="C318" t="s">
        <v>29</v>
      </c>
      <c r="D318" t="s">
        <v>143</v>
      </c>
      <c r="E318" s="3" t="s">
        <v>15</v>
      </c>
      <c r="F318" s="4">
        <v>43151</v>
      </c>
      <c r="G318" s="4" t="s">
        <v>115</v>
      </c>
      <c r="H318">
        <v>400</v>
      </c>
      <c r="I318">
        <v>7152</v>
      </c>
      <c r="J318">
        <v>3388</v>
      </c>
      <c r="K318">
        <v>3764</v>
      </c>
      <c r="R318" s="3"/>
      <c r="S318" s="4"/>
      <c r="T318" s="4"/>
    </row>
    <row r="319" spans="1:20" ht="13.8" x14ac:dyDescent="0.25">
      <c r="A319" t="s">
        <v>126</v>
      </c>
      <c r="B319" t="s">
        <v>11</v>
      </c>
      <c r="C319" t="s">
        <v>27</v>
      </c>
      <c r="D319" t="s">
        <v>135</v>
      </c>
      <c r="E319" s="3" t="s">
        <v>12</v>
      </c>
      <c r="F319" s="4">
        <v>43151</v>
      </c>
      <c r="G319" s="4" t="s">
        <v>128</v>
      </c>
      <c r="H319">
        <v>800</v>
      </c>
      <c r="I319">
        <v>18504</v>
      </c>
      <c r="J319">
        <v>7872</v>
      </c>
      <c r="K319">
        <v>10632</v>
      </c>
      <c r="R319" s="3"/>
      <c r="S319" s="4"/>
      <c r="T319" s="4"/>
    </row>
    <row r="320" spans="1:20" ht="13.8" x14ac:dyDescent="0.25">
      <c r="A320" t="s">
        <v>126</v>
      </c>
      <c r="B320" t="s">
        <v>9</v>
      </c>
      <c r="C320" t="s">
        <v>24</v>
      </c>
      <c r="D320" t="s">
        <v>134</v>
      </c>
      <c r="E320" s="3" t="s">
        <v>12</v>
      </c>
      <c r="F320" s="4">
        <v>43153</v>
      </c>
      <c r="G320" s="4" t="s">
        <v>100</v>
      </c>
      <c r="H320">
        <v>600</v>
      </c>
      <c r="I320">
        <v>12282</v>
      </c>
      <c r="J320">
        <v>5904</v>
      </c>
      <c r="K320">
        <v>6378</v>
      </c>
      <c r="R320" s="3"/>
      <c r="S320" s="4"/>
      <c r="T320" s="4"/>
    </row>
    <row r="321" spans="1:20" ht="13.8" x14ac:dyDescent="0.25">
      <c r="A321" t="s">
        <v>126</v>
      </c>
      <c r="B321" t="s">
        <v>11</v>
      </c>
      <c r="C321" t="s">
        <v>27</v>
      </c>
      <c r="D321" t="s">
        <v>135</v>
      </c>
      <c r="E321" s="3" t="s">
        <v>10</v>
      </c>
      <c r="F321" s="4">
        <v>43155</v>
      </c>
      <c r="G321" s="4" t="s">
        <v>128</v>
      </c>
      <c r="H321">
        <v>1000</v>
      </c>
      <c r="I321">
        <v>20940</v>
      </c>
      <c r="J321">
        <v>10220</v>
      </c>
      <c r="K321">
        <v>10720</v>
      </c>
      <c r="R321" s="3"/>
      <c r="S321" s="4"/>
      <c r="T321" s="4"/>
    </row>
    <row r="322" spans="1:20" ht="13.8" x14ac:dyDescent="0.25">
      <c r="A322" t="s">
        <v>130</v>
      </c>
      <c r="B322" t="s">
        <v>9</v>
      </c>
      <c r="C322" t="s">
        <v>24</v>
      </c>
      <c r="D322" t="s">
        <v>134</v>
      </c>
      <c r="E322" s="3" t="s">
        <v>15</v>
      </c>
      <c r="F322" s="4">
        <v>43157</v>
      </c>
      <c r="G322" s="4" t="s">
        <v>105</v>
      </c>
      <c r="H322">
        <v>700</v>
      </c>
      <c r="I322">
        <v>12145</v>
      </c>
      <c r="J322">
        <v>5929</v>
      </c>
      <c r="K322">
        <v>6216</v>
      </c>
      <c r="R322" s="3"/>
      <c r="S322" s="4"/>
      <c r="T322" s="4"/>
    </row>
    <row r="323" spans="1:20" ht="13.8" x14ac:dyDescent="0.25">
      <c r="A323" t="s">
        <v>126</v>
      </c>
      <c r="B323" t="s">
        <v>9</v>
      </c>
      <c r="C323" t="s">
        <v>24</v>
      </c>
      <c r="D323" t="s">
        <v>134</v>
      </c>
      <c r="E323" s="3" t="s">
        <v>10</v>
      </c>
      <c r="F323" s="4">
        <v>43157</v>
      </c>
      <c r="G323" s="4" t="s">
        <v>100</v>
      </c>
      <c r="H323">
        <v>1000</v>
      </c>
      <c r="I323">
        <v>22680</v>
      </c>
      <c r="J323">
        <v>10220</v>
      </c>
      <c r="K323">
        <v>12460</v>
      </c>
      <c r="R323" s="3"/>
      <c r="S323" s="4"/>
      <c r="T323" s="4"/>
    </row>
    <row r="324" spans="1:20" ht="13.8" x14ac:dyDescent="0.25">
      <c r="A324" t="s">
        <v>126</v>
      </c>
      <c r="B324" t="s">
        <v>11</v>
      </c>
      <c r="C324" t="s">
        <v>27</v>
      </c>
      <c r="D324" t="s">
        <v>135</v>
      </c>
      <c r="E324" s="3" t="s">
        <v>10</v>
      </c>
      <c r="F324" s="4">
        <v>43157</v>
      </c>
      <c r="G324" s="4" t="s">
        <v>107</v>
      </c>
      <c r="H324">
        <v>700</v>
      </c>
      <c r="I324">
        <v>17367</v>
      </c>
      <c r="J324">
        <v>7154</v>
      </c>
      <c r="K324">
        <v>10213</v>
      </c>
      <c r="R324" s="3"/>
      <c r="S324" s="4"/>
      <c r="T324" s="4"/>
    </row>
    <row r="325" spans="1:20" ht="13.8" x14ac:dyDescent="0.25">
      <c r="A325" t="s">
        <v>130</v>
      </c>
      <c r="B325" t="s">
        <v>11</v>
      </c>
      <c r="C325" t="s">
        <v>27</v>
      </c>
      <c r="D325" t="s">
        <v>135</v>
      </c>
      <c r="E325" s="3" t="s">
        <v>15</v>
      </c>
      <c r="F325" s="4">
        <v>43158</v>
      </c>
      <c r="G325" s="4" t="s">
        <v>106</v>
      </c>
      <c r="H325">
        <v>600</v>
      </c>
      <c r="I325">
        <v>11922</v>
      </c>
      <c r="J325">
        <v>5082</v>
      </c>
      <c r="K325">
        <v>6840</v>
      </c>
      <c r="R325" s="3"/>
      <c r="S325" s="4"/>
      <c r="T325" s="4"/>
    </row>
    <row r="326" spans="1:20" ht="13.8" x14ac:dyDescent="0.25">
      <c r="A326" t="s">
        <v>16</v>
      </c>
      <c r="B326" t="s">
        <v>9</v>
      </c>
      <c r="C326" t="s">
        <v>22</v>
      </c>
      <c r="D326" t="s">
        <v>141</v>
      </c>
      <c r="E326" s="3" t="s">
        <v>10</v>
      </c>
      <c r="F326" s="4">
        <v>43158</v>
      </c>
      <c r="G326" s="4" t="s">
        <v>125</v>
      </c>
      <c r="H326">
        <v>200</v>
      </c>
      <c r="I326">
        <v>4614</v>
      </c>
      <c r="J326">
        <v>2044</v>
      </c>
      <c r="K326">
        <v>2570</v>
      </c>
      <c r="R326" s="3"/>
      <c r="S326" s="4"/>
      <c r="T326" s="4"/>
    </row>
    <row r="327" spans="1:20" ht="13.8" x14ac:dyDescent="0.25">
      <c r="A327" t="s">
        <v>130</v>
      </c>
      <c r="B327" t="s">
        <v>11</v>
      </c>
      <c r="C327" t="s">
        <v>27</v>
      </c>
      <c r="D327" t="s">
        <v>135</v>
      </c>
      <c r="E327" s="3" t="s">
        <v>10</v>
      </c>
      <c r="F327" s="4">
        <v>43159</v>
      </c>
      <c r="G327" s="4" t="s">
        <v>106</v>
      </c>
      <c r="H327">
        <v>1000</v>
      </c>
      <c r="I327">
        <v>20490</v>
      </c>
      <c r="J327">
        <v>10220</v>
      </c>
      <c r="K327">
        <v>10270</v>
      </c>
      <c r="R327" s="3"/>
      <c r="S327" s="4"/>
      <c r="T327" s="4"/>
    </row>
    <row r="328" spans="1:20" ht="13.8" x14ac:dyDescent="0.25">
      <c r="A328" t="s">
        <v>126</v>
      </c>
      <c r="B328" t="s">
        <v>11</v>
      </c>
      <c r="C328" t="s">
        <v>27</v>
      </c>
      <c r="D328" t="s">
        <v>135</v>
      </c>
      <c r="E328" s="3" t="s">
        <v>10</v>
      </c>
      <c r="F328" s="4">
        <v>43162</v>
      </c>
      <c r="G328" s="4" t="s">
        <v>128</v>
      </c>
      <c r="H328">
        <v>400</v>
      </c>
      <c r="I328">
        <v>8620</v>
      </c>
      <c r="J328">
        <v>4088</v>
      </c>
      <c r="K328">
        <v>4532</v>
      </c>
      <c r="R328" s="3"/>
      <c r="S328" s="4"/>
      <c r="T328" s="4"/>
    </row>
    <row r="329" spans="1:20" ht="13.8" x14ac:dyDescent="0.25">
      <c r="A329" t="s">
        <v>126</v>
      </c>
      <c r="B329" t="s">
        <v>11</v>
      </c>
      <c r="C329" t="s">
        <v>27</v>
      </c>
      <c r="D329" t="s">
        <v>135</v>
      </c>
      <c r="E329" s="3" t="s">
        <v>12</v>
      </c>
      <c r="F329" s="4">
        <v>43163</v>
      </c>
      <c r="G329" s="4" t="s">
        <v>107</v>
      </c>
      <c r="H329">
        <v>500</v>
      </c>
      <c r="I329">
        <v>11860</v>
      </c>
      <c r="J329">
        <v>4920</v>
      </c>
      <c r="K329">
        <v>6940</v>
      </c>
      <c r="R329" s="3"/>
      <c r="S329" s="4"/>
      <c r="T329" s="4"/>
    </row>
    <row r="330" spans="1:20" ht="13.8" x14ac:dyDescent="0.25">
      <c r="A330" t="s">
        <v>131</v>
      </c>
      <c r="B330" t="s">
        <v>13</v>
      </c>
      <c r="C330" t="s">
        <v>29</v>
      </c>
      <c r="D330" t="s">
        <v>143</v>
      </c>
      <c r="E330" s="3" t="s">
        <v>15</v>
      </c>
      <c r="F330" s="4">
        <v>43165</v>
      </c>
      <c r="G330" s="4" t="s">
        <v>115</v>
      </c>
      <c r="H330">
        <v>800</v>
      </c>
      <c r="I330">
        <v>14984</v>
      </c>
      <c r="J330">
        <v>6776</v>
      </c>
      <c r="K330">
        <v>8208</v>
      </c>
      <c r="R330" s="3"/>
      <c r="S330" s="4"/>
      <c r="T330" s="4"/>
    </row>
    <row r="331" spans="1:20" ht="13.8" x14ac:dyDescent="0.25">
      <c r="A331" t="s">
        <v>126</v>
      </c>
      <c r="B331" t="s">
        <v>9</v>
      </c>
      <c r="C331" t="s">
        <v>24</v>
      </c>
      <c r="D331" t="s">
        <v>134</v>
      </c>
      <c r="E331" s="3" t="s">
        <v>15</v>
      </c>
      <c r="F331" s="4">
        <v>43165</v>
      </c>
      <c r="G331" s="4" t="s">
        <v>100</v>
      </c>
      <c r="H331">
        <v>200</v>
      </c>
      <c r="I331">
        <v>4010</v>
      </c>
      <c r="J331">
        <v>1694</v>
      </c>
      <c r="K331">
        <v>2316</v>
      </c>
      <c r="R331" s="3"/>
      <c r="S331" s="4"/>
      <c r="T331" s="4"/>
    </row>
    <row r="332" spans="1:20" ht="13.8" x14ac:dyDescent="0.25">
      <c r="A332" t="s">
        <v>130</v>
      </c>
      <c r="B332" t="s">
        <v>9</v>
      </c>
      <c r="C332" t="s">
        <v>24</v>
      </c>
      <c r="D332" t="s">
        <v>134</v>
      </c>
      <c r="E332" s="3" t="s">
        <v>10</v>
      </c>
      <c r="F332" s="4">
        <v>43168</v>
      </c>
      <c r="G332" s="4" t="s">
        <v>105</v>
      </c>
      <c r="H332">
        <v>500</v>
      </c>
      <c r="I332">
        <v>12505</v>
      </c>
      <c r="J332">
        <v>5110</v>
      </c>
      <c r="K332">
        <v>7395</v>
      </c>
      <c r="R332" s="3"/>
      <c r="S332" s="4"/>
      <c r="T332" s="4"/>
    </row>
    <row r="333" spans="1:20" ht="13.8" x14ac:dyDescent="0.25">
      <c r="A333" t="s">
        <v>130</v>
      </c>
      <c r="B333" t="s">
        <v>9</v>
      </c>
      <c r="C333" t="s">
        <v>24</v>
      </c>
      <c r="D333" t="s">
        <v>134</v>
      </c>
      <c r="E333" s="3" t="s">
        <v>15</v>
      </c>
      <c r="F333" s="4">
        <v>43172</v>
      </c>
      <c r="G333" s="4" t="s">
        <v>105</v>
      </c>
      <c r="H333">
        <v>100</v>
      </c>
      <c r="I333">
        <v>1704</v>
      </c>
      <c r="J333">
        <v>847</v>
      </c>
      <c r="K333">
        <v>857</v>
      </c>
      <c r="R333" s="3"/>
      <c r="S333" s="4"/>
      <c r="T333" s="4"/>
    </row>
    <row r="334" spans="1:20" ht="13.8" x14ac:dyDescent="0.25">
      <c r="A334" t="s">
        <v>126</v>
      </c>
      <c r="B334" t="s">
        <v>11</v>
      </c>
      <c r="C334" t="s">
        <v>27</v>
      </c>
      <c r="D334" t="s">
        <v>135</v>
      </c>
      <c r="E334" s="3" t="s">
        <v>10</v>
      </c>
      <c r="F334" s="4">
        <v>43172</v>
      </c>
      <c r="G334" s="4" t="s">
        <v>107</v>
      </c>
      <c r="H334">
        <v>300</v>
      </c>
      <c r="I334">
        <v>7305</v>
      </c>
      <c r="J334">
        <v>3066</v>
      </c>
      <c r="K334">
        <v>4239</v>
      </c>
      <c r="R334" s="3"/>
      <c r="S334" s="4"/>
      <c r="T334" s="4"/>
    </row>
    <row r="335" spans="1:20" ht="13.8" x14ac:dyDescent="0.25">
      <c r="A335" t="s">
        <v>126</v>
      </c>
      <c r="B335" t="s">
        <v>11</v>
      </c>
      <c r="C335" t="s">
        <v>27</v>
      </c>
      <c r="D335" t="s">
        <v>135</v>
      </c>
      <c r="E335" s="3" t="s">
        <v>10</v>
      </c>
      <c r="F335" s="4">
        <v>43173</v>
      </c>
      <c r="G335" s="4" t="s">
        <v>107</v>
      </c>
      <c r="H335">
        <v>500</v>
      </c>
      <c r="I335">
        <v>11965</v>
      </c>
      <c r="J335">
        <v>5110</v>
      </c>
      <c r="K335">
        <v>6855</v>
      </c>
      <c r="R335" s="3"/>
      <c r="S335" s="4"/>
      <c r="T335" s="4"/>
    </row>
    <row r="336" spans="1:20" ht="13.8" x14ac:dyDescent="0.25">
      <c r="A336" t="s">
        <v>131</v>
      </c>
      <c r="B336" t="s">
        <v>13</v>
      </c>
      <c r="C336" t="s">
        <v>29</v>
      </c>
      <c r="D336" t="s">
        <v>143</v>
      </c>
      <c r="E336" s="3" t="s">
        <v>10</v>
      </c>
      <c r="F336" s="4">
        <v>43175</v>
      </c>
      <c r="G336" s="4" t="s">
        <v>115</v>
      </c>
      <c r="H336">
        <v>400</v>
      </c>
      <c r="I336">
        <v>9240</v>
      </c>
      <c r="J336">
        <v>4088</v>
      </c>
      <c r="K336">
        <v>5152</v>
      </c>
      <c r="R336" s="3"/>
      <c r="S336" s="4"/>
      <c r="T336" s="4"/>
    </row>
    <row r="337" spans="1:20" ht="13.8" x14ac:dyDescent="0.25">
      <c r="A337" t="s">
        <v>126</v>
      </c>
      <c r="B337" t="s">
        <v>9</v>
      </c>
      <c r="C337" t="s">
        <v>24</v>
      </c>
      <c r="D337" t="s">
        <v>134</v>
      </c>
      <c r="E337" s="3" t="s">
        <v>12</v>
      </c>
      <c r="F337" s="4">
        <v>43175</v>
      </c>
      <c r="G337" s="4" t="s">
        <v>100</v>
      </c>
      <c r="H337">
        <v>200</v>
      </c>
      <c r="I337">
        <v>4526</v>
      </c>
      <c r="J337">
        <v>1968</v>
      </c>
      <c r="K337">
        <v>2558</v>
      </c>
      <c r="R337" s="3"/>
      <c r="S337" s="4"/>
      <c r="T337" s="4"/>
    </row>
    <row r="338" spans="1:20" ht="13.8" x14ac:dyDescent="0.25">
      <c r="A338" t="s">
        <v>126</v>
      </c>
      <c r="B338" t="s">
        <v>11</v>
      </c>
      <c r="C338" t="s">
        <v>27</v>
      </c>
      <c r="D338" t="s">
        <v>135</v>
      </c>
      <c r="E338" s="3" t="s">
        <v>12</v>
      </c>
      <c r="F338" s="4">
        <v>43177</v>
      </c>
      <c r="G338" s="4" t="s">
        <v>107</v>
      </c>
      <c r="H338">
        <v>500</v>
      </c>
      <c r="I338">
        <v>11695</v>
      </c>
      <c r="J338">
        <v>4920</v>
      </c>
      <c r="K338">
        <v>6775</v>
      </c>
      <c r="R338" s="3"/>
      <c r="S338" s="4"/>
      <c r="T338" s="4"/>
    </row>
    <row r="339" spans="1:20" ht="13.8" x14ac:dyDescent="0.25">
      <c r="A339" t="s">
        <v>16</v>
      </c>
      <c r="B339" t="s">
        <v>13</v>
      </c>
      <c r="C339" t="s">
        <v>30</v>
      </c>
      <c r="D339" t="s">
        <v>136</v>
      </c>
      <c r="E339" s="3" t="s">
        <v>12</v>
      </c>
      <c r="F339" s="4">
        <v>43178</v>
      </c>
      <c r="G339" s="4" t="s">
        <v>112</v>
      </c>
      <c r="H339">
        <v>100</v>
      </c>
      <c r="I339">
        <v>2272</v>
      </c>
      <c r="J339">
        <v>984</v>
      </c>
      <c r="K339">
        <v>1288</v>
      </c>
      <c r="R339" s="3"/>
      <c r="S339" s="4"/>
      <c r="T339" s="4"/>
    </row>
    <row r="340" spans="1:20" ht="13.8" x14ac:dyDescent="0.25">
      <c r="A340" t="s">
        <v>126</v>
      </c>
      <c r="B340" t="s">
        <v>9</v>
      </c>
      <c r="C340" t="s">
        <v>24</v>
      </c>
      <c r="D340" t="s">
        <v>134</v>
      </c>
      <c r="E340" s="3" t="s">
        <v>12</v>
      </c>
      <c r="F340" s="4">
        <v>43179</v>
      </c>
      <c r="G340" s="4" t="s">
        <v>100</v>
      </c>
      <c r="H340">
        <v>100</v>
      </c>
      <c r="I340">
        <v>2157</v>
      </c>
      <c r="J340">
        <v>984</v>
      </c>
      <c r="K340">
        <v>1173</v>
      </c>
      <c r="R340" s="3"/>
      <c r="S340" s="4"/>
      <c r="T340" s="4"/>
    </row>
    <row r="341" spans="1:20" ht="13.8" x14ac:dyDescent="0.25">
      <c r="A341" t="s">
        <v>130</v>
      </c>
      <c r="B341" t="s">
        <v>11</v>
      </c>
      <c r="C341" t="s">
        <v>27</v>
      </c>
      <c r="D341" t="s">
        <v>135</v>
      </c>
      <c r="E341" s="3" t="s">
        <v>10</v>
      </c>
      <c r="F341" s="4">
        <v>43181</v>
      </c>
      <c r="G341" s="4" t="s">
        <v>106</v>
      </c>
      <c r="H341">
        <v>400</v>
      </c>
      <c r="I341">
        <v>8732</v>
      </c>
      <c r="J341">
        <v>4088</v>
      </c>
      <c r="K341">
        <v>4644</v>
      </c>
      <c r="R341" s="3"/>
      <c r="S341" s="4"/>
      <c r="T341" s="4"/>
    </row>
    <row r="342" spans="1:20" ht="13.8" x14ac:dyDescent="0.25">
      <c r="A342" t="s">
        <v>126</v>
      </c>
      <c r="B342" t="s">
        <v>11</v>
      </c>
      <c r="C342" t="s">
        <v>27</v>
      </c>
      <c r="D342" t="s">
        <v>135</v>
      </c>
      <c r="E342" s="3" t="s">
        <v>12</v>
      </c>
      <c r="F342" s="4">
        <v>43182</v>
      </c>
      <c r="G342" s="4" t="s">
        <v>109</v>
      </c>
      <c r="H342">
        <v>800</v>
      </c>
      <c r="I342">
        <v>15856</v>
      </c>
      <c r="J342">
        <v>7872</v>
      </c>
      <c r="K342">
        <v>7984</v>
      </c>
      <c r="R342" s="3"/>
      <c r="S342" s="4"/>
      <c r="T342" s="4"/>
    </row>
    <row r="343" spans="1:20" ht="13.8" x14ac:dyDescent="0.25">
      <c r="A343" t="s">
        <v>129</v>
      </c>
      <c r="B343" t="s">
        <v>9</v>
      </c>
      <c r="C343" t="s">
        <v>23</v>
      </c>
      <c r="D343" t="s">
        <v>137</v>
      </c>
      <c r="E343" s="3" t="s">
        <v>17</v>
      </c>
      <c r="F343" s="4">
        <v>43183</v>
      </c>
      <c r="G343" s="4" t="s">
        <v>103</v>
      </c>
      <c r="H343">
        <v>100</v>
      </c>
      <c r="I343">
        <v>2484</v>
      </c>
      <c r="J343">
        <v>1022</v>
      </c>
      <c r="K343">
        <v>1462</v>
      </c>
      <c r="R343" s="3"/>
      <c r="S343" s="4"/>
      <c r="T343" s="4"/>
    </row>
    <row r="344" spans="1:20" ht="13.8" x14ac:dyDescent="0.25">
      <c r="A344" t="s">
        <v>129</v>
      </c>
      <c r="B344" t="s">
        <v>13</v>
      </c>
      <c r="C344" t="s">
        <v>32</v>
      </c>
      <c r="D344" t="s">
        <v>139</v>
      </c>
      <c r="E344" s="3" t="s">
        <v>12</v>
      </c>
      <c r="F344" s="4">
        <v>43183</v>
      </c>
      <c r="G344" s="4" t="s">
        <v>101</v>
      </c>
      <c r="H344">
        <v>1000</v>
      </c>
      <c r="I344">
        <v>23820</v>
      </c>
      <c r="J344">
        <v>9840</v>
      </c>
      <c r="K344">
        <v>13980</v>
      </c>
      <c r="R344" s="3"/>
      <c r="S344" s="4"/>
      <c r="T344" s="4"/>
    </row>
    <row r="345" spans="1:20" ht="13.8" x14ac:dyDescent="0.25">
      <c r="A345" t="s">
        <v>126</v>
      </c>
      <c r="B345" t="s">
        <v>11</v>
      </c>
      <c r="C345" t="s">
        <v>27</v>
      </c>
      <c r="D345" t="s">
        <v>135</v>
      </c>
      <c r="E345" s="3" t="s">
        <v>12</v>
      </c>
      <c r="F345" s="4">
        <v>43184</v>
      </c>
      <c r="G345" s="4" t="s">
        <v>128</v>
      </c>
      <c r="H345">
        <v>200</v>
      </c>
      <c r="I345">
        <v>4472</v>
      </c>
      <c r="J345">
        <v>1968</v>
      </c>
      <c r="K345">
        <v>2504</v>
      </c>
      <c r="R345" s="3"/>
      <c r="S345" s="4"/>
      <c r="T345" s="4"/>
    </row>
    <row r="346" spans="1:20" ht="13.8" x14ac:dyDescent="0.25">
      <c r="A346" t="s">
        <v>130</v>
      </c>
      <c r="B346" t="s">
        <v>9</v>
      </c>
      <c r="C346" t="s">
        <v>24</v>
      </c>
      <c r="D346" t="s">
        <v>134</v>
      </c>
      <c r="E346" s="3" t="s">
        <v>15</v>
      </c>
      <c r="F346" s="4">
        <v>43185</v>
      </c>
      <c r="G346" s="4" t="s">
        <v>105</v>
      </c>
      <c r="H346">
        <v>700</v>
      </c>
      <c r="I346">
        <v>11858</v>
      </c>
      <c r="J346">
        <v>5929</v>
      </c>
      <c r="K346">
        <v>5929</v>
      </c>
      <c r="R346" s="3"/>
      <c r="S346" s="4"/>
      <c r="T346" s="4"/>
    </row>
    <row r="347" spans="1:20" ht="13.8" x14ac:dyDescent="0.25">
      <c r="A347" t="s">
        <v>130</v>
      </c>
      <c r="B347" t="s">
        <v>9</v>
      </c>
      <c r="C347" t="s">
        <v>24</v>
      </c>
      <c r="D347" t="s">
        <v>134</v>
      </c>
      <c r="E347" s="3" t="s">
        <v>15</v>
      </c>
      <c r="F347" s="4">
        <v>43187</v>
      </c>
      <c r="G347" s="4" t="s">
        <v>105</v>
      </c>
      <c r="H347">
        <v>500</v>
      </c>
      <c r="I347">
        <v>9855</v>
      </c>
      <c r="J347">
        <v>4235</v>
      </c>
      <c r="K347">
        <v>5620</v>
      </c>
      <c r="R347" s="3"/>
      <c r="S347" s="4"/>
      <c r="T347" s="4"/>
    </row>
    <row r="348" spans="1:20" ht="13.8" x14ac:dyDescent="0.25">
      <c r="A348" t="s">
        <v>129</v>
      </c>
      <c r="B348" t="s">
        <v>13</v>
      </c>
      <c r="C348" t="s">
        <v>32</v>
      </c>
      <c r="D348" t="s">
        <v>139</v>
      </c>
      <c r="E348" s="3" t="s">
        <v>12</v>
      </c>
      <c r="F348" s="4">
        <v>43189</v>
      </c>
      <c r="G348" s="4" t="s">
        <v>101</v>
      </c>
      <c r="H348">
        <v>800</v>
      </c>
      <c r="I348">
        <v>17240</v>
      </c>
      <c r="J348">
        <v>7872</v>
      </c>
      <c r="K348">
        <v>9368</v>
      </c>
      <c r="R348" s="3"/>
      <c r="S348" s="4"/>
      <c r="T348" s="4"/>
    </row>
    <row r="349" spans="1:20" ht="13.8" x14ac:dyDescent="0.25">
      <c r="A349" t="s">
        <v>126</v>
      </c>
      <c r="B349" t="s">
        <v>9</v>
      </c>
      <c r="C349" t="s">
        <v>24</v>
      </c>
      <c r="D349" t="s">
        <v>134</v>
      </c>
      <c r="E349" s="3" t="s">
        <v>10</v>
      </c>
      <c r="F349" s="4">
        <v>43190</v>
      </c>
      <c r="G349" s="4" t="s">
        <v>100</v>
      </c>
      <c r="H349">
        <v>600</v>
      </c>
      <c r="I349">
        <v>13542</v>
      </c>
      <c r="J349">
        <v>6132</v>
      </c>
      <c r="K349">
        <v>7410</v>
      </c>
      <c r="R349" s="3"/>
      <c r="S349" s="4"/>
      <c r="T349" s="4"/>
    </row>
    <row r="350" spans="1:20" ht="13.8" x14ac:dyDescent="0.25">
      <c r="A350" t="s">
        <v>16</v>
      </c>
      <c r="B350" t="s">
        <v>14</v>
      </c>
      <c r="C350" t="s">
        <v>31</v>
      </c>
      <c r="D350" t="s">
        <v>138</v>
      </c>
      <c r="E350" s="3" t="s">
        <v>17</v>
      </c>
      <c r="F350" s="4">
        <v>43191</v>
      </c>
      <c r="G350" s="4" t="s">
        <v>116</v>
      </c>
      <c r="H350">
        <v>300</v>
      </c>
      <c r="I350">
        <v>5859</v>
      </c>
      <c r="J350">
        <v>2541</v>
      </c>
      <c r="K350">
        <v>3318</v>
      </c>
      <c r="R350" s="3"/>
      <c r="S350" s="4"/>
      <c r="T350" s="4"/>
    </row>
    <row r="351" spans="1:20" ht="13.8" x14ac:dyDescent="0.25">
      <c r="A351" t="s">
        <v>16</v>
      </c>
      <c r="B351" t="s">
        <v>13</v>
      </c>
      <c r="C351" t="s">
        <v>30</v>
      </c>
      <c r="D351" t="s">
        <v>136</v>
      </c>
      <c r="E351" s="3" t="s">
        <v>12</v>
      </c>
      <c r="F351" s="4">
        <v>43193</v>
      </c>
      <c r="G351" s="4" t="s">
        <v>112</v>
      </c>
      <c r="H351">
        <v>300</v>
      </c>
      <c r="I351">
        <v>7233</v>
      </c>
      <c r="J351">
        <v>2952</v>
      </c>
      <c r="K351">
        <v>4281</v>
      </c>
      <c r="R351" s="3"/>
      <c r="S351" s="4"/>
      <c r="T351" s="4"/>
    </row>
    <row r="352" spans="1:20" ht="13.8" x14ac:dyDescent="0.25">
      <c r="A352" t="s">
        <v>126</v>
      </c>
      <c r="B352" t="s">
        <v>9</v>
      </c>
      <c r="C352" t="s">
        <v>24</v>
      </c>
      <c r="D352" t="s">
        <v>134</v>
      </c>
      <c r="E352" s="3" t="s">
        <v>15</v>
      </c>
      <c r="F352" s="4">
        <v>43194</v>
      </c>
      <c r="G352" s="4" t="s">
        <v>100</v>
      </c>
      <c r="H352">
        <v>400</v>
      </c>
      <c r="I352">
        <v>7752</v>
      </c>
      <c r="J352">
        <v>3388</v>
      </c>
      <c r="K352">
        <v>4364</v>
      </c>
      <c r="R352" s="3"/>
      <c r="S352" s="4"/>
      <c r="T352" s="4"/>
    </row>
    <row r="353" spans="1:20" ht="13.8" x14ac:dyDescent="0.25">
      <c r="A353" t="s">
        <v>130</v>
      </c>
      <c r="B353" t="s">
        <v>9</v>
      </c>
      <c r="C353" t="s">
        <v>24</v>
      </c>
      <c r="D353" t="s">
        <v>134</v>
      </c>
      <c r="E353" s="3" t="s">
        <v>10</v>
      </c>
      <c r="F353" s="4">
        <v>43194</v>
      </c>
      <c r="G353" s="4" t="s">
        <v>105</v>
      </c>
      <c r="H353">
        <v>700</v>
      </c>
      <c r="I353">
        <v>15435</v>
      </c>
      <c r="J353">
        <v>7154</v>
      </c>
      <c r="K353">
        <v>8281</v>
      </c>
      <c r="R353" s="3"/>
      <c r="S353" s="4"/>
      <c r="T353" s="4"/>
    </row>
    <row r="354" spans="1:20" ht="13.8" x14ac:dyDescent="0.25">
      <c r="A354" t="s">
        <v>16</v>
      </c>
      <c r="B354" t="s">
        <v>13</v>
      </c>
      <c r="C354" t="s">
        <v>30</v>
      </c>
      <c r="D354" t="s">
        <v>136</v>
      </c>
      <c r="E354" s="3" t="s">
        <v>10</v>
      </c>
      <c r="F354" s="4">
        <v>43195</v>
      </c>
      <c r="G354" s="4" t="s">
        <v>112</v>
      </c>
      <c r="H354">
        <v>100</v>
      </c>
      <c r="I354">
        <v>2178</v>
      </c>
      <c r="J354">
        <v>1022</v>
      </c>
      <c r="K354">
        <v>1156</v>
      </c>
      <c r="R354" s="3"/>
      <c r="S354" s="4"/>
      <c r="T354" s="4"/>
    </row>
    <row r="355" spans="1:20" ht="13.8" x14ac:dyDescent="0.25">
      <c r="A355" t="s">
        <v>126</v>
      </c>
      <c r="B355" t="s">
        <v>11</v>
      </c>
      <c r="C355" t="s">
        <v>27</v>
      </c>
      <c r="D355" t="s">
        <v>135</v>
      </c>
      <c r="E355" s="3" t="s">
        <v>15</v>
      </c>
      <c r="F355" s="4">
        <v>43195</v>
      </c>
      <c r="G355" s="4" t="s">
        <v>109</v>
      </c>
      <c r="H355">
        <v>500</v>
      </c>
      <c r="I355">
        <v>9575</v>
      </c>
      <c r="J355">
        <v>4235</v>
      </c>
      <c r="K355">
        <v>5340</v>
      </c>
      <c r="R355" s="3"/>
      <c r="S355" s="4"/>
      <c r="T355" s="4"/>
    </row>
    <row r="356" spans="1:20" ht="13.8" x14ac:dyDescent="0.25">
      <c r="A356" t="s">
        <v>126</v>
      </c>
      <c r="B356" t="s">
        <v>9</v>
      </c>
      <c r="C356" t="s">
        <v>24</v>
      </c>
      <c r="D356" t="s">
        <v>134</v>
      </c>
      <c r="E356" s="3" t="s">
        <v>15</v>
      </c>
      <c r="F356" s="4">
        <v>43197</v>
      </c>
      <c r="G356" s="4" t="s">
        <v>100</v>
      </c>
      <c r="H356">
        <v>500</v>
      </c>
      <c r="I356">
        <v>10460</v>
      </c>
      <c r="J356">
        <v>4235</v>
      </c>
      <c r="K356">
        <v>6225</v>
      </c>
      <c r="R356" s="3"/>
      <c r="S356" s="4"/>
      <c r="T356" s="4"/>
    </row>
    <row r="357" spans="1:20" ht="13.8" x14ac:dyDescent="0.25">
      <c r="A357" t="s">
        <v>130</v>
      </c>
      <c r="B357" t="s">
        <v>9</v>
      </c>
      <c r="C357" t="s">
        <v>24</v>
      </c>
      <c r="D357" t="s">
        <v>134</v>
      </c>
      <c r="E357" s="3" t="s">
        <v>15</v>
      </c>
      <c r="F357" s="4">
        <v>43200</v>
      </c>
      <c r="G357" s="4" t="s">
        <v>105</v>
      </c>
      <c r="H357">
        <v>400</v>
      </c>
      <c r="I357">
        <v>8132</v>
      </c>
      <c r="J357">
        <v>3388</v>
      </c>
      <c r="K357">
        <v>4744</v>
      </c>
      <c r="R357" s="3"/>
      <c r="S357" s="4"/>
      <c r="T357" s="4"/>
    </row>
    <row r="358" spans="1:20" ht="13.8" x14ac:dyDescent="0.25">
      <c r="A358" t="s">
        <v>126</v>
      </c>
      <c r="B358" t="s">
        <v>9</v>
      </c>
      <c r="C358" t="s">
        <v>24</v>
      </c>
      <c r="D358" t="s">
        <v>134</v>
      </c>
      <c r="E358" s="3" t="s">
        <v>10</v>
      </c>
      <c r="F358" s="4">
        <v>43200</v>
      </c>
      <c r="G358" s="4" t="s">
        <v>100</v>
      </c>
      <c r="H358">
        <v>800</v>
      </c>
      <c r="I358">
        <v>18344</v>
      </c>
      <c r="J358">
        <v>8176</v>
      </c>
      <c r="K358">
        <v>10168</v>
      </c>
      <c r="R358" s="3"/>
      <c r="S358" s="4"/>
      <c r="T358" s="4"/>
    </row>
    <row r="359" spans="1:20" ht="13.8" x14ac:dyDescent="0.25">
      <c r="A359" t="s">
        <v>126</v>
      </c>
      <c r="B359" t="s">
        <v>11</v>
      </c>
      <c r="C359" t="s">
        <v>27</v>
      </c>
      <c r="D359" t="s">
        <v>135</v>
      </c>
      <c r="E359" s="3" t="s">
        <v>12</v>
      </c>
      <c r="F359" s="4">
        <v>43202</v>
      </c>
      <c r="G359" s="4" t="s">
        <v>128</v>
      </c>
      <c r="H359">
        <v>400</v>
      </c>
      <c r="I359">
        <v>8776</v>
      </c>
      <c r="J359">
        <v>3936</v>
      </c>
      <c r="K359">
        <v>4840</v>
      </c>
      <c r="R359" s="3"/>
      <c r="S359" s="4"/>
      <c r="T359" s="4"/>
    </row>
    <row r="360" spans="1:20" ht="13.8" x14ac:dyDescent="0.25">
      <c r="A360" t="s">
        <v>129</v>
      </c>
      <c r="B360" t="s">
        <v>13</v>
      </c>
      <c r="C360" t="s">
        <v>32</v>
      </c>
      <c r="D360" t="s">
        <v>139</v>
      </c>
      <c r="E360" s="3" t="s">
        <v>12</v>
      </c>
      <c r="F360" s="4">
        <v>43203</v>
      </c>
      <c r="G360" s="4" t="s">
        <v>101</v>
      </c>
      <c r="H360">
        <v>900</v>
      </c>
      <c r="I360">
        <v>20403</v>
      </c>
      <c r="J360">
        <v>8856</v>
      </c>
      <c r="K360">
        <v>11547</v>
      </c>
      <c r="R360" s="3"/>
      <c r="S360" s="4"/>
      <c r="T360" s="4"/>
    </row>
    <row r="361" spans="1:20" ht="13.8" x14ac:dyDescent="0.25">
      <c r="A361" t="s">
        <v>127</v>
      </c>
      <c r="B361" t="s">
        <v>11</v>
      </c>
      <c r="C361" t="s">
        <v>27</v>
      </c>
      <c r="D361" t="s">
        <v>135</v>
      </c>
      <c r="E361" s="3" t="s">
        <v>12</v>
      </c>
      <c r="F361" s="4">
        <v>43204</v>
      </c>
      <c r="G361" s="4" t="s">
        <v>123</v>
      </c>
      <c r="H361">
        <v>600</v>
      </c>
      <c r="I361">
        <v>14004</v>
      </c>
      <c r="J361">
        <v>5904</v>
      </c>
      <c r="K361">
        <v>8100</v>
      </c>
      <c r="R361" s="3"/>
      <c r="S361" s="4"/>
      <c r="T361" s="4"/>
    </row>
    <row r="362" spans="1:20" ht="13.8" x14ac:dyDescent="0.25">
      <c r="A362" t="s">
        <v>126</v>
      </c>
      <c r="B362" t="s">
        <v>9</v>
      </c>
      <c r="C362" t="s">
        <v>24</v>
      </c>
      <c r="D362" t="s">
        <v>134</v>
      </c>
      <c r="E362" s="3" t="s">
        <v>15</v>
      </c>
      <c r="F362" s="4">
        <v>43205</v>
      </c>
      <c r="G362" s="4" t="s">
        <v>100</v>
      </c>
      <c r="H362">
        <v>800</v>
      </c>
      <c r="I362">
        <v>14216</v>
      </c>
      <c r="J362">
        <v>6776</v>
      </c>
      <c r="K362">
        <v>7440</v>
      </c>
      <c r="R362" s="3"/>
      <c r="S362" s="4"/>
      <c r="T362" s="4"/>
    </row>
    <row r="363" spans="1:20" ht="13.8" x14ac:dyDescent="0.25">
      <c r="A363" t="s">
        <v>130</v>
      </c>
      <c r="B363" t="s">
        <v>9</v>
      </c>
      <c r="C363" t="s">
        <v>24</v>
      </c>
      <c r="D363" t="s">
        <v>134</v>
      </c>
      <c r="E363" s="3" t="s">
        <v>15</v>
      </c>
      <c r="F363" s="4">
        <v>43210</v>
      </c>
      <c r="G363" s="4" t="s">
        <v>105</v>
      </c>
      <c r="H363">
        <v>900</v>
      </c>
      <c r="I363">
        <v>17172</v>
      </c>
      <c r="J363">
        <v>7623</v>
      </c>
      <c r="K363">
        <v>9549</v>
      </c>
      <c r="R363" s="3"/>
      <c r="S363" s="4"/>
      <c r="T363" s="4"/>
    </row>
    <row r="364" spans="1:20" ht="13.8" x14ac:dyDescent="0.25">
      <c r="A364" t="s">
        <v>130</v>
      </c>
      <c r="B364" t="s">
        <v>9</v>
      </c>
      <c r="C364" t="s">
        <v>24</v>
      </c>
      <c r="D364" t="s">
        <v>134</v>
      </c>
      <c r="E364" s="3" t="s">
        <v>10</v>
      </c>
      <c r="F364" s="4">
        <v>43211</v>
      </c>
      <c r="G364" s="4" t="s">
        <v>105</v>
      </c>
      <c r="H364">
        <v>1000</v>
      </c>
      <c r="I364">
        <v>20670</v>
      </c>
      <c r="J364">
        <v>10220</v>
      </c>
      <c r="K364">
        <v>10450</v>
      </c>
      <c r="R364" s="3"/>
      <c r="S364" s="4"/>
      <c r="T364" s="4"/>
    </row>
    <row r="365" spans="1:20" ht="13.8" x14ac:dyDescent="0.25">
      <c r="A365" t="s">
        <v>129</v>
      </c>
      <c r="B365" t="s">
        <v>13</v>
      </c>
      <c r="C365" t="s">
        <v>32</v>
      </c>
      <c r="D365" t="s">
        <v>139</v>
      </c>
      <c r="E365" s="3" t="s">
        <v>15</v>
      </c>
      <c r="F365" s="4">
        <v>43212</v>
      </c>
      <c r="G365" s="4" t="s">
        <v>101</v>
      </c>
      <c r="H365">
        <v>400</v>
      </c>
      <c r="I365">
        <v>7376</v>
      </c>
      <c r="J365">
        <v>3388</v>
      </c>
      <c r="K365">
        <v>3988</v>
      </c>
      <c r="R365" s="3"/>
      <c r="S365" s="4"/>
      <c r="T365" s="4"/>
    </row>
    <row r="366" spans="1:20" ht="13.8" x14ac:dyDescent="0.25">
      <c r="A366" t="s">
        <v>129</v>
      </c>
      <c r="B366" t="s">
        <v>9</v>
      </c>
      <c r="C366" t="s">
        <v>23</v>
      </c>
      <c r="D366" t="s">
        <v>137</v>
      </c>
      <c r="E366" s="3" t="s">
        <v>10</v>
      </c>
      <c r="F366" s="4">
        <v>43214</v>
      </c>
      <c r="G366" s="4" t="s">
        <v>103</v>
      </c>
      <c r="H366">
        <v>800</v>
      </c>
      <c r="I366">
        <v>17728</v>
      </c>
      <c r="J366">
        <v>8176</v>
      </c>
      <c r="K366">
        <v>9552</v>
      </c>
      <c r="R366" s="3"/>
      <c r="S366" s="4"/>
      <c r="T366" s="4"/>
    </row>
    <row r="367" spans="1:20" ht="13.8" x14ac:dyDescent="0.25">
      <c r="A367" t="s">
        <v>126</v>
      </c>
      <c r="B367" t="s">
        <v>9</v>
      </c>
      <c r="C367" t="s">
        <v>22</v>
      </c>
      <c r="D367" t="s">
        <v>141</v>
      </c>
      <c r="E367" s="3" t="s">
        <v>12</v>
      </c>
      <c r="F367" s="4">
        <v>43215</v>
      </c>
      <c r="G367" s="4" t="s">
        <v>111</v>
      </c>
      <c r="H367">
        <v>1000</v>
      </c>
      <c r="I367">
        <v>20950</v>
      </c>
      <c r="J367">
        <v>9840</v>
      </c>
      <c r="K367">
        <v>11110</v>
      </c>
      <c r="R367" s="3"/>
      <c r="S367" s="4"/>
      <c r="T367" s="4"/>
    </row>
    <row r="368" spans="1:20" ht="13.8" x14ac:dyDescent="0.25">
      <c r="A368" t="s">
        <v>126</v>
      </c>
      <c r="B368" t="s">
        <v>9</v>
      </c>
      <c r="C368" t="s">
        <v>24</v>
      </c>
      <c r="D368" t="s">
        <v>134</v>
      </c>
      <c r="E368" s="3" t="s">
        <v>15</v>
      </c>
      <c r="F368" s="4">
        <v>43216</v>
      </c>
      <c r="G368" s="4" t="s">
        <v>100</v>
      </c>
      <c r="H368">
        <v>400</v>
      </c>
      <c r="I368">
        <v>7852</v>
      </c>
      <c r="J368">
        <v>3388</v>
      </c>
      <c r="K368">
        <v>4464</v>
      </c>
      <c r="R368" s="3"/>
      <c r="S368" s="4"/>
      <c r="T368" s="4"/>
    </row>
    <row r="369" spans="1:20" ht="13.8" x14ac:dyDescent="0.25">
      <c r="A369" t="s">
        <v>129</v>
      </c>
      <c r="B369" t="s">
        <v>13</v>
      </c>
      <c r="C369" t="s">
        <v>32</v>
      </c>
      <c r="D369" t="s">
        <v>139</v>
      </c>
      <c r="E369" s="3" t="s">
        <v>15</v>
      </c>
      <c r="F369" s="4">
        <v>43217</v>
      </c>
      <c r="G369" s="4" t="s">
        <v>101</v>
      </c>
      <c r="H369">
        <v>600</v>
      </c>
      <c r="I369">
        <v>12360</v>
      </c>
      <c r="J369">
        <v>5082</v>
      </c>
      <c r="K369">
        <v>7278</v>
      </c>
      <c r="R369" s="3"/>
      <c r="S369" s="4"/>
      <c r="T369" s="4"/>
    </row>
    <row r="370" spans="1:20" ht="13.8" x14ac:dyDescent="0.25">
      <c r="A370" t="s">
        <v>126</v>
      </c>
      <c r="B370" t="s">
        <v>11</v>
      </c>
      <c r="C370" t="s">
        <v>27</v>
      </c>
      <c r="D370" t="s">
        <v>135</v>
      </c>
      <c r="E370" s="3" t="s">
        <v>15</v>
      </c>
      <c r="F370" s="4">
        <v>43219</v>
      </c>
      <c r="G370" s="4" t="s">
        <v>128</v>
      </c>
      <c r="H370">
        <v>300</v>
      </c>
      <c r="I370">
        <v>6069</v>
      </c>
      <c r="J370">
        <v>2541</v>
      </c>
      <c r="K370">
        <v>3528</v>
      </c>
      <c r="R370" s="3"/>
      <c r="S370" s="4"/>
      <c r="T370" s="4"/>
    </row>
    <row r="371" spans="1:20" ht="13.8" x14ac:dyDescent="0.25">
      <c r="A371" t="s">
        <v>126</v>
      </c>
      <c r="B371" t="s">
        <v>9</v>
      </c>
      <c r="C371" t="s">
        <v>24</v>
      </c>
      <c r="D371" t="s">
        <v>134</v>
      </c>
      <c r="E371" s="3" t="s">
        <v>12</v>
      </c>
      <c r="F371" s="4">
        <v>43219</v>
      </c>
      <c r="G371" s="4" t="s">
        <v>100</v>
      </c>
      <c r="H371">
        <v>900</v>
      </c>
      <c r="I371">
        <v>18990</v>
      </c>
      <c r="J371">
        <v>8856</v>
      </c>
      <c r="K371">
        <v>10134</v>
      </c>
      <c r="R371" s="3"/>
      <c r="S371" s="4"/>
      <c r="T371" s="4"/>
    </row>
    <row r="372" spans="1:20" ht="13.8" x14ac:dyDescent="0.25">
      <c r="A372" t="s">
        <v>126</v>
      </c>
      <c r="B372" t="s">
        <v>13</v>
      </c>
      <c r="C372" t="s">
        <v>28</v>
      </c>
      <c r="D372" t="s">
        <v>140</v>
      </c>
      <c r="E372" s="3" t="s">
        <v>15</v>
      </c>
      <c r="F372" s="4">
        <v>43221</v>
      </c>
      <c r="G372" s="4" t="s">
        <v>108</v>
      </c>
      <c r="H372">
        <v>1000</v>
      </c>
      <c r="I372">
        <v>20310</v>
      </c>
      <c r="J372">
        <v>8470</v>
      </c>
      <c r="K372">
        <v>11840</v>
      </c>
      <c r="R372" s="3"/>
      <c r="S372" s="4"/>
      <c r="T372" s="4"/>
    </row>
    <row r="373" spans="1:20" ht="13.8" x14ac:dyDescent="0.25">
      <c r="A373" t="s">
        <v>126</v>
      </c>
      <c r="B373" t="s">
        <v>13</v>
      </c>
      <c r="C373" t="s">
        <v>28</v>
      </c>
      <c r="D373" t="s">
        <v>140</v>
      </c>
      <c r="E373" s="3" t="s">
        <v>12</v>
      </c>
      <c r="F373" s="4">
        <v>43221</v>
      </c>
      <c r="G373" s="4" t="s">
        <v>108</v>
      </c>
      <c r="H373">
        <v>300</v>
      </c>
      <c r="I373">
        <v>6018</v>
      </c>
      <c r="J373">
        <v>2952</v>
      </c>
      <c r="K373">
        <v>3066</v>
      </c>
      <c r="R373" s="3"/>
      <c r="S373" s="4"/>
      <c r="T373" s="4"/>
    </row>
    <row r="374" spans="1:20" ht="13.8" x14ac:dyDescent="0.25">
      <c r="A374" t="s">
        <v>126</v>
      </c>
      <c r="B374" t="s">
        <v>13</v>
      </c>
      <c r="C374" t="s">
        <v>28</v>
      </c>
      <c r="D374" t="s">
        <v>140</v>
      </c>
      <c r="E374" s="3" t="s">
        <v>10</v>
      </c>
      <c r="F374" s="4">
        <v>43222</v>
      </c>
      <c r="G374" s="4" t="s">
        <v>108</v>
      </c>
      <c r="H374">
        <v>1000</v>
      </c>
      <c r="I374">
        <v>25310</v>
      </c>
      <c r="J374">
        <v>10220</v>
      </c>
      <c r="K374">
        <v>15090</v>
      </c>
      <c r="R374" s="3"/>
      <c r="S374" s="4"/>
      <c r="T374" s="4"/>
    </row>
    <row r="375" spans="1:20" ht="13.8" x14ac:dyDescent="0.25">
      <c r="A375" t="s">
        <v>130</v>
      </c>
      <c r="B375" t="s">
        <v>11</v>
      </c>
      <c r="C375" t="s">
        <v>27</v>
      </c>
      <c r="D375" t="s">
        <v>135</v>
      </c>
      <c r="E375" s="3" t="s">
        <v>12</v>
      </c>
      <c r="F375" s="4">
        <v>43223</v>
      </c>
      <c r="G375" s="4" t="s">
        <v>106</v>
      </c>
      <c r="H375">
        <v>200</v>
      </c>
      <c r="I375">
        <v>4378</v>
      </c>
      <c r="J375">
        <v>1968</v>
      </c>
      <c r="K375">
        <v>2410</v>
      </c>
      <c r="R375" s="3"/>
      <c r="S375" s="4"/>
      <c r="T375" s="4"/>
    </row>
    <row r="376" spans="1:20" ht="13.8" x14ac:dyDescent="0.25">
      <c r="A376" t="s">
        <v>130</v>
      </c>
      <c r="B376" t="s">
        <v>9</v>
      </c>
      <c r="C376" t="s">
        <v>24</v>
      </c>
      <c r="D376" t="s">
        <v>134</v>
      </c>
      <c r="E376" s="3" t="s">
        <v>12</v>
      </c>
      <c r="F376" s="4">
        <v>43225</v>
      </c>
      <c r="G376" s="4" t="s">
        <v>105</v>
      </c>
      <c r="H376">
        <v>700</v>
      </c>
      <c r="I376">
        <v>15407</v>
      </c>
      <c r="J376">
        <v>6888</v>
      </c>
      <c r="K376">
        <v>8519</v>
      </c>
      <c r="R376" s="3"/>
      <c r="S376" s="4"/>
      <c r="T376" s="4"/>
    </row>
    <row r="377" spans="1:20" ht="13.8" x14ac:dyDescent="0.25">
      <c r="A377" t="s">
        <v>129</v>
      </c>
      <c r="B377" t="s">
        <v>13</v>
      </c>
      <c r="C377" t="s">
        <v>32</v>
      </c>
      <c r="D377" t="s">
        <v>139</v>
      </c>
      <c r="E377" s="3" t="s">
        <v>15</v>
      </c>
      <c r="F377" s="4">
        <v>43226</v>
      </c>
      <c r="G377" s="4" t="s">
        <v>101</v>
      </c>
      <c r="H377">
        <v>1000</v>
      </c>
      <c r="I377">
        <v>18290</v>
      </c>
      <c r="J377">
        <v>8470</v>
      </c>
      <c r="K377">
        <v>9820</v>
      </c>
      <c r="R377" s="3"/>
      <c r="S377" s="4"/>
      <c r="T377" s="4"/>
    </row>
    <row r="378" spans="1:20" ht="13.8" x14ac:dyDescent="0.25">
      <c r="A378" t="s">
        <v>126</v>
      </c>
      <c r="B378" t="s">
        <v>13</v>
      </c>
      <c r="C378" t="s">
        <v>28</v>
      </c>
      <c r="D378" t="s">
        <v>140</v>
      </c>
      <c r="E378" s="3" t="s">
        <v>15</v>
      </c>
      <c r="F378" s="4">
        <v>43227</v>
      </c>
      <c r="G378" s="4" t="s">
        <v>108</v>
      </c>
      <c r="H378">
        <v>100</v>
      </c>
      <c r="I378">
        <v>1842</v>
      </c>
      <c r="J378">
        <v>847</v>
      </c>
      <c r="K378">
        <v>995</v>
      </c>
      <c r="R378" s="3"/>
      <c r="S378" s="4"/>
      <c r="T378" s="4"/>
    </row>
    <row r="379" spans="1:20" ht="13.8" x14ac:dyDescent="0.25">
      <c r="A379" t="s">
        <v>126</v>
      </c>
      <c r="B379" t="s">
        <v>11</v>
      </c>
      <c r="C379" t="s">
        <v>27</v>
      </c>
      <c r="D379" t="s">
        <v>135</v>
      </c>
      <c r="E379" s="3" t="s">
        <v>10</v>
      </c>
      <c r="F379" s="4">
        <v>43227</v>
      </c>
      <c r="G379" s="4" t="s">
        <v>109</v>
      </c>
      <c r="H379">
        <v>500</v>
      </c>
      <c r="I379">
        <v>10400</v>
      </c>
      <c r="J379">
        <v>5110</v>
      </c>
      <c r="K379">
        <v>5290</v>
      </c>
      <c r="R379" s="3"/>
      <c r="S379" s="4"/>
      <c r="T379" s="4"/>
    </row>
    <row r="380" spans="1:20" ht="13.8" x14ac:dyDescent="0.25">
      <c r="A380" t="s">
        <v>126</v>
      </c>
      <c r="B380" t="s">
        <v>9</v>
      </c>
      <c r="C380" t="s">
        <v>24</v>
      </c>
      <c r="D380" t="s">
        <v>134</v>
      </c>
      <c r="E380" s="3" t="s">
        <v>15</v>
      </c>
      <c r="F380" s="4">
        <v>43228</v>
      </c>
      <c r="G380" s="4" t="s">
        <v>100</v>
      </c>
      <c r="H380">
        <v>100</v>
      </c>
      <c r="I380">
        <v>1982</v>
      </c>
      <c r="J380">
        <v>847</v>
      </c>
      <c r="K380">
        <v>1135</v>
      </c>
      <c r="R380" s="3"/>
      <c r="S380" s="4"/>
      <c r="T380" s="4"/>
    </row>
    <row r="381" spans="1:20" ht="13.8" x14ac:dyDescent="0.25">
      <c r="A381" t="s">
        <v>126</v>
      </c>
      <c r="B381" t="s">
        <v>11</v>
      </c>
      <c r="C381" t="s">
        <v>27</v>
      </c>
      <c r="D381" t="s">
        <v>135</v>
      </c>
      <c r="E381" s="3" t="s">
        <v>10</v>
      </c>
      <c r="F381" s="4">
        <v>43230</v>
      </c>
      <c r="G381" s="4" t="s">
        <v>109</v>
      </c>
      <c r="H381">
        <v>300</v>
      </c>
      <c r="I381">
        <v>6789</v>
      </c>
      <c r="J381">
        <v>3066</v>
      </c>
      <c r="K381">
        <v>3723</v>
      </c>
      <c r="R381" s="3"/>
      <c r="S381" s="4"/>
      <c r="T381" s="4"/>
    </row>
    <row r="382" spans="1:20" ht="13.8" x14ac:dyDescent="0.25">
      <c r="A382" t="s">
        <v>131</v>
      </c>
      <c r="B382" t="s">
        <v>13</v>
      </c>
      <c r="C382" t="s">
        <v>29</v>
      </c>
      <c r="D382" t="s">
        <v>143</v>
      </c>
      <c r="E382" s="3" t="s">
        <v>12</v>
      </c>
      <c r="F382" s="4">
        <v>43231</v>
      </c>
      <c r="G382" s="4" t="s">
        <v>115</v>
      </c>
      <c r="H382">
        <v>300</v>
      </c>
      <c r="I382">
        <v>7245</v>
      </c>
      <c r="J382">
        <v>2952</v>
      </c>
      <c r="K382">
        <v>4293</v>
      </c>
      <c r="R382" s="3"/>
      <c r="S382" s="4"/>
      <c r="T382" s="4"/>
    </row>
    <row r="383" spans="1:20" ht="13.8" x14ac:dyDescent="0.25">
      <c r="A383" t="s">
        <v>16</v>
      </c>
      <c r="B383" t="s">
        <v>13</v>
      </c>
      <c r="C383" t="s">
        <v>30</v>
      </c>
      <c r="D383" t="s">
        <v>136</v>
      </c>
      <c r="E383" s="3" t="s">
        <v>10</v>
      </c>
      <c r="F383" s="4">
        <v>43232</v>
      </c>
      <c r="G383" s="4" t="s">
        <v>112</v>
      </c>
      <c r="H383">
        <v>500</v>
      </c>
      <c r="I383">
        <v>11000</v>
      </c>
      <c r="J383">
        <v>5110</v>
      </c>
      <c r="K383">
        <v>5890</v>
      </c>
      <c r="R383" s="3"/>
      <c r="S383" s="4"/>
      <c r="T383" s="4"/>
    </row>
    <row r="384" spans="1:20" ht="13.8" x14ac:dyDescent="0.25">
      <c r="A384" t="s">
        <v>131</v>
      </c>
      <c r="B384" t="s">
        <v>13</v>
      </c>
      <c r="C384" t="s">
        <v>29</v>
      </c>
      <c r="D384" t="s">
        <v>143</v>
      </c>
      <c r="E384" s="3" t="s">
        <v>15</v>
      </c>
      <c r="F384" s="4">
        <v>43233</v>
      </c>
      <c r="G384" s="4" t="s">
        <v>115</v>
      </c>
      <c r="H384">
        <v>500</v>
      </c>
      <c r="I384">
        <v>9155</v>
      </c>
      <c r="J384">
        <v>4235</v>
      </c>
      <c r="K384">
        <v>4920</v>
      </c>
      <c r="R384" s="3"/>
      <c r="S384" s="4"/>
      <c r="T384" s="4"/>
    </row>
    <row r="385" spans="1:20" ht="13.8" x14ac:dyDescent="0.25">
      <c r="A385" t="s">
        <v>130</v>
      </c>
      <c r="B385" t="s">
        <v>9</v>
      </c>
      <c r="C385" t="s">
        <v>24</v>
      </c>
      <c r="D385" t="s">
        <v>134</v>
      </c>
      <c r="E385" s="3" t="s">
        <v>12</v>
      </c>
      <c r="F385" s="4">
        <v>43233</v>
      </c>
      <c r="G385" s="4" t="s">
        <v>105</v>
      </c>
      <c r="H385">
        <v>400</v>
      </c>
      <c r="I385">
        <v>9760</v>
      </c>
      <c r="J385">
        <v>3936</v>
      </c>
      <c r="K385">
        <v>5824</v>
      </c>
      <c r="R385" s="3"/>
      <c r="S385" s="4"/>
      <c r="T385" s="4"/>
    </row>
    <row r="386" spans="1:20" ht="13.8" x14ac:dyDescent="0.25">
      <c r="A386" t="s">
        <v>126</v>
      </c>
      <c r="B386" t="s">
        <v>9</v>
      </c>
      <c r="C386" t="s">
        <v>24</v>
      </c>
      <c r="D386" t="s">
        <v>134</v>
      </c>
      <c r="E386" s="3" t="s">
        <v>10</v>
      </c>
      <c r="F386" s="4">
        <v>43235</v>
      </c>
      <c r="G386" s="4" t="s">
        <v>100</v>
      </c>
      <c r="H386">
        <v>400</v>
      </c>
      <c r="I386">
        <v>9156</v>
      </c>
      <c r="J386">
        <v>4088</v>
      </c>
      <c r="K386">
        <v>5068</v>
      </c>
      <c r="R386" s="3"/>
      <c r="S386" s="4"/>
      <c r="T386" s="4"/>
    </row>
    <row r="387" spans="1:20" ht="13.8" x14ac:dyDescent="0.25">
      <c r="A387" t="s">
        <v>126</v>
      </c>
      <c r="B387" t="s">
        <v>11</v>
      </c>
      <c r="C387" t="s">
        <v>27</v>
      </c>
      <c r="D387" t="s">
        <v>135</v>
      </c>
      <c r="E387" s="3" t="s">
        <v>10</v>
      </c>
      <c r="F387" s="4">
        <v>43238</v>
      </c>
      <c r="G387" s="4" t="s">
        <v>128</v>
      </c>
      <c r="H387">
        <v>500</v>
      </c>
      <c r="I387">
        <v>10385</v>
      </c>
      <c r="J387">
        <v>5110</v>
      </c>
      <c r="K387">
        <v>5275</v>
      </c>
      <c r="R387" s="3"/>
      <c r="S387" s="4"/>
      <c r="T387" s="4"/>
    </row>
    <row r="388" spans="1:20" ht="13.8" x14ac:dyDescent="0.25">
      <c r="A388" t="s">
        <v>130</v>
      </c>
      <c r="B388" t="s">
        <v>11</v>
      </c>
      <c r="C388" t="s">
        <v>27</v>
      </c>
      <c r="D388" t="s">
        <v>135</v>
      </c>
      <c r="E388" s="3" t="s">
        <v>12</v>
      </c>
      <c r="F388" s="4">
        <v>43240</v>
      </c>
      <c r="G388" s="4" t="s">
        <v>106</v>
      </c>
      <c r="H388">
        <v>700</v>
      </c>
      <c r="I388">
        <v>14203</v>
      </c>
      <c r="J388">
        <v>6888</v>
      </c>
      <c r="K388">
        <v>7315</v>
      </c>
      <c r="R388" s="3"/>
      <c r="S388" s="4"/>
      <c r="T388" s="4"/>
    </row>
    <row r="389" spans="1:20" ht="13.8" x14ac:dyDescent="0.25">
      <c r="A389" t="s">
        <v>126</v>
      </c>
      <c r="B389" t="s">
        <v>11</v>
      </c>
      <c r="C389" t="s">
        <v>27</v>
      </c>
      <c r="D389" t="s">
        <v>135</v>
      </c>
      <c r="E389" s="3" t="s">
        <v>10</v>
      </c>
      <c r="F389" s="4">
        <v>43241</v>
      </c>
      <c r="G389" s="4" t="s">
        <v>109</v>
      </c>
      <c r="H389">
        <v>600</v>
      </c>
      <c r="I389">
        <v>14634</v>
      </c>
      <c r="J389">
        <v>6132</v>
      </c>
      <c r="K389">
        <v>8502</v>
      </c>
      <c r="R389" s="3"/>
      <c r="S389" s="4"/>
      <c r="T389" s="4"/>
    </row>
    <row r="390" spans="1:20" ht="13.8" x14ac:dyDescent="0.25">
      <c r="A390" t="s">
        <v>16</v>
      </c>
      <c r="B390" t="s">
        <v>13</v>
      </c>
      <c r="C390" t="s">
        <v>30</v>
      </c>
      <c r="D390" t="s">
        <v>136</v>
      </c>
      <c r="E390" s="3" t="s">
        <v>10</v>
      </c>
      <c r="F390" s="4">
        <v>43242</v>
      </c>
      <c r="G390" s="4" t="s">
        <v>112</v>
      </c>
      <c r="H390">
        <v>100</v>
      </c>
      <c r="I390">
        <v>2149</v>
      </c>
      <c r="J390">
        <v>1022</v>
      </c>
      <c r="K390">
        <v>1127</v>
      </c>
      <c r="R390" s="3"/>
      <c r="S390" s="4"/>
      <c r="T390" s="4"/>
    </row>
    <row r="391" spans="1:20" ht="13.8" x14ac:dyDescent="0.25">
      <c r="A391" t="s">
        <v>129</v>
      </c>
      <c r="B391" t="s">
        <v>14</v>
      </c>
      <c r="C391" t="s">
        <v>31</v>
      </c>
      <c r="D391" t="s">
        <v>138</v>
      </c>
      <c r="E391" s="3" t="s">
        <v>15</v>
      </c>
      <c r="F391" s="4">
        <v>43242</v>
      </c>
      <c r="G391" s="4" t="s">
        <v>104</v>
      </c>
      <c r="H391">
        <v>700</v>
      </c>
      <c r="I391">
        <v>13853</v>
      </c>
      <c r="J391">
        <v>5929</v>
      </c>
      <c r="K391">
        <v>7924</v>
      </c>
      <c r="R391" s="3"/>
      <c r="S391" s="4"/>
      <c r="T391" s="4"/>
    </row>
    <row r="392" spans="1:20" ht="13.8" x14ac:dyDescent="0.25">
      <c r="A392" t="s">
        <v>126</v>
      </c>
      <c r="B392" t="s">
        <v>9</v>
      </c>
      <c r="C392" t="s">
        <v>24</v>
      </c>
      <c r="D392" t="s">
        <v>134</v>
      </c>
      <c r="E392" s="3" t="s">
        <v>12</v>
      </c>
      <c r="F392" s="4">
        <v>43243</v>
      </c>
      <c r="G392" s="4" t="s">
        <v>100</v>
      </c>
      <c r="H392">
        <v>200</v>
      </c>
      <c r="I392">
        <v>4474</v>
      </c>
      <c r="J392">
        <v>1968</v>
      </c>
      <c r="K392">
        <v>2506</v>
      </c>
      <c r="R392" s="3"/>
      <c r="S392" s="4"/>
      <c r="T392" s="4"/>
    </row>
    <row r="393" spans="1:20" ht="13.8" x14ac:dyDescent="0.25">
      <c r="A393" t="s">
        <v>126</v>
      </c>
      <c r="B393" t="s">
        <v>9</v>
      </c>
      <c r="C393" t="s">
        <v>24</v>
      </c>
      <c r="D393" t="s">
        <v>134</v>
      </c>
      <c r="E393" s="3" t="s">
        <v>10</v>
      </c>
      <c r="F393" s="4">
        <v>43243</v>
      </c>
      <c r="G393" s="4" t="s">
        <v>100</v>
      </c>
      <c r="H393">
        <v>100</v>
      </c>
      <c r="I393">
        <v>2487</v>
      </c>
      <c r="J393">
        <v>1022</v>
      </c>
      <c r="K393">
        <v>1465</v>
      </c>
      <c r="R393" s="3"/>
      <c r="S393" s="4"/>
      <c r="T393" s="4"/>
    </row>
    <row r="394" spans="1:20" ht="13.8" x14ac:dyDescent="0.25">
      <c r="A394" t="s">
        <v>16</v>
      </c>
      <c r="B394" t="s">
        <v>13</v>
      </c>
      <c r="C394" t="s">
        <v>30</v>
      </c>
      <c r="D394" t="s">
        <v>136</v>
      </c>
      <c r="E394" s="3" t="s">
        <v>10</v>
      </c>
      <c r="F394" s="4">
        <v>43244</v>
      </c>
      <c r="G394" s="4" t="s">
        <v>112</v>
      </c>
      <c r="H394">
        <v>200</v>
      </c>
      <c r="I394">
        <v>4388</v>
      </c>
      <c r="J394">
        <v>2044</v>
      </c>
      <c r="K394">
        <v>2344</v>
      </c>
      <c r="R394" s="3"/>
      <c r="S394" s="4"/>
      <c r="T394" s="4"/>
    </row>
    <row r="395" spans="1:20" ht="13.8" x14ac:dyDescent="0.25">
      <c r="A395" t="s">
        <v>126</v>
      </c>
      <c r="B395" t="s">
        <v>11</v>
      </c>
      <c r="C395" t="s">
        <v>27</v>
      </c>
      <c r="D395" t="s">
        <v>135</v>
      </c>
      <c r="E395" s="3" t="s">
        <v>15</v>
      </c>
      <c r="F395" s="4">
        <v>43245</v>
      </c>
      <c r="G395" s="4" t="s">
        <v>128</v>
      </c>
      <c r="H395">
        <v>300</v>
      </c>
      <c r="I395">
        <v>5094</v>
      </c>
      <c r="J395">
        <v>2541</v>
      </c>
      <c r="K395">
        <v>2553</v>
      </c>
      <c r="R395" s="3"/>
      <c r="S395" s="4"/>
      <c r="T395" s="4"/>
    </row>
    <row r="396" spans="1:20" ht="13.8" x14ac:dyDescent="0.25">
      <c r="A396" t="s">
        <v>130</v>
      </c>
      <c r="B396" t="s">
        <v>9</v>
      </c>
      <c r="C396" t="s">
        <v>24</v>
      </c>
      <c r="D396" t="s">
        <v>134</v>
      </c>
      <c r="E396" s="3" t="s">
        <v>15</v>
      </c>
      <c r="F396" s="4">
        <v>43248</v>
      </c>
      <c r="G396" s="4" t="s">
        <v>105</v>
      </c>
      <c r="H396">
        <v>200</v>
      </c>
      <c r="I396">
        <v>3632</v>
      </c>
      <c r="J396">
        <v>1694</v>
      </c>
      <c r="K396">
        <v>1938</v>
      </c>
      <c r="R396" s="3"/>
      <c r="S396" s="4"/>
      <c r="T396" s="4"/>
    </row>
    <row r="397" spans="1:20" ht="13.8" x14ac:dyDescent="0.25">
      <c r="A397" t="s">
        <v>126</v>
      </c>
      <c r="B397" t="s">
        <v>9</v>
      </c>
      <c r="C397" t="s">
        <v>24</v>
      </c>
      <c r="D397" t="s">
        <v>134</v>
      </c>
      <c r="E397" s="3" t="s">
        <v>12</v>
      </c>
      <c r="F397" s="4">
        <v>43248</v>
      </c>
      <c r="G397" s="4" t="s">
        <v>100</v>
      </c>
      <c r="H397">
        <v>800</v>
      </c>
      <c r="I397">
        <v>16264</v>
      </c>
      <c r="J397">
        <v>7872</v>
      </c>
      <c r="K397">
        <v>8392</v>
      </c>
      <c r="R397" s="3"/>
      <c r="S397" s="4"/>
      <c r="T397" s="4"/>
    </row>
    <row r="398" spans="1:20" ht="13.8" x14ac:dyDescent="0.25">
      <c r="A398" t="s">
        <v>130</v>
      </c>
      <c r="B398" t="s">
        <v>9</v>
      </c>
      <c r="C398" t="s">
        <v>24</v>
      </c>
      <c r="D398" t="s">
        <v>134</v>
      </c>
      <c r="E398" s="3" t="s">
        <v>12</v>
      </c>
      <c r="F398" s="4">
        <v>43250</v>
      </c>
      <c r="G398" s="4" t="s">
        <v>105</v>
      </c>
      <c r="H398">
        <v>700</v>
      </c>
      <c r="I398">
        <v>16408</v>
      </c>
      <c r="J398">
        <v>6888</v>
      </c>
      <c r="K398">
        <v>9520</v>
      </c>
      <c r="R398" s="3"/>
      <c r="S398" s="4"/>
      <c r="T398" s="4"/>
    </row>
    <row r="399" spans="1:20" ht="13.8" x14ac:dyDescent="0.25">
      <c r="A399" t="s">
        <v>126</v>
      </c>
      <c r="B399" t="s">
        <v>9</v>
      </c>
      <c r="C399" t="s">
        <v>24</v>
      </c>
      <c r="D399" t="s">
        <v>134</v>
      </c>
      <c r="E399" s="3" t="s">
        <v>10</v>
      </c>
      <c r="F399" s="4">
        <v>43250</v>
      </c>
      <c r="G399" s="4" t="s">
        <v>100</v>
      </c>
      <c r="H399">
        <v>500</v>
      </c>
      <c r="I399">
        <v>12550</v>
      </c>
      <c r="J399">
        <v>5110</v>
      </c>
      <c r="K399">
        <v>7440</v>
      </c>
      <c r="R399" s="3"/>
      <c r="S399" s="4"/>
      <c r="T399" s="4"/>
    </row>
    <row r="400" spans="1:20" ht="13.8" x14ac:dyDescent="0.25">
      <c r="A400" t="s">
        <v>126</v>
      </c>
      <c r="B400" t="s">
        <v>13</v>
      </c>
      <c r="C400" t="s">
        <v>28</v>
      </c>
      <c r="D400" t="s">
        <v>140</v>
      </c>
      <c r="E400" s="3" t="s">
        <v>12</v>
      </c>
      <c r="F400" s="4">
        <v>43251</v>
      </c>
      <c r="G400" s="4" t="s">
        <v>108</v>
      </c>
      <c r="H400">
        <v>800</v>
      </c>
      <c r="I400">
        <v>17056</v>
      </c>
      <c r="J400">
        <v>7872</v>
      </c>
      <c r="K400">
        <v>9184</v>
      </c>
      <c r="R400" s="3"/>
      <c r="S400" s="4"/>
      <c r="T400" s="4"/>
    </row>
    <row r="401" spans="1:20" ht="13.8" x14ac:dyDescent="0.25">
      <c r="A401" t="s">
        <v>129</v>
      </c>
      <c r="B401" t="s">
        <v>13</v>
      </c>
      <c r="C401" t="s">
        <v>32</v>
      </c>
      <c r="D401" t="s">
        <v>139</v>
      </c>
      <c r="E401" s="3" t="s">
        <v>10</v>
      </c>
      <c r="F401" s="4">
        <v>43251</v>
      </c>
      <c r="G401" s="4" t="s">
        <v>101</v>
      </c>
      <c r="H401">
        <v>800</v>
      </c>
      <c r="I401">
        <v>19152</v>
      </c>
      <c r="J401">
        <v>8176</v>
      </c>
      <c r="K401">
        <v>10976</v>
      </c>
      <c r="R401" s="3"/>
      <c r="S401" s="4"/>
      <c r="T401" s="4"/>
    </row>
    <row r="402" spans="1:20" ht="13.8" x14ac:dyDescent="0.25">
      <c r="A402" t="s">
        <v>131</v>
      </c>
      <c r="B402" t="s">
        <v>13</v>
      </c>
      <c r="C402" t="s">
        <v>29</v>
      </c>
      <c r="D402" t="s">
        <v>143</v>
      </c>
      <c r="E402" s="3" t="s">
        <v>10</v>
      </c>
      <c r="F402" s="4">
        <v>43254</v>
      </c>
      <c r="G402" s="4" t="s">
        <v>115</v>
      </c>
      <c r="H402">
        <v>1000</v>
      </c>
      <c r="I402">
        <v>23990</v>
      </c>
      <c r="J402">
        <v>10220</v>
      </c>
      <c r="K402">
        <v>13770</v>
      </c>
      <c r="R402" s="3"/>
      <c r="S402" s="4"/>
      <c r="T402" s="4"/>
    </row>
    <row r="403" spans="1:20" ht="13.8" x14ac:dyDescent="0.25">
      <c r="A403" t="s">
        <v>126</v>
      </c>
      <c r="B403" t="s">
        <v>11</v>
      </c>
      <c r="C403" t="s">
        <v>27</v>
      </c>
      <c r="D403" t="s">
        <v>135</v>
      </c>
      <c r="E403" s="3" t="s">
        <v>10</v>
      </c>
      <c r="F403" s="4">
        <v>43255</v>
      </c>
      <c r="G403" s="4" t="s">
        <v>109</v>
      </c>
      <c r="H403">
        <v>1000</v>
      </c>
      <c r="I403">
        <v>22020</v>
      </c>
      <c r="J403">
        <v>10220</v>
      </c>
      <c r="K403">
        <v>11800</v>
      </c>
      <c r="R403" s="3"/>
      <c r="S403" s="4"/>
      <c r="T403" s="4"/>
    </row>
    <row r="404" spans="1:20" ht="13.8" x14ac:dyDescent="0.25">
      <c r="A404" t="s">
        <v>131</v>
      </c>
      <c r="B404" t="s">
        <v>14</v>
      </c>
      <c r="C404" t="s">
        <v>33</v>
      </c>
      <c r="D404" t="s">
        <v>145</v>
      </c>
      <c r="E404" s="3" t="s">
        <v>10</v>
      </c>
      <c r="F404" s="4">
        <v>43258</v>
      </c>
      <c r="G404" s="4" t="s">
        <v>124</v>
      </c>
      <c r="H404">
        <v>400</v>
      </c>
      <c r="I404">
        <v>9064</v>
      </c>
      <c r="J404">
        <v>4088</v>
      </c>
      <c r="K404">
        <v>4976</v>
      </c>
      <c r="R404" s="3"/>
      <c r="S404" s="4"/>
      <c r="T404" s="4"/>
    </row>
    <row r="405" spans="1:20" ht="13.8" x14ac:dyDescent="0.25">
      <c r="A405" t="s">
        <v>126</v>
      </c>
      <c r="B405" t="s">
        <v>11</v>
      </c>
      <c r="C405" t="s">
        <v>27</v>
      </c>
      <c r="D405" t="s">
        <v>135</v>
      </c>
      <c r="E405" s="3" t="s">
        <v>15</v>
      </c>
      <c r="F405" s="4">
        <v>43259</v>
      </c>
      <c r="G405" s="4" t="s">
        <v>109</v>
      </c>
      <c r="H405">
        <v>900</v>
      </c>
      <c r="I405">
        <v>18072</v>
      </c>
      <c r="J405">
        <v>7623</v>
      </c>
      <c r="K405">
        <v>10449</v>
      </c>
      <c r="R405" s="3"/>
      <c r="S405" s="4"/>
      <c r="T405" s="4"/>
    </row>
    <row r="406" spans="1:20" ht="13.8" x14ac:dyDescent="0.25">
      <c r="A406" t="s">
        <v>126</v>
      </c>
      <c r="B406" t="s">
        <v>13</v>
      </c>
      <c r="C406" t="s">
        <v>28</v>
      </c>
      <c r="D406" t="s">
        <v>140</v>
      </c>
      <c r="E406" s="3" t="s">
        <v>15</v>
      </c>
      <c r="F406" s="4">
        <v>43260</v>
      </c>
      <c r="G406" s="4" t="s">
        <v>108</v>
      </c>
      <c r="H406">
        <v>800</v>
      </c>
      <c r="I406">
        <v>16288</v>
      </c>
      <c r="J406">
        <v>6776</v>
      </c>
      <c r="K406">
        <v>9512</v>
      </c>
      <c r="R406" s="3"/>
      <c r="S406" s="4"/>
      <c r="T406" s="4"/>
    </row>
    <row r="407" spans="1:20" ht="13.8" x14ac:dyDescent="0.25">
      <c r="A407" t="s">
        <v>126</v>
      </c>
      <c r="B407" t="s">
        <v>11</v>
      </c>
      <c r="C407" t="s">
        <v>27</v>
      </c>
      <c r="D407" t="s">
        <v>135</v>
      </c>
      <c r="E407" s="3" t="s">
        <v>12</v>
      </c>
      <c r="F407" s="4">
        <v>43262</v>
      </c>
      <c r="G407" s="4" t="s">
        <v>107</v>
      </c>
      <c r="H407">
        <v>800</v>
      </c>
      <c r="I407">
        <v>17944</v>
      </c>
      <c r="J407">
        <v>7872</v>
      </c>
      <c r="K407">
        <v>10072</v>
      </c>
      <c r="R407" s="3"/>
      <c r="S407" s="4"/>
      <c r="T407" s="4"/>
    </row>
    <row r="408" spans="1:20" ht="13.8" x14ac:dyDescent="0.25">
      <c r="A408" t="s">
        <v>129</v>
      </c>
      <c r="B408" t="s">
        <v>13</v>
      </c>
      <c r="C408" t="s">
        <v>32</v>
      </c>
      <c r="D408" t="s">
        <v>139</v>
      </c>
      <c r="E408" s="3" t="s">
        <v>12</v>
      </c>
      <c r="F408" s="4">
        <v>43263</v>
      </c>
      <c r="G408" s="4" t="s">
        <v>101</v>
      </c>
      <c r="H408">
        <v>300</v>
      </c>
      <c r="I408">
        <v>6477</v>
      </c>
      <c r="J408">
        <v>2952</v>
      </c>
      <c r="K408">
        <v>3525</v>
      </c>
      <c r="R408" s="3"/>
      <c r="S408" s="4"/>
      <c r="T408" s="4"/>
    </row>
    <row r="409" spans="1:20" ht="13.8" x14ac:dyDescent="0.25">
      <c r="A409" t="s">
        <v>16</v>
      </c>
      <c r="B409" t="s">
        <v>13</v>
      </c>
      <c r="C409" t="s">
        <v>30</v>
      </c>
      <c r="D409" t="s">
        <v>136</v>
      </c>
      <c r="E409" s="3" t="s">
        <v>15</v>
      </c>
      <c r="F409" s="4">
        <v>43264</v>
      </c>
      <c r="G409" s="4" t="s">
        <v>112</v>
      </c>
      <c r="H409">
        <v>600</v>
      </c>
      <c r="I409">
        <v>10404</v>
      </c>
      <c r="J409">
        <v>5082</v>
      </c>
      <c r="K409">
        <v>5322</v>
      </c>
      <c r="R409" s="3"/>
      <c r="S409" s="4"/>
      <c r="T409" s="4"/>
    </row>
    <row r="410" spans="1:20" ht="13.8" x14ac:dyDescent="0.25">
      <c r="A410" t="s">
        <v>126</v>
      </c>
      <c r="B410" t="s">
        <v>11</v>
      </c>
      <c r="C410" t="s">
        <v>27</v>
      </c>
      <c r="D410" t="s">
        <v>135</v>
      </c>
      <c r="E410" s="3" t="s">
        <v>15</v>
      </c>
      <c r="F410" s="4">
        <v>43265</v>
      </c>
      <c r="G410" s="4" t="s">
        <v>107</v>
      </c>
      <c r="H410">
        <v>500</v>
      </c>
      <c r="I410">
        <v>8780</v>
      </c>
      <c r="J410">
        <v>4235</v>
      </c>
      <c r="K410">
        <v>4545</v>
      </c>
      <c r="R410" s="3"/>
      <c r="S410" s="4"/>
      <c r="T410" s="4"/>
    </row>
    <row r="411" spans="1:20" ht="13.8" x14ac:dyDescent="0.25">
      <c r="A411" t="s">
        <v>126</v>
      </c>
      <c r="B411" t="s">
        <v>11</v>
      </c>
      <c r="C411" t="s">
        <v>27</v>
      </c>
      <c r="D411" t="s">
        <v>135</v>
      </c>
      <c r="E411" s="3" t="s">
        <v>15</v>
      </c>
      <c r="F411" s="4">
        <v>43269</v>
      </c>
      <c r="G411" s="4" t="s">
        <v>128</v>
      </c>
      <c r="H411">
        <v>700</v>
      </c>
      <c r="I411">
        <v>13874</v>
      </c>
      <c r="J411">
        <v>5929</v>
      </c>
      <c r="K411">
        <v>7945</v>
      </c>
      <c r="R411" s="3"/>
      <c r="S411" s="4"/>
      <c r="T411" s="4"/>
    </row>
    <row r="412" spans="1:20" ht="13.8" x14ac:dyDescent="0.25">
      <c r="A412" t="s">
        <v>130</v>
      </c>
      <c r="B412" t="s">
        <v>11</v>
      </c>
      <c r="C412" t="s">
        <v>27</v>
      </c>
      <c r="D412" t="s">
        <v>135</v>
      </c>
      <c r="E412" s="3" t="s">
        <v>10</v>
      </c>
      <c r="F412" s="4">
        <v>43272</v>
      </c>
      <c r="G412" s="4" t="s">
        <v>106</v>
      </c>
      <c r="H412">
        <v>700</v>
      </c>
      <c r="I412">
        <v>15988</v>
      </c>
      <c r="J412">
        <v>7154</v>
      </c>
      <c r="K412">
        <v>8834</v>
      </c>
      <c r="R412" s="3"/>
      <c r="S412" s="4"/>
      <c r="T412" s="4"/>
    </row>
    <row r="413" spans="1:20" ht="13.8" x14ac:dyDescent="0.25">
      <c r="A413" t="s">
        <v>126</v>
      </c>
      <c r="B413" t="s">
        <v>13</v>
      </c>
      <c r="C413" t="s">
        <v>28</v>
      </c>
      <c r="D413" t="s">
        <v>140</v>
      </c>
      <c r="E413" s="3" t="s">
        <v>12</v>
      </c>
      <c r="F413" s="4">
        <v>43275</v>
      </c>
      <c r="G413" s="4" t="s">
        <v>108</v>
      </c>
      <c r="H413">
        <v>1000</v>
      </c>
      <c r="I413">
        <v>20020</v>
      </c>
      <c r="J413">
        <v>9840</v>
      </c>
      <c r="K413">
        <v>10180</v>
      </c>
      <c r="R413" s="3"/>
      <c r="S413" s="4"/>
      <c r="T413" s="4"/>
    </row>
    <row r="414" spans="1:20" ht="13.8" x14ac:dyDescent="0.25">
      <c r="A414" t="s">
        <v>127</v>
      </c>
      <c r="B414" t="s">
        <v>11</v>
      </c>
      <c r="C414" t="s">
        <v>27</v>
      </c>
      <c r="D414" t="s">
        <v>135</v>
      </c>
      <c r="E414" s="3" t="s">
        <v>12</v>
      </c>
      <c r="F414" s="4">
        <v>43276</v>
      </c>
      <c r="G414" s="4" t="s">
        <v>123</v>
      </c>
      <c r="H414">
        <v>200</v>
      </c>
      <c r="I414">
        <v>4060</v>
      </c>
      <c r="J414">
        <v>1968</v>
      </c>
      <c r="K414">
        <v>2092</v>
      </c>
      <c r="R414" s="3"/>
      <c r="S414" s="4"/>
      <c r="T414" s="4"/>
    </row>
    <row r="415" spans="1:20" ht="13.8" x14ac:dyDescent="0.25">
      <c r="A415" t="s">
        <v>126</v>
      </c>
      <c r="B415" t="s">
        <v>11</v>
      </c>
      <c r="C415" t="s">
        <v>27</v>
      </c>
      <c r="D415" t="s">
        <v>135</v>
      </c>
      <c r="E415" s="3" t="s">
        <v>15</v>
      </c>
      <c r="F415" s="4">
        <v>43277</v>
      </c>
      <c r="G415" s="4" t="s">
        <v>128</v>
      </c>
      <c r="H415">
        <v>800</v>
      </c>
      <c r="I415">
        <v>15400</v>
      </c>
      <c r="J415">
        <v>6776</v>
      </c>
      <c r="K415">
        <v>8624</v>
      </c>
      <c r="R415" s="3"/>
      <c r="S415" s="4"/>
      <c r="T415" s="4"/>
    </row>
    <row r="416" spans="1:20" ht="13.8" x14ac:dyDescent="0.25">
      <c r="A416" t="s">
        <v>126</v>
      </c>
      <c r="B416" t="s">
        <v>9</v>
      </c>
      <c r="C416" t="s">
        <v>24</v>
      </c>
      <c r="D416" t="s">
        <v>134</v>
      </c>
      <c r="E416" s="3" t="s">
        <v>12</v>
      </c>
      <c r="F416" s="4">
        <v>43277</v>
      </c>
      <c r="G416" s="4" t="s">
        <v>100</v>
      </c>
      <c r="H416">
        <v>700</v>
      </c>
      <c r="I416">
        <v>16219</v>
      </c>
      <c r="J416">
        <v>6888</v>
      </c>
      <c r="K416">
        <v>9331</v>
      </c>
      <c r="R416" s="3"/>
      <c r="S416" s="4"/>
      <c r="T416" s="4"/>
    </row>
    <row r="417" spans="1:20" ht="13.8" x14ac:dyDescent="0.25">
      <c r="A417" t="s">
        <v>16</v>
      </c>
      <c r="B417" t="s">
        <v>13</v>
      </c>
      <c r="C417" t="s">
        <v>30</v>
      </c>
      <c r="D417" t="s">
        <v>136</v>
      </c>
      <c r="E417" s="3" t="s">
        <v>10</v>
      </c>
      <c r="F417" s="4">
        <v>43278</v>
      </c>
      <c r="G417" s="4" t="s">
        <v>112</v>
      </c>
      <c r="H417">
        <v>400</v>
      </c>
      <c r="I417">
        <v>8804</v>
      </c>
      <c r="J417">
        <v>4088</v>
      </c>
      <c r="K417">
        <v>4716</v>
      </c>
      <c r="R417" s="3"/>
      <c r="S417" s="4"/>
      <c r="T417" s="4"/>
    </row>
    <row r="418" spans="1:20" ht="13.8" x14ac:dyDescent="0.25">
      <c r="A418" t="s">
        <v>16</v>
      </c>
      <c r="B418" t="s">
        <v>13</v>
      </c>
      <c r="C418" t="s">
        <v>30</v>
      </c>
      <c r="D418" t="s">
        <v>136</v>
      </c>
      <c r="E418" s="3" t="s">
        <v>10</v>
      </c>
      <c r="F418" s="4">
        <v>43281</v>
      </c>
      <c r="G418" s="4" t="s">
        <v>112</v>
      </c>
      <c r="H418">
        <v>500</v>
      </c>
      <c r="I418">
        <v>12425</v>
      </c>
      <c r="J418">
        <v>5110</v>
      </c>
      <c r="K418">
        <v>7315</v>
      </c>
      <c r="R418" s="3"/>
      <c r="S418" s="4"/>
      <c r="T418" s="4"/>
    </row>
    <row r="419" spans="1:20" ht="13.8" x14ac:dyDescent="0.25">
      <c r="A419" t="s">
        <v>130</v>
      </c>
      <c r="B419" t="s">
        <v>11</v>
      </c>
      <c r="C419" t="s">
        <v>27</v>
      </c>
      <c r="D419" t="s">
        <v>135</v>
      </c>
      <c r="E419" s="3" t="s">
        <v>12</v>
      </c>
      <c r="F419" s="4">
        <v>43282</v>
      </c>
      <c r="G419" s="4" t="s">
        <v>106</v>
      </c>
      <c r="H419">
        <v>100</v>
      </c>
      <c r="I419">
        <v>2054</v>
      </c>
      <c r="J419">
        <v>984</v>
      </c>
      <c r="K419">
        <v>1070</v>
      </c>
      <c r="R419" s="3"/>
      <c r="S419" s="4"/>
      <c r="T419" s="4"/>
    </row>
    <row r="420" spans="1:20" ht="13.8" x14ac:dyDescent="0.25">
      <c r="A420" t="s">
        <v>126</v>
      </c>
      <c r="B420" t="s">
        <v>11</v>
      </c>
      <c r="C420" t="s">
        <v>27</v>
      </c>
      <c r="D420" t="s">
        <v>135</v>
      </c>
      <c r="E420" s="3" t="s">
        <v>10</v>
      </c>
      <c r="F420" s="4">
        <v>43283</v>
      </c>
      <c r="G420" s="4" t="s">
        <v>107</v>
      </c>
      <c r="H420">
        <v>400</v>
      </c>
      <c r="I420">
        <v>9816</v>
      </c>
      <c r="J420">
        <v>4088</v>
      </c>
      <c r="K420">
        <v>5728</v>
      </c>
      <c r="R420" s="3"/>
      <c r="S420" s="4"/>
      <c r="T420" s="4"/>
    </row>
    <row r="421" spans="1:20" ht="13.8" x14ac:dyDescent="0.25">
      <c r="A421" t="s">
        <v>126</v>
      </c>
      <c r="B421" t="s">
        <v>13</v>
      </c>
      <c r="C421" t="s">
        <v>28</v>
      </c>
      <c r="D421" t="s">
        <v>140</v>
      </c>
      <c r="E421" s="3" t="s">
        <v>15</v>
      </c>
      <c r="F421" s="4">
        <v>43284</v>
      </c>
      <c r="G421" s="4" t="s">
        <v>108</v>
      </c>
      <c r="H421">
        <v>200</v>
      </c>
      <c r="I421">
        <v>4192</v>
      </c>
      <c r="J421">
        <v>1694</v>
      </c>
      <c r="K421">
        <v>2498</v>
      </c>
      <c r="R421" s="3"/>
      <c r="S421" s="4"/>
      <c r="T421" s="4"/>
    </row>
    <row r="422" spans="1:20" ht="13.8" x14ac:dyDescent="0.25">
      <c r="A422" t="s">
        <v>129</v>
      </c>
      <c r="B422" t="s">
        <v>13</v>
      </c>
      <c r="C422" t="s">
        <v>32</v>
      </c>
      <c r="D422" t="s">
        <v>139</v>
      </c>
      <c r="E422" s="3" t="s">
        <v>12</v>
      </c>
      <c r="F422" s="4">
        <v>43284</v>
      </c>
      <c r="G422" s="4" t="s">
        <v>101</v>
      </c>
      <c r="H422">
        <v>900</v>
      </c>
      <c r="I422">
        <v>18099</v>
      </c>
      <c r="J422">
        <v>8856</v>
      </c>
      <c r="K422">
        <v>9243</v>
      </c>
      <c r="R422" s="3"/>
      <c r="S422" s="4"/>
      <c r="T422" s="4"/>
    </row>
    <row r="423" spans="1:20" ht="13.8" x14ac:dyDescent="0.25">
      <c r="A423" t="s">
        <v>16</v>
      </c>
      <c r="B423" t="s">
        <v>13</v>
      </c>
      <c r="C423" t="s">
        <v>30</v>
      </c>
      <c r="D423" t="s">
        <v>136</v>
      </c>
      <c r="E423" s="3" t="s">
        <v>12</v>
      </c>
      <c r="F423" s="4">
        <v>43286</v>
      </c>
      <c r="G423" s="4" t="s">
        <v>112</v>
      </c>
      <c r="H423">
        <v>700</v>
      </c>
      <c r="I423">
        <v>16303</v>
      </c>
      <c r="J423">
        <v>6888</v>
      </c>
      <c r="K423">
        <v>9415</v>
      </c>
      <c r="R423" s="3"/>
      <c r="S423" s="4"/>
      <c r="T423" s="4"/>
    </row>
    <row r="424" spans="1:20" ht="13.8" x14ac:dyDescent="0.25">
      <c r="A424" t="s">
        <v>129</v>
      </c>
      <c r="B424" t="s">
        <v>13</v>
      </c>
      <c r="C424" t="s">
        <v>32</v>
      </c>
      <c r="D424" t="s">
        <v>139</v>
      </c>
      <c r="E424" s="3" t="s">
        <v>10</v>
      </c>
      <c r="F424" s="4">
        <v>43288</v>
      </c>
      <c r="G424" s="4" t="s">
        <v>101</v>
      </c>
      <c r="H424">
        <v>400</v>
      </c>
      <c r="I424">
        <v>8580</v>
      </c>
      <c r="J424">
        <v>4088</v>
      </c>
      <c r="K424">
        <v>4492</v>
      </c>
      <c r="R424" s="3"/>
      <c r="S424" s="4"/>
      <c r="T424" s="4"/>
    </row>
    <row r="425" spans="1:20" ht="13.8" x14ac:dyDescent="0.25">
      <c r="A425" t="s">
        <v>130</v>
      </c>
      <c r="B425" t="s">
        <v>9</v>
      </c>
      <c r="C425" t="s">
        <v>24</v>
      </c>
      <c r="D425" t="s">
        <v>134</v>
      </c>
      <c r="E425" s="3" t="s">
        <v>12</v>
      </c>
      <c r="F425" s="4">
        <v>43289</v>
      </c>
      <c r="G425" s="4" t="s">
        <v>105</v>
      </c>
      <c r="H425">
        <v>500</v>
      </c>
      <c r="I425">
        <v>12270</v>
      </c>
      <c r="J425">
        <v>4920</v>
      </c>
      <c r="K425">
        <v>7350</v>
      </c>
      <c r="R425" s="3"/>
      <c r="S425" s="4"/>
      <c r="T425" s="4"/>
    </row>
    <row r="426" spans="1:20" ht="13.8" x14ac:dyDescent="0.25">
      <c r="A426" t="s">
        <v>129</v>
      </c>
      <c r="B426" t="s">
        <v>13</v>
      </c>
      <c r="C426" t="s">
        <v>32</v>
      </c>
      <c r="D426" t="s">
        <v>139</v>
      </c>
      <c r="E426" s="3" t="s">
        <v>15</v>
      </c>
      <c r="F426" s="4">
        <v>43292</v>
      </c>
      <c r="G426" s="4" t="s">
        <v>101</v>
      </c>
      <c r="H426">
        <v>900</v>
      </c>
      <c r="I426">
        <v>17883</v>
      </c>
      <c r="J426">
        <v>7623</v>
      </c>
      <c r="K426">
        <v>10260</v>
      </c>
      <c r="R426" s="3"/>
      <c r="S426" s="4"/>
      <c r="T426" s="4"/>
    </row>
    <row r="427" spans="1:20" ht="13.8" x14ac:dyDescent="0.25">
      <c r="A427" t="s">
        <v>126</v>
      </c>
      <c r="B427" t="s">
        <v>11</v>
      </c>
      <c r="C427" t="s">
        <v>27</v>
      </c>
      <c r="D427" t="s">
        <v>135</v>
      </c>
      <c r="E427" s="3" t="s">
        <v>12</v>
      </c>
      <c r="F427" s="4">
        <v>43294</v>
      </c>
      <c r="G427" s="4" t="s">
        <v>107</v>
      </c>
      <c r="H427">
        <v>500</v>
      </c>
      <c r="I427">
        <v>11725</v>
      </c>
      <c r="J427">
        <v>4920</v>
      </c>
      <c r="K427">
        <v>6805</v>
      </c>
      <c r="R427" s="3"/>
      <c r="S427" s="4"/>
      <c r="T427" s="4"/>
    </row>
    <row r="428" spans="1:20" ht="13.8" x14ac:dyDescent="0.25">
      <c r="A428" t="s">
        <v>126</v>
      </c>
      <c r="B428" t="s">
        <v>11</v>
      </c>
      <c r="C428" t="s">
        <v>27</v>
      </c>
      <c r="D428" t="s">
        <v>135</v>
      </c>
      <c r="E428" s="3" t="s">
        <v>10</v>
      </c>
      <c r="F428" s="4">
        <v>43295</v>
      </c>
      <c r="G428" s="4" t="s">
        <v>107</v>
      </c>
      <c r="H428">
        <v>900</v>
      </c>
      <c r="I428">
        <v>21366</v>
      </c>
      <c r="J428">
        <v>9198</v>
      </c>
      <c r="K428">
        <v>12168</v>
      </c>
      <c r="R428" s="3"/>
      <c r="S428" s="4"/>
      <c r="T428" s="4"/>
    </row>
    <row r="429" spans="1:20" ht="13.8" x14ac:dyDescent="0.25">
      <c r="A429" t="s">
        <v>130</v>
      </c>
      <c r="B429" t="s">
        <v>9</v>
      </c>
      <c r="C429" t="s">
        <v>22</v>
      </c>
      <c r="D429" t="s">
        <v>141</v>
      </c>
      <c r="E429" s="3" t="s">
        <v>12</v>
      </c>
      <c r="F429" s="4">
        <v>43296</v>
      </c>
      <c r="G429" s="4" t="s">
        <v>121</v>
      </c>
      <c r="H429">
        <v>700</v>
      </c>
      <c r="I429">
        <v>14497</v>
      </c>
      <c r="J429">
        <v>6888</v>
      </c>
      <c r="K429">
        <v>7609</v>
      </c>
      <c r="R429" s="3"/>
      <c r="S429" s="4"/>
      <c r="T429" s="4"/>
    </row>
    <row r="430" spans="1:20" ht="13.8" x14ac:dyDescent="0.25">
      <c r="A430" t="s">
        <v>126</v>
      </c>
      <c r="B430" t="s">
        <v>9</v>
      </c>
      <c r="C430" t="s">
        <v>24</v>
      </c>
      <c r="D430" t="s">
        <v>134</v>
      </c>
      <c r="E430" s="3" t="s">
        <v>12</v>
      </c>
      <c r="F430" s="4">
        <v>43297</v>
      </c>
      <c r="G430" s="4" t="s">
        <v>100</v>
      </c>
      <c r="H430">
        <v>800</v>
      </c>
      <c r="I430">
        <v>17416</v>
      </c>
      <c r="J430">
        <v>7872</v>
      </c>
      <c r="K430">
        <v>9544</v>
      </c>
      <c r="R430" s="3"/>
      <c r="S430" s="4"/>
      <c r="T430" s="4"/>
    </row>
    <row r="431" spans="1:20" ht="13.8" x14ac:dyDescent="0.25">
      <c r="A431" t="s">
        <v>126</v>
      </c>
      <c r="B431" t="s">
        <v>9</v>
      </c>
      <c r="C431" t="s">
        <v>24</v>
      </c>
      <c r="D431" t="s">
        <v>134</v>
      </c>
      <c r="E431" s="3" t="s">
        <v>15</v>
      </c>
      <c r="F431" s="4">
        <v>43299</v>
      </c>
      <c r="G431" s="4" t="s">
        <v>100</v>
      </c>
      <c r="H431">
        <v>700</v>
      </c>
      <c r="I431">
        <v>13804</v>
      </c>
      <c r="J431">
        <v>5929</v>
      </c>
      <c r="K431">
        <v>7875</v>
      </c>
      <c r="R431" s="3"/>
      <c r="S431" s="4"/>
      <c r="T431" s="4"/>
    </row>
    <row r="432" spans="1:20" ht="13.8" x14ac:dyDescent="0.25">
      <c r="A432" t="s">
        <v>126</v>
      </c>
      <c r="B432" t="s">
        <v>11</v>
      </c>
      <c r="C432" t="s">
        <v>27</v>
      </c>
      <c r="D432" t="s">
        <v>135</v>
      </c>
      <c r="E432" s="3" t="s">
        <v>10</v>
      </c>
      <c r="F432" s="4">
        <v>43299</v>
      </c>
      <c r="G432" s="4" t="s">
        <v>107</v>
      </c>
      <c r="H432">
        <v>200</v>
      </c>
      <c r="I432">
        <v>4902</v>
      </c>
      <c r="J432">
        <v>2044</v>
      </c>
      <c r="K432">
        <v>2858</v>
      </c>
      <c r="R432" s="3"/>
      <c r="S432" s="4"/>
      <c r="T432" s="4"/>
    </row>
    <row r="433" spans="1:20" ht="13.8" x14ac:dyDescent="0.25">
      <c r="A433" t="s">
        <v>129</v>
      </c>
      <c r="B433" t="s">
        <v>13</v>
      </c>
      <c r="C433" t="s">
        <v>32</v>
      </c>
      <c r="D433" t="s">
        <v>139</v>
      </c>
      <c r="E433" s="3" t="s">
        <v>12</v>
      </c>
      <c r="F433" s="4">
        <v>43300</v>
      </c>
      <c r="G433" s="4" t="s">
        <v>101</v>
      </c>
      <c r="H433">
        <v>500</v>
      </c>
      <c r="I433">
        <v>11235</v>
      </c>
      <c r="J433">
        <v>4920</v>
      </c>
      <c r="K433">
        <v>6315</v>
      </c>
      <c r="R433" s="3"/>
      <c r="S433" s="4"/>
      <c r="T433" s="4"/>
    </row>
    <row r="434" spans="1:20" ht="13.8" x14ac:dyDescent="0.25">
      <c r="A434" t="s">
        <v>129</v>
      </c>
      <c r="B434" t="s">
        <v>9</v>
      </c>
      <c r="C434" t="s">
        <v>25</v>
      </c>
      <c r="D434" t="s">
        <v>142</v>
      </c>
      <c r="E434" s="3" t="s">
        <v>10</v>
      </c>
      <c r="F434" s="4">
        <v>43302</v>
      </c>
      <c r="G434" s="4" t="s">
        <v>118</v>
      </c>
      <c r="H434">
        <v>1000</v>
      </c>
      <c r="I434">
        <v>22840</v>
      </c>
      <c r="J434">
        <v>10220</v>
      </c>
      <c r="K434">
        <v>12620</v>
      </c>
      <c r="R434" s="3"/>
      <c r="S434" s="4"/>
      <c r="T434" s="4"/>
    </row>
    <row r="435" spans="1:20" ht="13.8" x14ac:dyDescent="0.25">
      <c r="A435" t="s">
        <v>16</v>
      </c>
      <c r="B435" t="s">
        <v>13</v>
      </c>
      <c r="C435" t="s">
        <v>30</v>
      </c>
      <c r="D435" t="s">
        <v>136</v>
      </c>
      <c r="E435" s="3" t="s">
        <v>15</v>
      </c>
      <c r="F435" s="4">
        <v>43303</v>
      </c>
      <c r="G435" s="4" t="s">
        <v>112</v>
      </c>
      <c r="H435">
        <v>200</v>
      </c>
      <c r="I435">
        <v>3390</v>
      </c>
      <c r="J435">
        <v>1694</v>
      </c>
      <c r="K435">
        <v>1696</v>
      </c>
      <c r="R435" s="3"/>
      <c r="S435" s="4"/>
      <c r="T435" s="4"/>
    </row>
    <row r="436" spans="1:20" ht="13.8" x14ac:dyDescent="0.25">
      <c r="A436" t="s">
        <v>130</v>
      </c>
      <c r="B436" t="s">
        <v>11</v>
      </c>
      <c r="C436" t="s">
        <v>27</v>
      </c>
      <c r="D436" t="s">
        <v>135</v>
      </c>
      <c r="E436" s="3" t="s">
        <v>12</v>
      </c>
      <c r="F436" s="4">
        <v>43304</v>
      </c>
      <c r="G436" s="4" t="s">
        <v>106</v>
      </c>
      <c r="H436">
        <v>300</v>
      </c>
      <c r="I436">
        <v>6228</v>
      </c>
      <c r="J436">
        <v>2952</v>
      </c>
      <c r="K436">
        <v>3276</v>
      </c>
      <c r="R436" s="3"/>
      <c r="S436" s="4"/>
      <c r="T436" s="4"/>
    </row>
    <row r="437" spans="1:20" ht="13.8" x14ac:dyDescent="0.25">
      <c r="A437" t="s">
        <v>126</v>
      </c>
      <c r="B437" t="s">
        <v>9</v>
      </c>
      <c r="C437" t="s">
        <v>24</v>
      </c>
      <c r="D437" t="s">
        <v>134</v>
      </c>
      <c r="E437" s="3" t="s">
        <v>12</v>
      </c>
      <c r="F437" s="4">
        <v>43307</v>
      </c>
      <c r="G437" s="4" t="s">
        <v>100</v>
      </c>
      <c r="H437">
        <v>600</v>
      </c>
      <c r="I437">
        <v>13332</v>
      </c>
      <c r="J437">
        <v>5904</v>
      </c>
      <c r="K437">
        <v>7428</v>
      </c>
      <c r="R437" s="3"/>
      <c r="S437" s="4"/>
      <c r="T437" s="4"/>
    </row>
    <row r="438" spans="1:20" ht="13.8" x14ac:dyDescent="0.25">
      <c r="A438" t="s">
        <v>129</v>
      </c>
      <c r="B438" t="s">
        <v>13</v>
      </c>
      <c r="C438" t="s">
        <v>32</v>
      </c>
      <c r="D438" t="s">
        <v>139</v>
      </c>
      <c r="E438" s="3" t="s">
        <v>12</v>
      </c>
      <c r="F438" s="4">
        <v>43308</v>
      </c>
      <c r="G438" s="4" t="s">
        <v>101</v>
      </c>
      <c r="H438">
        <v>200</v>
      </c>
      <c r="I438">
        <v>4132</v>
      </c>
      <c r="J438">
        <v>1968</v>
      </c>
      <c r="K438">
        <v>2164</v>
      </c>
      <c r="R438" s="3"/>
      <c r="S438" s="4"/>
      <c r="T438" s="4"/>
    </row>
    <row r="439" spans="1:20" ht="13.8" x14ac:dyDescent="0.25">
      <c r="A439" t="s">
        <v>16</v>
      </c>
      <c r="B439" t="s">
        <v>13</v>
      </c>
      <c r="C439" t="s">
        <v>30</v>
      </c>
      <c r="D439" t="s">
        <v>136</v>
      </c>
      <c r="E439" s="3" t="s">
        <v>10</v>
      </c>
      <c r="F439" s="4">
        <v>43309</v>
      </c>
      <c r="G439" s="4" t="s">
        <v>112</v>
      </c>
      <c r="H439">
        <v>200</v>
      </c>
      <c r="I439">
        <v>4722</v>
      </c>
      <c r="J439">
        <v>2044</v>
      </c>
      <c r="K439">
        <v>2678</v>
      </c>
      <c r="R439" s="3"/>
      <c r="S439" s="4"/>
      <c r="T439" s="4"/>
    </row>
    <row r="440" spans="1:20" ht="13.8" x14ac:dyDescent="0.25">
      <c r="A440" t="s">
        <v>130</v>
      </c>
      <c r="B440" t="s">
        <v>9</v>
      </c>
      <c r="C440" t="s">
        <v>24</v>
      </c>
      <c r="D440" t="s">
        <v>134</v>
      </c>
      <c r="E440" s="3" t="s">
        <v>12</v>
      </c>
      <c r="F440" s="4">
        <v>43310</v>
      </c>
      <c r="G440" s="4" t="s">
        <v>105</v>
      </c>
      <c r="H440">
        <v>700</v>
      </c>
      <c r="I440">
        <v>16170</v>
      </c>
      <c r="J440">
        <v>6888</v>
      </c>
      <c r="K440">
        <v>9282</v>
      </c>
      <c r="R440" s="3"/>
      <c r="S440" s="4"/>
      <c r="T440" s="4"/>
    </row>
    <row r="441" spans="1:20" ht="13.8" x14ac:dyDescent="0.25">
      <c r="A441" t="s">
        <v>130</v>
      </c>
      <c r="B441" t="s">
        <v>11</v>
      </c>
      <c r="C441" t="s">
        <v>27</v>
      </c>
      <c r="D441" t="s">
        <v>135</v>
      </c>
      <c r="E441" s="3" t="s">
        <v>12</v>
      </c>
      <c r="F441" s="4">
        <v>43311</v>
      </c>
      <c r="G441" s="4" t="s">
        <v>106</v>
      </c>
      <c r="H441">
        <v>300</v>
      </c>
      <c r="I441">
        <v>6159</v>
      </c>
      <c r="J441">
        <v>2952</v>
      </c>
      <c r="K441">
        <v>3207</v>
      </c>
      <c r="R441" s="3"/>
      <c r="S441" s="4"/>
      <c r="T441" s="4"/>
    </row>
    <row r="442" spans="1:20" ht="13.8" x14ac:dyDescent="0.25">
      <c r="A442" t="s">
        <v>126</v>
      </c>
      <c r="B442" t="s">
        <v>14</v>
      </c>
      <c r="C442" t="s">
        <v>31</v>
      </c>
      <c r="D442" t="s">
        <v>138</v>
      </c>
      <c r="E442" s="3" t="s">
        <v>15</v>
      </c>
      <c r="F442" s="4">
        <v>43311</v>
      </c>
      <c r="G442" s="4" t="s">
        <v>113</v>
      </c>
      <c r="H442">
        <v>1000</v>
      </c>
      <c r="I442">
        <v>18290</v>
      </c>
      <c r="J442">
        <v>8470</v>
      </c>
      <c r="K442">
        <v>9820</v>
      </c>
      <c r="R442" s="3"/>
      <c r="S442" s="4"/>
      <c r="T442" s="4"/>
    </row>
    <row r="443" spans="1:20" ht="13.8" x14ac:dyDescent="0.25">
      <c r="A443" t="s">
        <v>16</v>
      </c>
      <c r="B443" t="s">
        <v>13</v>
      </c>
      <c r="C443" t="s">
        <v>30</v>
      </c>
      <c r="D443" t="s">
        <v>136</v>
      </c>
      <c r="E443" s="3" t="s">
        <v>15</v>
      </c>
      <c r="F443" s="4">
        <v>43312</v>
      </c>
      <c r="G443" s="4" t="s">
        <v>112</v>
      </c>
      <c r="H443">
        <v>1000</v>
      </c>
      <c r="I443">
        <v>18500</v>
      </c>
      <c r="J443">
        <v>8470</v>
      </c>
      <c r="K443">
        <v>10030</v>
      </c>
      <c r="R443" s="3"/>
      <c r="S443" s="4"/>
      <c r="T443" s="4"/>
    </row>
    <row r="444" spans="1:20" ht="13.8" x14ac:dyDescent="0.25">
      <c r="A444" t="s">
        <v>16</v>
      </c>
      <c r="B444" t="s">
        <v>13</v>
      </c>
      <c r="C444" t="s">
        <v>30</v>
      </c>
      <c r="D444" t="s">
        <v>136</v>
      </c>
      <c r="E444" s="3" t="s">
        <v>10</v>
      </c>
      <c r="F444" s="4">
        <v>43315</v>
      </c>
      <c r="G444" s="4" t="s">
        <v>112</v>
      </c>
      <c r="H444">
        <v>900</v>
      </c>
      <c r="I444">
        <v>21159</v>
      </c>
      <c r="J444">
        <v>9198</v>
      </c>
      <c r="K444">
        <v>11961</v>
      </c>
      <c r="R444" s="3"/>
      <c r="S444" s="4"/>
      <c r="T444" s="4"/>
    </row>
    <row r="445" spans="1:20" ht="13.8" x14ac:dyDescent="0.25">
      <c r="A445" t="s">
        <v>126</v>
      </c>
      <c r="B445" t="s">
        <v>13</v>
      </c>
      <c r="C445" t="s">
        <v>28</v>
      </c>
      <c r="D445" t="s">
        <v>140</v>
      </c>
      <c r="E445" s="3" t="s">
        <v>15</v>
      </c>
      <c r="F445" s="4">
        <v>43316</v>
      </c>
      <c r="G445" s="4" t="s">
        <v>108</v>
      </c>
      <c r="H445">
        <v>800</v>
      </c>
      <c r="I445">
        <v>15488</v>
      </c>
      <c r="J445">
        <v>6776</v>
      </c>
      <c r="K445">
        <v>8712</v>
      </c>
      <c r="R445" s="3"/>
      <c r="S445" s="4"/>
      <c r="T445" s="4"/>
    </row>
    <row r="446" spans="1:20" ht="13.8" x14ac:dyDescent="0.25">
      <c r="A446" t="s">
        <v>126</v>
      </c>
      <c r="B446" t="s">
        <v>9</v>
      </c>
      <c r="C446" t="s">
        <v>24</v>
      </c>
      <c r="D446" t="s">
        <v>134</v>
      </c>
      <c r="E446" s="3" t="s">
        <v>10</v>
      </c>
      <c r="F446" s="4">
        <v>43316</v>
      </c>
      <c r="G446" s="4" t="s">
        <v>100</v>
      </c>
      <c r="H446">
        <v>100</v>
      </c>
      <c r="I446">
        <v>2547</v>
      </c>
      <c r="J446">
        <v>1022</v>
      </c>
      <c r="K446">
        <v>1525</v>
      </c>
      <c r="R446" s="3"/>
      <c r="S446" s="4"/>
      <c r="T446" s="4"/>
    </row>
    <row r="447" spans="1:20" ht="13.8" x14ac:dyDescent="0.25">
      <c r="A447" t="s">
        <v>129</v>
      </c>
      <c r="B447" t="s">
        <v>13</v>
      </c>
      <c r="C447" t="s">
        <v>32</v>
      </c>
      <c r="D447" t="s">
        <v>139</v>
      </c>
      <c r="E447" s="3" t="s">
        <v>15</v>
      </c>
      <c r="F447" s="4">
        <v>43317</v>
      </c>
      <c r="G447" s="4" t="s">
        <v>101</v>
      </c>
      <c r="H447">
        <v>200</v>
      </c>
      <c r="I447">
        <v>3418</v>
      </c>
      <c r="J447">
        <v>1694</v>
      </c>
      <c r="K447">
        <v>1724</v>
      </c>
      <c r="R447" s="3"/>
      <c r="S447" s="4"/>
      <c r="T447" s="4"/>
    </row>
    <row r="448" spans="1:20" ht="13.8" x14ac:dyDescent="0.25">
      <c r="A448" t="s">
        <v>130</v>
      </c>
      <c r="B448" t="s">
        <v>9</v>
      </c>
      <c r="C448" t="s">
        <v>24</v>
      </c>
      <c r="D448" t="s">
        <v>134</v>
      </c>
      <c r="E448" s="3" t="s">
        <v>15</v>
      </c>
      <c r="F448" s="4">
        <v>43318</v>
      </c>
      <c r="G448" s="4" t="s">
        <v>105</v>
      </c>
      <c r="H448">
        <v>1000</v>
      </c>
      <c r="I448">
        <v>19530</v>
      </c>
      <c r="J448">
        <v>8470</v>
      </c>
      <c r="K448">
        <v>11060</v>
      </c>
      <c r="R448" s="3"/>
      <c r="S448" s="4"/>
      <c r="T448" s="4"/>
    </row>
    <row r="449" spans="1:20" ht="13.8" x14ac:dyDescent="0.25">
      <c r="A449" t="s">
        <v>131</v>
      </c>
      <c r="B449" t="s">
        <v>14</v>
      </c>
      <c r="C449" t="s">
        <v>33</v>
      </c>
      <c r="D449" t="s">
        <v>145</v>
      </c>
      <c r="E449" s="3" t="s">
        <v>12</v>
      </c>
      <c r="F449" s="4">
        <v>43319</v>
      </c>
      <c r="G449" s="4" t="s">
        <v>124</v>
      </c>
      <c r="H449">
        <v>200</v>
      </c>
      <c r="I449">
        <v>4380</v>
      </c>
      <c r="J449">
        <v>1968</v>
      </c>
      <c r="K449">
        <v>2412</v>
      </c>
      <c r="R449" s="3"/>
      <c r="S449" s="4"/>
      <c r="T449" s="4"/>
    </row>
    <row r="450" spans="1:20" ht="13.8" x14ac:dyDescent="0.25">
      <c r="A450" t="s">
        <v>129</v>
      </c>
      <c r="B450" t="s">
        <v>13</v>
      </c>
      <c r="C450" t="s">
        <v>32</v>
      </c>
      <c r="D450" t="s">
        <v>139</v>
      </c>
      <c r="E450" s="3" t="s">
        <v>12</v>
      </c>
      <c r="F450" s="4">
        <v>43323</v>
      </c>
      <c r="G450" s="4" t="s">
        <v>101</v>
      </c>
      <c r="H450">
        <v>600</v>
      </c>
      <c r="I450">
        <v>13368</v>
      </c>
      <c r="J450">
        <v>5904</v>
      </c>
      <c r="K450">
        <v>7464</v>
      </c>
      <c r="R450" s="3"/>
      <c r="S450" s="4"/>
      <c r="T450" s="4"/>
    </row>
    <row r="451" spans="1:20" ht="13.8" x14ac:dyDescent="0.25">
      <c r="A451" t="s">
        <v>126</v>
      </c>
      <c r="B451" t="s">
        <v>9</v>
      </c>
      <c r="C451" t="s">
        <v>24</v>
      </c>
      <c r="D451" t="s">
        <v>134</v>
      </c>
      <c r="E451" s="3" t="s">
        <v>10</v>
      </c>
      <c r="F451" s="4">
        <v>43324</v>
      </c>
      <c r="G451" s="4" t="s">
        <v>100</v>
      </c>
      <c r="H451">
        <v>200</v>
      </c>
      <c r="I451">
        <v>4550</v>
      </c>
      <c r="J451">
        <v>2044</v>
      </c>
      <c r="K451">
        <v>2506</v>
      </c>
      <c r="R451" s="3"/>
      <c r="S451" s="4"/>
      <c r="T451" s="4"/>
    </row>
    <row r="452" spans="1:20" ht="13.8" x14ac:dyDescent="0.25">
      <c r="A452" t="s">
        <v>126</v>
      </c>
      <c r="B452" t="s">
        <v>13</v>
      </c>
      <c r="C452" t="s">
        <v>28</v>
      </c>
      <c r="D452" t="s">
        <v>140</v>
      </c>
      <c r="E452" s="3" t="s">
        <v>12</v>
      </c>
      <c r="F452" s="4">
        <v>43326</v>
      </c>
      <c r="G452" s="4" t="s">
        <v>108</v>
      </c>
      <c r="H452">
        <v>300</v>
      </c>
      <c r="I452">
        <v>6522</v>
      </c>
      <c r="J452">
        <v>2952</v>
      </c>
      <c r="K452">
        <v>3570</v>
      </c>
      <c r="R452" s="3"/>
      <c r="S452" s="4"/>
      <c r="T452" s="4"/>
    </row>
    <row r="453" spans="1:20" ht="13.8" x14ac:dyDescent="0.25">
      <c r="A453" t="s">
        <v>127</v>
      </c>
      <c r="B453" t="s">
        <v>13</v>
      </c>
      <c r="C453" t="s">
        <v>30</v>
      </c>
      <c r="D453" t="s">
        <v>136</v>
      </c>
      <c r="E453" s="3" t="s">
        <v>12</v>
      </c>
      <c r="F453" s="4">
        <v>43328</v>
      </c>
      <c r="G453" s="4" t="s">
        <v>102</v>
      </c>
      <c r="H453">
        <v>200</v>
      </c>
      <c r="I453">
        <v>4270</v>
      </c>
      <c r="J453">
        <v>1968</v>
      </c>
      <c r="K453">
        <v>2302</v>
      </c>
      <c r="R453" s="3"/>
      <c r="S453" s="4"/>
      <c r="T453" s="4"/>
    </row>
    <row r="454" spans="1:20" ht="13.8" x14ac:dyDescent="0.25">
      <c r="A454" t="s">
        <v>131</v>
      </c>
      <c r="B454" t="s">
        <v>13</v>
      </c>
      <c r="C454" t="s">
        <v>29</v>
      </c>
      <c r="D454" t="s">
        <v>143</v>
      </c>
      <c r="E454" s="3" t="s">
        <v>12</v>
      </c>
      <c r="F454" s="4">
        <v>43328</v>
      </c>
      <c r="G454" s="4" t="s">
        <v>115</v>
      </c>
      <c r="H454">
        <v>700</v>
      </c>
      <c r="I454">
        <v>17213</v>
      </c>
      <c r="J454">
        <v>6888</v>
      </c>
      <c r="K454">
        <v>10325</v>
      </c>
      <c r="R454" s="3"/>
      <c r="S454" s="4"/>
      <c r="T454" s="4"/>
    </row>
    <row r="455" spans="1:20" ht="13.8" x14ac:dyDescent="0.25">
      <c r="A455" t="s">
        <v>16</v>
      </c>
      <c r="B455" t="s">
        <v>13</v>
      </c>
      <c r="C455" t="s">
        <v>30</v>
      </c>
      <c r="D455" t="s">
        <v>136</v>
      </c>
      <c r="E455" s="3" t="s">
        <v>12</v>
      </c>
      <c r="F455" s="4">
        <v>43330</v>
      </c>
      <c r="G455" s="4" t="s">
        <v>112</v>
      </c>
      <c r="H455">
        <v>800</v>
      </c>
      <c r="I455">
        <v>16232</v>
      </c>
      <c r="J455">
        <v>7872</v>
      </c>
      <c r="K455">
        <v>8360</v>
      </c>
      <c r="R455" s="3"/>
      <c r="S455" s="4"/>
      <c r="T455" s="4"/>
    </row>
    <row r="456" spans="1:20" ht="13.8" x14ac:dyDescent="0.25">
      <c r="A456" t="s">
        <v>126</v>
      </c>
      <c r="B456" t="s">
        <v>9</v>
      </c>
      <c r="C456" t="s">
        <v>24</v>
      </c>
      <c r="D456" t="s">
        <v>134</v>
      </c>
      <c r="E456" s="3" t="s">
        <v>10</v>
      </c>
      <c r="F456" s="4">
        <v>43331</v>
      </c>
      <c r="G456" s="4" t="s">
        <v>100</v>
      </c>
      <c r="H456">
        <v>500</v>
      </c>
      <c r="I456">
        <v>12755</v>
      </c>
      <c r="J456">
        <v>5110</v>
      </c>
      <c r="K456">
        <v>7645</v>
      </c>
      <c r="R456" s="3"/>
      <c r="S456" s="4"/>
      <c r="T456" s="4"/>
    </row>
    <row r="457" spans="1:20" ht="13.8" x14ac:dyDescent="0.25">
      <c r="A457" t="s">
        <v>130</v>
      </c>
      <c r="B457" t="s">
        <v>9</v>
      </c>
      <c r="C457" t="s">
        <v>24</v>
      </c>
      <c r="D457" t="s">
        <v>134</v>
      </c>
      <c r="E457" s="3" t="s">
        <v>12</v>
      </c>
      <c r="F457" s="4">
        <v>43332</v>
      </c>
      <c r="G457" s="4" t="s">
        <v>105</v>
      </c>
      <c r="H457">
        <v>200</v>
      </c>
      <c r="I457">
        <v>4470</v>
      </c>
      <c r="J457">
        <v>1968</v>
      </c>
      <c r="K457">
        <v>2502</v>
      </c>
      <c r="R457" s="3"/>
      <c r="S457" s="4"/>
      <c r="T457" s="4"/>
    </row>
    <row r="458" spans="1:20" ht="13.8" x14ac:dyDescent="0.25">
      <c r="A458" t="s">
        <v>126</v>
      </c>
      <c r="B458" t="s">
        <v>9</v>
      </c>
      <c r="C458" t="s">
        <v>24</v>
      </c>
      <c r="D458" t="s">
        <v>134</v>
      </c>
      <c r="E458" s="3" t="s">
        <v>15</v>
      </c>
      <c r="F458" s="4">
        <v>43333</v>
      </c>
      <c r="G458" s="4" t="s">
        <v>100</v>
      </c>
      <c r="H458">
        <v>300</v>
      </c>
      <c r="I458">
        <v>6156</v>
      </c>
      <c r="J458">
        <v>2541</v>
      </c>
      <c r="K458">
        <v>3615</v>
      </c>
      <c r="R458" s="3"/>
      <c r="S458" s="4"/>
      <c r="T458" s="4"/>
    </row>
    <row r="459" spans="1:20" ht="13.8" x14ac:dyDescent="0.25">
      <c r="A459" t="s">
        <v>126</v>
      </c>
      <c r="B459" t="s">
        <v>11</v>
      </c>
      <c r="C459" t="s">
        <v>27</v>
      </c>
      <c r="D459" t="s">
        <v>135</v>
      </c>
      <c r="E459" s="3" t="s">
        <v>15</v>
      </c>
      <c r="F459" s="4">
        <v>43334</v>
      </c>
      <c r="G459" s="4" t="s">
        <v>128</v>
      </c>
      <c r="H459">
        <v>800</v>
      </c>
      <c r="I459">
        <v>15544</v>
      </c>
      <c r="J459">
        <v>6776</v>
      </c>
      <c r="K459">
        <v>8768</v>
      </c>
      <c r="R459" s="3"/>
      <c r="S459" s="4"/>
      <c r="T459" s="4"/>
    </row>
    <row r="460" spans="1:20" ht="13.8" x14ac:dyDescent="0.25">
      <c r="A460" t="s">
        <v>126</v>
      </c>
      <c r="B460" t="s">
        <v>9</v>
      </c>
      <c r="C460" t="s">
        <v>24</v>
      </c>
      <c r="D460" t="s">
        <v>134</v>
      </c>
      <c r="E460" s="3" t="s">
        <v>12</v>
      </c>
      <c r="F460" s="4">
        <v>43336</v>
      </c>
      <c r="G460" s="4" t="s">
        <v>100</v>
      </c>
      <c r="H460">
        <v>100</v>
      </c>
      <c r="I460">
        <v>2409</v>
      </c>
      <c r="J460">
        <v>984</v>
      </c>
      <c r="K460">
        <v>1425</v>
      </c>
      <c r="R460" s="3"/>
      <c r="S460" s="4"/>
      <c r="T460" s="4"/>
    </row>
    <row r="461" spans="1:20" ht="13.8" x14ac:dyDescent="0.25">
      <c r="A461" t="s">
        <v>131</v>
      </c>
      <c r="B461" t="s">
        <v>13</v>
      </c>
      <c r="C461" t="s">
        <v>29</v>
      </c>
      <c r="D461" t="s">
        <v>143</v>
      </c>
      <c r="E461" s="3" t="s">
        <v>10</v>
      </c>
      <c r="F461" s="4">
        <v>43337</v>
      </c>
      <c r="G461" s="4" t="s">
        <v>115</v>
      </c>
      <c r="H461">
        <v>600</v>
      </c>
      <c r="I461">
        <v>12570</v>
      </c>
      <c r="J461">
        <v>6132</v>
      </c>
      <c r="K461">
        <v>6438</v>
      </c>
      <c r="R461" s="3"/>
      <c r="S461" s="4"/>
      <c r="T461" s="4"/>
    </row>
    <row r="462" spans="1:20" ht="13.8" x14ac:dyDescent="0.25">
      <c r="A462" t="s">
        <v>126</v>
      </c>
      <c r="B462" t="s">
        <v>11</v>
      </c>
      <c r="C462" t="s">
        <v>27</v>
      </c>
      <c r="D462" t="s">
        <v>135</v>
      </c>
      <c r="E462" s="3" t="s">
        <v>10</v>
      </c>
      <c r="F462" s="4">
        <v>43337</v>
      </c>
      <c r="G462" s="4" t="s">
        <v>107</v>
      </c>
      <c r="H462">
        <v>300</v>
      </c>
      <c r="I462">
        <v>6438</v>
      </c>
      <c r="J462">
        <v>3066</v>
      </c>
      <c r="K462">
        <v>3372</v>
      </c>
      <c r="R462" s="3"/>
      <c r="S462" s="4"/>
      <c r="T462" s="4"/>
    </row>
    <row r="463" spans="1:20" ht="13.8" x14ac:dyDescent="0.25">
      <c r="A463" t="s">
        <v>126</v>
      </c>
      <c r="B463" t="s">
        <v>9</v>
      </c>
      <c r="C463" t="s">
        <v>24</v>
      </c>
      <c r="D463" t="s">
        <v>134</v>
      </c>
      <c r="E463" s="3" t="s">
        <v>10</v>
      </c>
      <c r="F463" s="4">
        <v>43338</v>
      </c>
      <c r="G463" s="4" t="s">
        <v>100</v>
      </c>
      <c r="H463">
        <v>900</v>
      </c>
      <c r="I463">
        <v>19593</v>
      </c>
      <c r="J463">
        <v>9198</v>
      </c>
      <c r="K463">
        <v>10395</v>
      </c>
      <c r="R463" s="3"/>
      <c r="S463" s="4"/>
      <c r="T463" s="4"/>
    </row>
    <row r="464" spans="1:20" ht="13.8" x14ac:dyDescent="0.25">
      <c r="A464" t="s">
        <v>130</v>
      </c>
      <c r="B464" t="s">
        <v>11</v>
      </c>
      <c r="C464" t="s">
        <v>27</v>
      </c>
      <c r="D464" t="s">
        <v>135</v>
      </c>
      <c r="E464" s="3" t="s">
        <v>15</v>
      </c>
      <c r="F464" s="4">
        <v>43339</v>
      </c>
      <c r="G464" s="4" t="s">
        <v>106</v>
      </c>
      <c r="H464">
        <v>900</v>
      </c>
      <c r="I464">
        <v>18981</v>
      </c>
      <c r="J464">
        <v>7623</v>
      </c>
      <c r="K464">
        <v>11358</v>
      </c>
      <c r="R464" s="3"/>
      <c r="S464" s="4"/>
      <c r="T464" s="4"/>
    </row>
    <row r="465" spans="1:20" ht="13.8" x14ac:dyDescent="0.25">
      <c r="A465" t="s">
        <v>16</v>
      </c>
      <c r="B465" t="s">
        <v>13</v>
      </c>
      <c r="C465" t="s">
        <v>30</v>
      </c>
      <c r="D465" t="s">
        <v>136</v>
      </c>
      <c r="E465" s="3" t="s">
        <v>10</v>
      </c>
      <c r="F465" s="4">
        <v>43340</v>
      </c>
      <c r="G465" s="4" t="s">
        <v>112</v>
      </c>
      <c r="H465">
        <v>800</v>
      </c>
      <c r="I465">
        <v>17160</v>
      </c>
      <c r="J465">
        <v>8176</v>
      </c>
      <c r="K465">
        <v>8984</v>
      </c>
      <c r="R465" s="3"/>
      <c r="S465" s="4"/>
      <c r="T465" s="4"/>
    </row>
    <row r="466" spans="1:20" ht="13.8" x14ac:dyDescent="0.25">
      <c r="A466" t="s">
        <v>126</v>
      </c>
      <c r="B466" t="s">
        <v>11</v>
      </c>
      <c r="C466" t="s">
        <v>27</v>
      </c>
      <c r="D466" t="s">
        <v>135</v>
      </c>
      <c r="E466" s="3" t="s">
        <v>15</v>
      </c>
      <c r="F466" s="4">
        <v>43340</v>
      </c>
      <c r="G466" s="4" t="s">
        <v>107</v>
      </c>
      <c r="H466">
        <v>100</v>
      </c>
      <c r="I466">
        <v>2028</v>
      </c>
      <c r="J466">
        <v>847</v>
      </c>
      <c r="K466">
        <v>1181</v>
      </c>
      <c r="R466" s="3"/>
      <c r="S466" s="4"/>
      <c r="T466" s="4"/>
    </row>
    <row r="467" spans="1:20" ht="13.8" x14ac:dyDescent="0.25">
      <c r="A467" t="s">
        <v>129</v>
      </c>
      <c r="B467" t="s">
        <v>13</v>
      </c>
      <c r="C467" t="s">
        <v>32</v>
      </c>
      <c r="D467" t="s">
        <v>139</v>
      </c>
      <c r="E467" s="3" t="s">
        <v>15</v>
      </c>
      <c r="F467" s="4">
        <v>43340</v>
      </c>
      <c r="G467" s="4" t="s">
        <v>101</v>
      </c>
      <c r="H467">
        <v>300</v>
      </c>
      <c r="I467">
        <v>5859</v>
      </c>
      <c r="J467">
        <v>2541</v>
      </c>
      <c r="K467">
        <v>3318</v>
      </c>
      <c r="R467" s="3"/>
      <c r="S467" s="4"/>
      <c r="T467" s="4"/>
    </row>
    <row r="468" spans="1:20" ht="13.8" x14ac:dyDescent="0.25">
      <c r="A468" t="s">
        <v>129</v>
      </c>
      <c r="B468" t="s">
        <v>13</v>
      </c>
      <c r="C468" t="s">
        <v>30</v>
      </c>
      <c r="D468" t="s">
        <v>136</v>
      </c>
      <c r="E468" s="3" t="s">
        <v>15</v>
      </c>
      <c r="F468" s="4">
        <v>43341</v>
      </c>
      <c r="G468" s="4" t="s">
        <v>117</v>
      </c>
      <c r="H468">
        <v>300</v>
      </c>
      <c r="I468">
        <v>5532</v>
      </c>
      <c r="J468">
        <v>2541</v>
      </c>
      <c r="K468">
        <v>2991</v>
      </c>
      <c r="R468" s="3"/>
      <c r="S468" s="4"/>
      <c r="T468" s="4"/>
    </row>
    <row r="469" spans="1:20" ht="13.8" x14ac:dyDescent="0.25">
      <c r="A469" t="s">
        <v>126</v>
      </c>
      <c r="B469" t="s">
        <v>9</v>
      </c>
      <c r="C469" t="s">
        <v>24</v>
      </c>
      <c r="D469" t="s">
        <v>134</v>
      </c>
      <c r="E469" s="3" t="s">
        <v>10</v>
      </c>
      <c r="F469" s="4">
        <v>43342</v>
      </c>
      <c r="G469" s="4" t="s">
        <v>100</v>
      </c>
      <c r="H469">
        <v>500</v>
      </c>
      <c r="I469">
        <v>12575</v>
      </c>
      <c r="J469">
        <v>5110</v>
      </c>
      <c r="K469">
        <v>7465</v>
      </c>
      <c r="R469" s="3"/>
      <c r="S469" s="4"/>
      <c r="T469" s="4"/>
    </row>
    <row r="470" spans="1:20" ht="13.8" x14ac:dyDescent="0.25">
      <c r="A470" t="s">
        <v>126</v>
      </c>
      <c r="B470" t="s">
        <v>11</v>
      </c>
      <c r="C470" t="s">
        <v>27</v>
      </c>
      <c r="D470" t="s">
        <v>135</v>
      </c>
      <c r="E470" s="3" t="s">
        <v>15</v>
      </c>
      <c r="F470" s="4">
        <v>43344</v>
      </c>
      <c r="G470" s="4" t="s">
        <v>109</v>
      </c>
      <c r="H470">
        <v>800</v>
      </c>
      <c r="I470">
        <v>16144</v>
      </c>
      <c r="J470">
        <v>6776</v>
      </c>
      <c r="K470">
        <v>9368</v>
      </c>
      <c r="R470" s="3"/>
      <c r="S470" s="4"/>
      <c r="T470" s="4"/>
    </row>
    <row r="471" spans="1:20" ht="13.8" x14ac:dyDescent="0.25">
      <c r="A471" t="s">
        <v>130</v>
      </c>
      <c r="B471" t="s">
        <v>9</v>
      </c>
      <c r="C471" t="s">
        <v>24</v>
      </c>
      <c r="D471" t="s">
        <v>134</v>
      </c>
      <c r="E471" s="3" t="s">
        <v>12</v>
      </c>
      <c r="F471" s="4">
        <v>43346</v>
      </c>
      <c r="G471" s="4" t="s">
        <v>105</v>
      </c>
      <c r="H471">
        <v>900</v>
      </c>
      <c r="I471">
        <v>18486</v>
      </c>
      <c r="J471">
        <v>8856</v>
      </c>
      <c r="K471">
        <v>9630</v>
      </c>
      <c r="R471" s="3"/>
      <c r="S471" s="4"/>
      <c r="T471" s="4"/>
    </row>
    <row r="472" spans="1:20" ht="13.8" x14ac:dyDescent="0.25">
      <c r="A472" t="s">
        <v>16</v>
      </c>
      <c r="B472" t="s">
        <v>13</v>
      </c>
      <c r="C472" t="s">
        <v>30</v>
      </c>
      <c r="D472" t="s">
        <v>136</v>
      </c>
      <c r="E472" s="3" t="s">
        <v>15</v>
      </c>
      <c r="F472" s="4">
        <v>43348</v>
      </c>
      <c r="G472" s="4" t="s">
        <v>112</v>
      </c>
      <c r="H472">
        <v>900</v>
      </c>
      <c r="I472">
        <v>17289</v>
      </c>
      <c r="J472">
        <v>7623</v>
      </c>
      <c r="K472">
        <v>9666</v>
      </c>
      <c r="R472" s="3"/>
      <c r="S472" s="4"/>
      <c r="T472" s="4"/>
    </row>
    <row r="473" spans="1:20" ht="13.8" x14ac:dyDescent="0.25">
      <c r="A473" t="s">
        <v>130</v>
      </c>
      <c r="B473" t="s">
        <v>9</v>
      </c>
      <c r="C473" t="s">
        <v>24</v>
      </c>
      <c r="D473" t="s">
        <v>134</v>
      </c>
      <c r="E473" s="3" t="s">
        <v>12</v>
      </c>
      <c r="F473" s="4">
        <v>43348</v>
      </c>
      <c r="G473" s="4" t="s">
        <v>105</v>
      </c>
      <c r="H473">
        <v>100</v>
      </c>
      <c r="I473">
        <v>2106</v>
      </c>
      <c r="J473">
        <v>984</v>
      </c>
      <c r="K473">
        <v>1122</v>
      </c>
      <c r="R473" s="3"/>
      <c r="S473" s="4"/>
      <c r="T473" s="4"/>
    </row>
    <row r="474" spans="1:20" ht="13.8" x14ac:dyDescent="0.25">
      <c r="A474" t="s">
        <v>131</v>
      </c>
      <c r="B474" t="s">
        <v>13</v>
      </c>
      <c r="C474" t="s">
        <v>28</v>
      </c>
      <c r="D474" t="s">
        <v>140</v>
      </c>
      <c r="E474" s="3" t="s">
        <v>12</v>
      </c>
      <c r="F474" s="4">
        <v>43352</v>
      </c>
      <c r="G474" s="4" t="s">
        <v>122</v>
      </c>
      <c r="H474">
        <v>100</v>
      </c>
      <c r="I474">
        <v>2029</v>
      </c>
      <c r="J474">
        <v>984</v>
      </c>
      <c r="K474">
        <v>1045</v>
      </c>
      <c r="R474" s="3"/>
      <c r="S474" s="4"/>
      <c r="T474" s="4"/>
    </row>
    <row r="475" spans="1:20" ht="13.8" x14ac:dyDescent="0.25">
      <c r="A475" t="s">
        <v>130</v>
      </c>
      <c r="B475" t="s">
        <v>11</v>
      </c>
      <c r="C475" t="s">
        <v>27</v>
      </c>
      <c r="D475" t="s">
        <v>135</v>
      </c>
      <c r="E475" s="3" t="s">
        <v>10</v>
      </c>
      <c r="F475" s="4">
        <v>43353</v>
      </c>
      <c r="G475" s="4" t="s">
        <v>106</v>
      </c>
      <c r="H475">
        <v>600</v>
      </c>
      <c r="I475">
        <v>12936</v>
      </c>
      <c r="J475">
        <v>6132</v>
      </c>
      <c r="K475">
        <v>6804</v>
      </c>
      <c r="R475" s="3"/>
      <c r="S475" s="4"/>
      <c r="T475" s="4"/>
    </row>
    <row r="476" spans="1:20" ht="13.8" x14ac:dyDescent="0.25">
      <c r="A476" t="s">
        <v>129</v>
      </c>
      <c r="B476" t="s">
        <v>14</v>
      </c>
      <c r="C476" t="s">
        <v>31</v>
      </c>
      <c r="D476" t="s">
        <v>138</v>
      </c>
      <c r="E476" s="3" t="s">
        <v>12</v>
      </c>
      <c r="F476" s="4">
        <v>43353</v>
      </c>
      <c r="G476" s="4" t="s">
        <v>119</v>
      </c>
      <c r="H476">
        <v>500</v>
      </c>
      <c r="I476">
        <v>11550</v>
      </c>
      <c r="J476">
        <v>4920</v>
      </c>
      <c r="K476">
        <v>6630</v>
      </c>
      <c r="R476" s="3"/>
      <c r="S476" s="4"/>
      <c r="T476" s="4"/>
    </row>
    <row r="477" spans="1:20" ht="13.8" x14ac:dyDescent="0.25">
      <c r="A477" t="s">
        <v>131</v>
      </c>
      <c r="B477" t="s">
        <v>13</v>
      </c>
      <c r="C477" t="s">
        <v>29</v>
      </c>
      <c r="D477" t="s">
        <v>143</v>
      </c>
      <c r="E477" s="3" t="s">
        <v>12</v>
      </c>
      <c r="F477" s="4">
        <v>43355</v>
      </c>
      <c r="G477" s="4" t="s">
        <v>115</v>
      </c>
      <c r="H477">
        <v>600</v>
      </c>
      <c r="I477">
        <v>14580</v>
      </c>
      <c r="J477">
        <v>5904</v>
      </c>
      <c r="K477">
        <v>8676</v>
      </c>
      <c r="R477" s="3"/>
      <c r="S477" s="4"/>
      <c r="T477" s="4"/>
    </row>
    <row r="478" spans="1:20" ht="13.8" x14ac:dyDescent="0.25">
      <c r="A478" t="s">
        <v>126</v>
      </c>
      <c r="B478" t="s">
        <v>11</v>
      </c>
      <c r="C478" t="s">
        <v>27</v>
      </c>
      <c r="D478" t="s">
        <v>135</v>
      </c>
      <c r="E478" s="3" t="s">
        <v>10</v>
      </c>
      <c r="F478" s="4">
        <v>43357</v>
      </c>
      <c r="G478" s="4" t="s">
        <v>109</v>
      </c>
      <c r="H478">
        <v>100</v>
      </c>
      <c r="I478">
        <v>2058</v>
      </c>
      <c r="J478">
        <v>1022</v>
      </c>
      <c r="K478">
        <v>1036</v>
      </c>
      <c r="R478" s="3"/>
      <c r="S478" s="4"/>
      <c r="T478" s="4"/>
    </row>
    <row r="479" spans="1:20" ht="13.8" x14ac:dyDescent="0.25">
      <c r="A479" t="s">
        <v>126</v>
      </c>
      <c r="B479" t="s">
        <v>9</v>
      </c>
      <c r="C479" t="s">
        <v>24</v>
      </c>
      <c r="D479" t="s">
        <v>134</v>
      </c>
      <c r="E479" s="3" t="s">
        <v>12</v>
      </c>
      <c r="F479" s="4">
        <v>43357</v>
      </c>
      <c r="G479" s="4" t="s">
        <v>100</v>
      </c>
      <c r="H479">
        <v>600</v>
      </c>
      <c r="I479">
        <v>13566</v>
      </c>
      <c r="J479">
        <v>5904</v>
      </c>
      <c r="K479">
        <v>7662</v>
      </c>
      <c r="R479" s="3"/>
      <c r="S479" s="4"/>
      <c r="T479" s="4"/>
    </row>
    <row r="480" spans="1:20" ht="13.8" x14ac:dyDescent="0.25">
      <c r="A480" t="s">
        <v>126</v>
      </c>
      <c r="B480" t="s">
        <v>11</v>
      </c>
      <c r="C480" t="s">
        <v>27</v>
      </c>
      <c r="D480" t="s">
        <v>135</v>
      </c>
      <c r="E480" s="3" t="s">
        <v>15</v>
      </c>
      <c r="F480" s="4">
        <v>43360</v>
      </c>
      <c r="G480" s="4" t="s">
        <v>128</v>
      </c>
      <c r="H480">
        <v>100</v>
      </c>
      <c r="I480">
        <v>1741</v>
      </c>
      <c r="J480">
        <v>847</v>
      </c>
      <c r="K480">
        <v>894</v>
      </c>
      <c r="R480" s="3"/>
      <c r="S480" s="4"/>
      <c r="T480" s="4"/>
    </row>
    <row r="481" spans="1:20" ht="13.8" x14ac:dyDescent="0.25">
      <c r="A481" t="s">
        <v>16</v>
      </c>
      <c r="B481" t="s">
        <v>13</v>
      </c>
      <c r="C481" t="s">
        <v>30</v>
      </c>
      <c r="D481" t="s">
        <v>136</v>
      </c>
      <c r="E481" s="3" t="s">
        <v>10</v>
      </c>
      <c r="F481" s="4">
        <v>43361</v>
      </c>
      <c r="G481" s="4" t="s">
        <v>112</v>
      </c>
      <c r="H481">
        <v>200</v>
      </c>
      <c r="I481">
        <v>5002</v>
      </c>
      <c r="J481">
        <v>2044</v>
      </c>
      <c r="K481">
        <v>2958</v>
      </c>
      <c r="R481" s="3"/>
      <c r="S481" s="4"/>
      <c r="T481" s="4"/>
    </row>
    <row r="482" spans="1:20" ht="13.8" x14ac:dyDescent="0.25">
      <c r="A482" t="s">
        <v>126</v>
      </c>
      <c r="B482" t="s">
        <v>13</v>
      </c>
      <c r="C482" t="s">
        <v>28</v>
      </c>
      <c r="D482" t="s">
        <v>140</v>
      </c>
      <c r="E482" s="3" t="s">
        <v>15</v>
      </c>
      <c r="F482" s="4">
        <v>43362</v>
      </c>
      <c r="G482" s="4" t="s">
        <v>108</v>
      </c>
      <c r="H482">
        <v>100</v>
      </c>
      <c r="I482">
        <v>1795</v>
      </c>
      <c r="J482">
        <v>847</v>
      </c>
      <c r="K482">
        <v>948</v>
      </c>
      <c r="R482" s="3"/>
      <c r="S482" s="4"/>
      <c r="T482" s="4"/>
    </row>
    <row r="483" spans="1:20" ht="13.8" x14ac:dyDescent="0.25">
      <c r="A483" t="s">
        <v>126</v>
      </c>
      <c r="B483" t="s">
        <v>11</v>
      </c>
      <c r="C483" t="s">
        <v>27</v>
      </c>
      <c r="D483" t="s">
        <v>135</v>
      </c>
      <c r="E483" s="3" t="s">
        <v>12</v>
      </c>
      <c r="F483" s="4">
        <v>43365</v>
      </c>
      <c r="G483" s="4" t="s">
        <v>107</v>
      </c>
      <c r="H483">
        <v>400</v>
      </c>
      <c r="I483">
        <v>8592</v>
      </c>
      <c r="J483">
        <v>3936</v>
      </c>
      <c r="K483">
        <v>4656</v>
      </c>
      <c r="R483" s="3"/>
      <c r="S483" s="4"/>
      <c r="T483" s="4"/>
    </row>
    <row r="484" spans="1:20" ht="13.8" x14ac:dyDescent="0.25">
      <c r="A484" t="s">
        <v>126</v>
      </c>
      <c r="B484" t="s">
        <v>13</v>
      </c>
      <c r="C484" t="s">
        <v>28</v>
      </c>
      <c r="D484" t="s">
        <v>140</v>
      </c>
      <c r="E484" s="3" t="s">
        <v>12</v>
      </c>
      <c r="F484" s="4">
        <v>43368</v>
      </c>
      <c r="G484" s="4" t="s">
        <v>108</v>
      </c>
      <c r="H484">
        <v>600</v>
      </c>
      <c r="I484">
        <v>12690</v>
      </c>
      <c r="J484">
        <v>5904</v>
      </c>
      <c r="K484">
        <v>6786</v>
      </c>
      <c r="R484" s="3"/>
      <c r="S484" s="4"/>
      <c r="T484" s="4"/>
    </row>
    <row r="485" spans="1:20" ht="13.8" x14ac:dyDescent="0.25">
      <c r="A485" t="s">
        <v>126</v>
      </c>
      <c r="B485" t="s">
        <v>11</v>
      </c>
      <c r="C485" t="s">
        <v>27</v>
      </c>
      <c r="D485" t="s">
        <v>135</v>
      </c>
      <c r="E485" s="3" t="s">
        <v>12</v>
      </c>
      <c r="F485" s="4">
        <v>43368</v>
      </c>
      <c r="G485" s="4" t="s">
        <v>107</v>
      </c>
      <c r="H485">
        <v>300</v>
      </c>
      <c r="I485">
        <v>6582</v>
      </c>
      <c r="J485">
        <v>2952</v>
      </c>
      <c r="K485">
        <v>3630</v>
      </c>
      <c r="R485" s="3"/>
      <c r="S485" s="4"/>
      <c r="T485" s="4"/>
    </row>
    <row r="486" spans="1:20" ht="13.8" x14ac:dyDescent="0.25">
      <c r="A486" t="s">
        <v>126</v>
      </c>
      <c r="B486" t="s">
        <v>11</v>
      </c>
      <c r="C486" t="s">
        <v>27</v>
      </c>
      <c r="D486" t="s">
        <v>135</v>
      </c>
      <c r="E486" s="3" t="s">
        <v>12</v>
      </c>
      <c r="F486" s="4">
        <v>43369</v>
      </c>
      <c r="G486" s="4" t="s">
        <v>128</v>
      </c>
      <c r="H486">
        <v>400</v>
      </c>
      <c r="I486">
        <v>9672</v>
      </c>
      <c r="J486">
        <v>3936</v>
      </c>
      <c r="K486">
        <v>5736</v>
      </c>
      <c r="R486" s="3"/>
      <c r="S486" s="4"/>
      <c r="T486" s="4"/>
    </row>
    <row r="487" spans="1:20" ht="13.8" x14ac:dyDescent="0.25">
      <c r="A487" t="s">
        <v>126</v>
      </c>
      <c r="B487" t="s">
        <v>11</v>
      </c>
      <c r="C487" t="s">
        <v>27</v>
      </c>
      <c r="D487" t="s">
        <v>135</v>
      </c>
      <c r="E487" s="3" t="s">
        <v>10</v>
      </c>
      <c r="F487" s="4">
        <v>43369</v>
      </c>
      <c r="G487" s="4" t="s">
        <v>128</v>
      </c>
      <c r="H487">
        <v>900</v>
      </c>
      <c r="I487">
        <v>22014</v>
      </c>
      <c r="J487">
        <v>9198</v>
      </c>
      <c r="K487">
        <v>12816</v>
      </c>
      <c r="R487" s="3"/>
      <c r="S487" s="4"/>
      <c r="T487" s="4"/>
    </row>
    <row r="488" spans="1:20" ht="13.8" x14ac:dyDescent="0.25">
      <c r="A488" t="s">
        <v>16</v>
      </c>
      <c r="B488" t="s">
        <v>13</v>
      </c>
      <c r="C488" t="s">
        <v>30</v>
      </c>
      <c r="D488" t="s">
        <v>136</v>
      </c>
      <c r="E488" s="3" t="s">
        <v>15</v>
      </c>
      <c r="F488" s="4">
        <v>43370</v>
      </c>
      <c r="G488" s="4" t="s">
        <v>112</v>
      </c>
      <c r="H488">
        <v>1000</v>
      </c>
      <c r="I488">
        <v>18530</v>
      </c>
      <c r="J488">
        <v>8470</v>
      </c>
      <c r="K488">
        <v>10060</v>
      </c>
      <c r="R488" s="3"/>
      <c r="S488" s="4"/>
      <c r="T488" s="4"/>
    </row>
    <row r="489" spans="1:20" ht="13.8" x14ac:dyDescent="0.25">
      <c r="A489" t="s">
        <v>129</v>
      </c>
      <c r="B489" t="s">
        <v>13</v>
      </c>
      <c r="C489" t="s">
        <v>32</v>
      </c>
      <c r="D489" t="s">
        <v>139</v>
      </c>
      <c r="E489" s="3" t="s">
        <v>12</v>
      </c>
      <c r="F489" s="4">
        <v>43370</v>
      </c>
      <c r="G489" s="4" t="s">
        <v>101</v>
      </c>
      <c r="H489">
        <v>600</v>
      </c>
      <c r="I489">
        <v>14004</v>
      </c>
      <c r="J489">
        <v>5904</v>
      </c>
      <c r="K489">
        <v>8100</v>
      </c>
      <c r="R489" s="3"/>
      <c r="S489" s="4"/>
      <c r="T489" s="4"/>
    </row>
    <row r="490" spans="1:20" ht="13.8" x14ac:dyDescent="0.25">
      <c r="A490" t="s">
        <v>129</v>
      </c>
      <c r="B490" t="s">
        <v>13</v>
      </c>
      <c r="C490" t="s">
        <v>32</v>
      </c>
      <c r="D490" t="s">
        <v>139</v>
      </c>
      <c r="E490" s="3" t="s">
        <v>15</v>
      </c>
      <c r="F490" s="4">
        <v>43371</v>
      </c>
      <c r="G490" s="4" t="s">
        <v>101</v>
      </c>
      <c r="H490">
        <v>700</v>
      </c>
      <c r="I490">
        <v>13139</v>
      </c>
      <c r="J490">
        <v>5929</v>
      </c>
      <c r="K490">
        <v>7210</v>
      </c>
      <c r="R490" s="3"/>
      <c r="S490" s="4"/>
      <c r="T490" s="4"/>
    </row>
    <row r="491" spans="1:20" ht="13.8" x14ac:dyDescent="0.25">
      <c r="A491" t="s">
        <v>131</v>
      </c>
      <c r="B491" t="s">
        <v>13</v>
      </c>
      <c r="C491" t="s">
        <v>29</v>
      </c>
      <c r="D491" t="s">
        <v>143</v>
      </c>
      <c r="E491" s="3" t="s">
        <v>15</v>
      </c>
      <c r="F491" s="4">
        <v>43372</v>
      </c>
      <c r="G491" s="4" t="s">
        <v>115</v>
      </c>
      <c r="H491">
        <v>500</v>
      </c>
      <c r="I491">
        <v>8715</v>
      </c>
      <c r="J491">
        <v>4235</v>
      </c>
      <c r="K491">
        <v>4480</v>
      </c>
      <c r="R491" s="3"/>
      <c r="S491" s="4"/>
      <c r="T491" s="4"/>
    </row>
    <row r="492" spans="1:20" ht="13.8" x14ac:dyDescent="0.25">
      <c r="A492" t="s">
        <v>126</v>
      </c>
      <c r="B492" t="s">
        <v>11</v>
      </c>
      <c r="C492" t="s">
        <v>27</v>
      </c>
      <c r="D492" t="s">
        <v>135</v>
      </c>
      <c r="E492" s="3" t="s">
        <v>15</v>
      </c>
      <c r="F492" s="4">
        <v>43375</v>
      </c>
      <c r="G492" s="4" t="s">
        <v>109</v>
      </c>
      <c r="H492">
        <v>400</v>
      </c>
      <c r="I492">
        <v>6944</v>
      </c>
      <c r="J492">
        <v>3388</v>
      </c>
      <c r="K492">
        <v>3556</v>
      </c>
      <c r="R492" s="3"/>
      <c r="S492" s="4"/>
      <c r="T492" s="4"/>
    </row>
    <row r="493" spans="1:20" ht="13.8" x14ac:dyDescent="0.25">
      <c r="A493" t="s">
        <v>129</v>
      </c>
      <c r="B493" t="s">
        <v>13</v>
      </c>
      <c r="C493" t="s">
        <v>32</v>
      </c>
      <c r="D493" t="s">
        <v>139</v>
      </c>
      <c r="E493" s="3" t="s">
        <v>10</v>
      </c>
      <c r="F493" s="4">
        <v>43376</v>
      </c>
      <c r="G493" s="4" t="s">
        <v>101</v>
      </c>
      <c r="H493">
        <v>500</v>
      </c>
      <c r="I493">
        <v>12760</v>
      </c>
      <c r="J493">
        <v>5110</v>
      </c>
      <c r="K493">
        <v>7650</v>
      </c>
      <c r="R493" s="3"/>
      <c r="S493" s="4"/>
      <c r="T493" s="4"/>
    </row>
    <row r="494" spans="1:20" ht="13.8" x14ac:dyDescent="0.25">
      <c r="A494" t="s">
        <v>129</v>
      </c>
      <c r="B494" t="s">
        <v>13</v>
      </c>
      <c r="C494" t="s">
        <v>32</v>
      </c>
      <c r="D494" t="s">
        <v>139</v>
      </c>
      <c r="E494" s="3" t="s">
        <v>10</v>
      </c>
      <c r="F494" s="4">
        <v>43378</v>
      </c>
      <c r="G494" s="4" t="s">
        <v>101</v>
      </c>
      <c r="H494">
        <v>1000</v>
      </c>
      <c r="I494">
        <v>24070</v>
      </c>
      <c r="J494">
        <v>10220</v>
      </c>
      <c r="K494">
        <v>13850</v>
      </c>
      <c r="R494" s="3"/>
      <c r="S494" s="4"/>
      <c r="T494" s="4"/>
    </row>
    <row r="495" spans="1:20" ht="13.8" x14ac:dyDescent="0.25">
      <c r="A495" t="s">
        <v>130</v>
      </c>
      <c r="B495" t="s">
        <v>9</v>
      </c>
      <c r="C495" t="s">
        <v>24</v>
      </c>
      <c r="D495" t="s">
        <v>134</v>
      </c>
      <c r="E495" s="3" t="s">
        <v>12</v>
      </c>
      <c r="F495" s="4">
        <v>43379</v>
      </c>
      <c r="G495" s="4" t="s">
        <v>105</v>
      </c>
      <c r="H495">
        <v>200</v>
      </c>
      <c r="I495">
        <v>4186</v>
      </c>
      <c r="J495">
        <v>1968</v>
      </c>
      <c r="K495">
        <v>2218</v>
      </c>
      <c r="R495" s="3"/>
      <c r="S495" s="4"/>
      <c r="T495" s="4"/>
    </row>
    <row r="496" spans="1:20" ht="13.8" x14ac:dyDescent="0.25">
      <c r="A496" t="s">
        <v>130</v>
      </c>
      <c r="B496" t="s">
        <v>11</v>
      </c>
      <c r="C496" t="s">
        <v>27</v>
      </c>
      <c r="D496" t="s">
        <v>135</v>
      </c>
      <c r="E496" s="3" t="s">
        <v>15</v>
      </c>
      <c r="F496" s="4">
        <v>43380</v>
      </c>
      <c r="G496" s="4" t="s">
        <v>106</v>
      </c>
      <c r="H496">
        <v>700</v>
      </c>
      <c r="I496">
        <v>13195</v>
      </c>
      <c r="J496">
        <v>5929</v>
      </c>
      <c r="K496">
        <v>7266</v>
      </c>
      <c r="R496" s="3"/>
      <c r="S496" s="4"/>
      <c r="T496" s="4"/>
    </row>
    <row r="497" spans="1:20" ht="13.8" x14ac:dyDescent="0.25">
      <c r="A497" t="s">
        <v>126</v>
      </c>
      <c r="B497" t="s">
        <v>11</v>
      </c>
      <c r="C497" t="s">
        <v>27</v>
      </c>
      <c r="D497" t="s">
        <v>135</v>
      </c>
      <c r="E497" s="3" t="s">
        <v>15</v>
      </c>
      <c r="F497" s="4">
        <v>43381</v>
      </c>
      <c r="G497" s="4" t="s">
        <v>128</v>
      </c>
      <c r="H497">
        <v>200</v>
      </c>
      <c r="I497">
        <v>3922</v>
      </c>
      <c r="J497">
        <v>1694</v>
      </c>
      <c r="K497">
        <v>2228</v>
      </c>
      <c r="R497" s="3"/>
      <c r="S497" s="4"/>
      <c r="T497" s="4"/>
    </row>
    <row r="498" spans="1:20" ht="13.8" x14ac:dyDescent="0.25">
      <c r="A498" t="s">
        <v>131</v>
      </c>
      <c r="B498" t="s">
        <v>13</v>
      </c>
      <c r="C498" t="s">
        <v>29</v>
      </c>
      <c r="D498" t="s">
        <v>143</v>
      </c>
      <c r="E498" s="3" t="s">
        <v>12</v>
      </c>
      <c r="F498" s="4">
        <v>43382</v>
      </c>
      <c r="G498" s="4" t="s">
        <v>115</v>
      </c>
      <c r="H498">
        <v>1000</v>
      </c>
      <c r="I498">
        <v>23970</v>
      </c>
      <c r="J498">
        <v>9840</v>
      </c>
      <c r="K498">
        <v>14130</v>
      </c>
      <c r="R498" s="3"/>
      <c r="S498" s="4"/>
      <c r="T498" s="4"/>
    </row>
    <row r="499" spans="1:20" ht="13.8" x14ac:dyDescent="0.25">
      <c r="A499" t="s">
        <v>16</v>
      </c>
      <c r="B499" t="s">
        <v>9</v>
      </c>
      <c r="C499" t="s">
        <v>26</v>
      </c>
      <c r="D499" t="s">
        <v>144</v>
      </c>
      <c r="E499" s="3" t="s">
        <v>15</v>
      </c>
      <c r="F499" s="4">
        <v>43384</v>
      </c>
      <c r="G499" s="4" t="s">
        <v>120</v>
      </c>
      <c r="H499">
        <v>500</v>
      </c>
      <c r="I499">
        <v>8940</v>
      </c>
      <c r="J499">
        <v>4235</v>
      </c>
      <c r="K499">
        <v>4705</v>
      </c>
      <c r="R499" s="3"/>
      <c r="S499" s="4"/>
      <c r="T499" s="4"/>
    </row>
    <row r="500" spans="1:20" ht="13.8" x14ac:dyDescent="0.25">
      <c r="A500" t="s">
        <v>16</v>
      </c>
      <c r="B500" t="s">
        <v>13</v>
      </c>
      <c r="C500" t="s">
        <v>30</v>
      </c>
      <c r="D500" t="s">
        <v>136</v>
      </c>
      <c r="E500" s="3" t="s">
        <v>10</v>
      </c>
      <c r="F500" s="4">
        <v>43385</v>
      </c>
      <c r="G500" s="4" t="s">
        <v>112</v>
      </c>
      <c r="H500">
        <v>200</v>
      </c>
      <c r="I500">
        <v>5002</v>
      </c>
      <c r="J500">
        <v>2044</v>
      </c>
      <c r="K500">
        <v>2958</v>
      </c>
      <c r="R500" s="3"/>
      <c r="S500" s="4"/>
      <c r="T500" s="4"/>
    </row>
    <row r="501" spans="1:20" ht="13.8" x14ac:dyDescent="0.25">
      <c r="A501" t="s">
        <v>130</v>
      </c>
      <c r="B501" t="s">
        <v>9</v>
      </c>
      <c r="C501" t="s">
        <v>22</v>
      </c>
      <c r="D501" t="s">
        <v>141</v>
      </c>
      <c r="E501" s="3" t="s">
        <v>15</v>
      </c>
      <c r="F501" s="4">
        <v>43387</v>
      </c>
      <c r="G501" s="4" t="s">
        <v>121</v>
      </c>
      <c r="H501">
        <v>1000</v>
      </c>
      <c r="I501">
        <v>17190</v>
      </c>
      <c r="J501">
        <v>8470</v>
      </c>
      <c r="K501">
        <v>8720</v>
      </c>
      <c r="R501" s="3"/>
      <c r="S501" s="4"/>
      <c r="T501" s="4"/>
    </row>
    <row r="502" spans="1:20" ht="13.8" x14ac:dyDescent="0.25">
      <c r="A502" t="s">
        <v>126</v>
      </c>
      <c r="B502" t="s">
        <v>13</v>
      </c>
      <c r="C502" t="s">
        <v>28</v>
      </c>
      <c r="D502" t="s">
        <v>140</v>
      </c>
      <c r="E502" s="3" t="s">
        <v>10</v>
      </c>
      <c r="F502" s="4">
        <v>43389</v>
      </c>
      <c r="G502" s="4" t="s">
        <v>108</v>
      </c>
      <c r="H502">
        <v>900</v>
      </c>
      <c r="I502">
        <v>21042</v>
      </c>
      <c r="J502">
        <v>9198</v>
      </c>
      <c r="K502">
        <v>11844</v>
      </c>
      <c r="R502" s="3"/>
      <c r="S502" s="4"/>
      <c r="T502" s="4"/>
    </row>
    <row r="503" spans="1:20" ht="13.8" x14ac:dyDescent="0.25">
      <c r="A503" t="s">
        <v>126</v>
      </c>
      <c r="B503" t="s">
        <v>11</v>
      </c>
      <c r="C503" t="s">
        <v>27</v>
      </c>
      <c r="D503" t="s">
        <v>135</v>
      </c>
      <c r="E503" s="3" t="s">
        <v>12</v>
      </c>
      <c r="F503" s="4">
        <v>43389</v>
      </c>
      <c r="G503" s="4" t="s">
        <v>107</v>
      </c>
      <c r="H503">
        <v>500</v>
      </c>
      <c r="I503">
        <v>11530</v>
      </c>
      <c r="J503">
        <v>4920</v>
      </c>
      <c r="K503">
        <v>6610</v>
      </c>
      <c r="R503" s="3"/>
      <c r="S503" s="4"/>
      <c r="T503" s="4"/>
    </row>
    <row r="504" spans="1:20" ht="13.8" x14ac:dyDescent="0.25">
      <c r="A504" t="s">
        <v>16</v>
      </c>
      <c r="B504" t="s">
        <v>9</v>
      </c>
      <c r="C504" t="s">
        <v>22</v>
      </c>
      <c r="D504" t="s">
        <v>141</v>
      </c>
      <c r="E504" s="3" t="s">
        <v>15</v>
      </c>
      <c r="F504" s="4">
        <v>43390</v>
      </c>
      <c r="G504" s="4" t="s">
        <v>125</v>
      </c>
      <c r="H504">
        <v>800</v>
      </c>
      <c r="I504">
        <v>15312</v>
      </c>
      <c r="J504">
        <v>6776</v>
      </c>
      <c r="K504">
        <v>8536</v>
      </c>
      <c r="R504" s="3"/>
      <c r="S504" s="4"/>
      <c r="T504" s="4"/>
    </row>
    <row r="505" spans="1:20" ht="13.8" x14ac:dyDescent="0.25">
      <c r="A505" t="s">
        <v>130</v>
      </c>
      <c r="B505" t="s">
        <v>11</v>
      </c>
      <c r="C505" t="s">
        <v>27</v>
      </c>
      <c r="D505" t="s">
        <v>135</v>
      </c>
      <c r="E505" s="3" t="s">
        <v>10</v>
      </c>
      <c r="F505" s="4">
        <v>43391</v>
      </c>
      <c r="G505" s="4" t="s">
        <v>106</v>
      </c>
      <c r="H505">
        <v>900</v>
      </c>
      <c r="I505">
        <v>19161</v>
      </c>
      <c r="J505">
        <v>9198</v>
      </c>
      <c r="K505">
        <v>9963</v>
      </c>
      <c r="R505" s="3"/>
      <c r="S505" s="4"/>
      <c r="T505" s="4"/>
    </row>
    <row r="506" spans="1:20" ht="13.8" x14ac:dyDescent="0.25">
      <c r="A506" t="s">
        <v>126</v>
      </c>
      <c r="B506" t="s">
        <v>11</v>
      </c>
      <c r="C506" t="s">
        <v>27</v>
      </c>
      <c r="D506" t="s">
        <v>135</v>
      </c>
      <c r="E506" s="3" t="s">
        <v>10</v>
      </c>
      <c r="F506" s="4">
        <v>43392</v>
      </c>
      <c r="G506" s="4" t="s">
        <v>109</v>
      </c>
      <c r="H506">
        <v>500</v>
      </c>
      <c r="I506">
        <v>10940</v>
      </c>
      <c r="J506">
        <v>5110</v>
      </c>
      <c r="K506">
        <v>5830</v>
      </c>
      <c r="R506" s="3"/>
      <c r="S506" s="4"/>
      <c r="T506" s="4"/>
    </row>
    <row r="507" spans="1:20" ht="13.8" x14ac:dyDescent="0.25">
      <c r="A507" t="s">
        <v>126</v>
      </c>
      <c r="B507" t="s">
        <v>9</v>
      </c>
      <c r="C507" t="s">
        <v>24</v>
      </c>
      <c r="D507" t="s">
        <v>134</v>
      </c>
      <c r="E507" s="3" t="s">
        <v>15</v>
      </c>
      <c r="F507" s="4">
        <v>43393</v>
      </c>
      <c r="G507" s="4" t="s">
        <v>100</v>
      </c>
      <c r="H507">
        <v>1000</v>
      </c>
      <c r="I507">
        <v>21010</v>
      </c>
      <c r="J507">
        <v>8470</v>
      </c>
      <c r="K507">
        <v>12540</v>
      </c>
      <c r="R507" s="3"/>
      <c r="S507" s="4"/>
      <c r="T507" s="4"/>
    </row>
    <row r="508" spans="1:20" ht="13.8" x14ac:dyDescent="0.25">
      <c r="A508" t="s">
        <v>131</v>
      </c>
      <c r="B508" t="s">
        <v>13</v>
      </c>
      <c r="C508" t="s">
        <v>29</v>
      </c>
      <c r="D508" t="s">
        <v>143</v>
      </c>
      <c r="E508" s="3" t="s">
        <v>15</v>
      </c>
      <c r="F508" s="4">
        <v>43395</v>
      </c>
      <c r="G508" s="4" t="s">
        <v>115</v>
      </c>
      <c r="H508">
        <v>900</v>
      </c>
      <c r="I508">
        <v>18576</v>
      </c>
      <c r="J508">
        <v>7623</v>
      </c>
      <c r="K508">
        <v>10953</v>
      </c>
      <c r="R508" s="3"/>
      <c r="S508" s="4"/>
      <c r="T508" s="4"/>
    </row>
    <row r="509" spans="1:20" ht="13.8" x14ac:dyDescent="0.25">
      <c r="A509" t="s">
        <v>126</v>
      </c>
      <c r="B509" t="s">
        <v>11</v>
      </c>
      <c r="C509" t="s">
        <v>27</v>
      </c>
      <c r="D509" t="s">
        <v>135</v>
      </c>
      <c r="E509" s="3" t="s">
        <v>12</v>
      </c>
      <c r="F509" s="4">
        <v>43395</v>
      </c>
      <c r="G509" s="4" t="s">
        <v>109</v>
      </c>
      <c r="H509">
        <v>200</v>
      </c>
      <c r="I509">
        <v>4484</v>
      </c>
      <c r="J509">
        <v>1968</v>
      </c>
      <c r="K509">
        <v>2516</v>
      </c>
      <c r="R509" s="3"/>
      <c r="S509" s="4"/>
      <c r="T509" s="4"/>
    </row>
    <row r="510" spans="1:20" ht="13.8" x14ac:dyDescent="0.25">
      <c r="A510" t="s">
        <v>126</v>
      </c>
      <c r="B510" t="s">
        <v>11</v>
      </c>
      <c r="C510" t="s">
        <v>27</v>
      </c>
      <c r="D510" t="s">
        <v>135</v>
      </c>
      <c r="E510" s="3" t="s">
        <v>12</v>
      </c>
      <c r="F510" s="4">
        <v>43395</v>
      </c>
      <c r="G510" s="4" t="s">
        <v>128</v>
      </c>
      <c r="H510">
        <v>700</v>
      </c>
      <c r="I510">
        <v>13797</v>
      </c>
      <c r="J510">
        <v>6888</v>
      </c>
      <c r="K510">
        <v>6909</v>
      </c>
      <c r="R510" s="3"/>
      <c r="S510" s="4"/>
      <c r="T510" s="4"/>
    </row>
    <row r="511" spans="1:20" ht="13.8" x14ac:dyDescent="0.25">
      <c r="A511" t="s">
        <v>126</v>
      </c>
      <c r="B511" t="s">
        <v>11</v>
      </c>
      <c r="C511" t="s">
        <v>27</v>
      </c>
      <c r="D511" t="s">
        <v>135</v>
      </c>
      <c r="E511" s="3" t="s">
        <v>15</v>
      </c>
      <c r="F511" s="4">
        <v>43396</v>
      </c>
      <c r="G511" s="4" t="s">
        <v>109</v>
      </c>
      <c r="H511">
        <v>700</v>
      </c>
      <c r="I511">
        <v>12131</v>
      </c>
      <c r="J511">
        <v>5929</v>
      </c>
      <c r="K511">
        <v>6202</v>
      </c>
      <c r="R511" s="3"/>
      <c r="S511" s="4"/>
      <c r="T511" s="4"/>
    </row>
    <row r="512" spans="1:20" ht="13.8" x14ac:dyDescent="0.25">
      <c r="A512" t="s">
        <v>16</v>
      </c>
      <c r="B512" t="s">
        <v>13</v>
      </c>
      <c r="C512" t="s">
        <v>30</v>
      </c>
      <c r="D512" t="s">
        <v>136</v>
      </c>
      <c r="E512" s="3" t="s">
        <v>12</v>
      </c>
      <c r="F512" s="4">
        <v>43398</v>
      </c>
      <c r="G512" s="4" t="s">
        <v>112</v>
      </c>
      <c r="H512">
        <v>500</v>
      </c>
      <c r="I512">
        <v>11250</v>
      </c>
      <c r="J512">
        <v>4920</v>
      </c>
      <c r="K512">
        <v>6330</v>
      </c>
      <c r="R512" s="3"/>
      <c r="S512" s="4"/>
      <c r="T512" s="4"/>
    </row>
    <row r="513" spans="1:20" ht="13.8" x14ac:dyDescent="0.25">
      <c r="A513" t="s">
        <v>126</v>
      </c>
      <c r="B513" t="s">
        <v>11</v>
      </c>
      <c r="C513" t="s">
        <v>27</v>
      </c>
      <c r="D513" t="s">
        <v>135</v>
      </c>
      <c r="E513" s="3" t="s">
        <v>12</v>
      </c>
      <c r="F513" s="4">
        <v>43399</v>
      </c>
      <c r="G513" s="4" t="s">
        <v>109</v>
      </c>
      <c r="H513">
        <v>500</v>
      </c>
      <c r="I513">
        <v>11430</v>
      </c>
      <c r="J513">
        <v>4920</v>
      </c>
      <c r="K513">
        <v>6510</v>
      </c>
      <c r="R513" s="3"/>
      <c r="S513" s="4"/>
      <c r="T513" s="4"/>
    </row>
    <row r="514" spans="1:20" ht="13.8" x14ac:dyDescent="0.25">
      <c r="A514" t="s">
        <v>130</v>
      </c>
      <c r="B514" t="s">
        <v>9</v>
      </c>
      <c r="C514" t="s">
        <v>24</v>
      </c>
      <c r="D514" t="s">
        <v>134</v>
      </c>
      <c r="E514" s="3" t="s">
        <v>10</v>
      </c>
      <c r="F514" s="4">
        <v>43402</v>
      </c>
      <c r="G514" s="4" t="s">
        <v>105</v>
      </c>
      <c r="H514">
        <v>100</v>
      </c>
      <c r="I514">
        <v>2234</v>
      </c>
      <c r="J514">
        <v>1022</v>
      </c>
      <c r="K514">
        <v>1212</v>
      </c>
      <c r="R514" s="3"/>
      <c r="S514" s="4"/>
      <c r="T514" s="4"/>
    </row>
    <row r="515" spans="1:20" ht="13.8" x14ac:dyDescent="0.25">
      <c r="A515" t="s">
        <v>130</v>
      </c>
      <c r="B515" t="s">
        <v>11</v>
      </c>
      <c r="C515" t="s">
        <v>27</v>
      </c>
      <c r="D515" t="s">
        <v>135</v>
      </c>
      <c r="E515" s="3" t="s">
        <v>10</v>
      </c>
      <c r="F515" s="4">
        <v>43404</v>
      </c>
      <c r="G515" s="4" t="s">
        <v>106</v>
      </c>
      <c r="H515">
        <v>100</v>
      </c>
      <c r="I515">
        <v>2092</v>
      </c>
      <c r="J515">
        <v>1022</v>
      </c>
      <c r="K515">
        <v>1070</v>
      </c>
      <c r="R515" s="3"/>
      <c r="S515" s="4"/>
      <c r="T515" s="4"/>
    </row>
    <row r="516" spans="1:20" ht="13.8" x14ac:dyDescent="0.25">
      <c r="A516" t="s">
        <v>16</v>
      </c>
      <c r="B516" t="s">
        <v>13</v>
      </c>
      <c r="C516" t="s">
        <v>30</v>
      </c>
      <c r="D516" t="s">
        <v>136</v>
      </c>
      <c r="E516" s="3" t="s">
        <v>10</v>
      </c>
      <c r="F516" s="4">
        <v>43404</v>
      </c>
      <c r="G516" s="4" t="s">
        <v>112</v>
      </c>
      <c r="H516">
        <v>600</v>
      </c>
      <c r="I516">
        <v>13818</v>
      </c>
      <c r="J516">
        <v>6132</v>
      </c>
      <c r="K516">
        <v>7686</v>
      </c>
      <c r="R516" s="3"/>
      <c r="S516" s="4"/>
      <c r="T516" s="4"/>
    </row>
    <row r="517" spans="1:20" ht="13.8" x14ac:dyDescent="0.25">
      <c r="A517" t="s">
        <v>16</v>
      </c>
      <c r="B517" t="s">
        <v>9</v>
      </c>
      <c r="C517" t="s">
        <v>26</v>
      </c>
      <c r="D517" t="s">
        <v>144</v>
      </c>
      <c r="E517" s="3" t="s">
        <v>10</v>
      </c>
      <c r="F517" s="4">
        <v>43408</v>
      </c>
      <c r="G517" s="4" t="s">
        <v>120</v>
      </c>
      <c r="H517">
        <v>600</v>
      </c>
      <c r="I517">
        <v>12612</v>
      </c>
      <c r="J517">
        <v>6132</v>
      </c>
      <c r="K517">
        <v>6480</v>
      </c>
      <c r="R517" s="3"/>
      <c r="S517" s="4"/>
      <c r="T517" s="4"/>
    </row>
    <row r="518" spans="1:20" ht="13.8" x14ac:dyDescent="0.25">
      <c r="A518" t="s">
        <v>127</v>
      </c>
      <c r="B518" t="s">
        <v>11</v>
      </c>
      <c r="C518" t="s">
        <v>27</v>
      </c>
      <c r="D518" t="s">
        <v>135</v>
      </c>
      <c r="E518" s="3" t="s">
        <v>15</v>
      </c>
      <c r="F518" s="4">
        <v>43409</v>
      </c>
      <c r="G518" s="4" t="s">
        <v>123</v>
      </c>
      <c r="H518">
        <v>800</v>
      </c>
      <c r="I518">
        <v>15104</v>
      </c>
      <c r="J518">
        <v>6776</v>
      </c>
      <c r="K518">
        <v>8328</v>
      </c>
      <c r="R518" s="3"/>
      <c r="S518" s="4"/>
      <c r="T518" s="4"/>
    </row>
    <row r="519" spans="1:20" ht="13.8" x14ac:dyDescent="0.25">
      <c r="A519" t="s">
        <v>16</v>
      </c>
      <c r="B519" t="s">
        <v>13</v>
      </c>
      <c r="C519" t="s">
        <v>30</v>
      </c>
      <c r="D519" t="s">
        <v>136</v>
      </c>
      <c r="E519" s="3" t="s">
        <v>10</v>
      </c>
      <c r="F519" s="4">
        <v>43412</v>
      </c>
      <c r="G519" s="4" t="s">
        <v>112</v>
      </c>
      <c r="H519">
        <v>700</v>
      </c>
      <c r="I519">
        <v>16576</v>
      </c>
      <c r="J519">
        <v>7154</v>
      </c>
      <c r="K519">
        <v>9422</v>
      </c>
      <c r="R519" s="3"/>
      <c r="S519" s="4"/>
      <c r="T519" s="4"/>
    </row>
    <row r="520" spans="1:20" ht="13.8" x14ac:dyDescent="0.25">
      <c r="A520" t="s">
        <v>130</v>
      </c>
      <c r="B520" t="s">
        <v>9</v>
      </c>
      <c r="C520" t="s">
        <v>24</v>
      </c>
      <c r="D520" t="s">
        <v>134</v>
      </c>
      <c r="E520" s="3" t="s">
        <v>10</v>
      </c>
      <c r="F520" s="4">
        <v>43413</v>
      </c>
      <c r="G520" s="4" t="s">
        <v>105</v>
      </c>
      <c r="H520">
        <v>700</v>
      </c>
      <c r="I520">
        <v>17059</v>
      </c>
      <c r="J520">
        <v>7154</v>
      </c>
      <c r="K520">
        <v>9905</v>
      </c>
      <c r="R520" s="3"/>
      <c r="S520" s="4"/>
      <c r="T520" s="4"/>
    </row>
    <row r="521" spans="1:20" ht="13.8" x14ac:dyDescent="0.25">
      <c r="A521" t="s">
        <v>126</v>
      </c>
      <c r="B521" t="s">
        <v>11</v>
      </c>
      <c r="C521" t="s">
        <v>27</v>
      </c>
      <c r="D521" t="s">
        <v>135</v>
      </c>
      <c r="E521" s="3" t="s">
        <v>12</v>
      </c>
      <c r="F521" s="4">
        <v>43417</v>
      </c>
      <c r="G521" s="4" t="s">
        <v>109</v>
      </c>
      <c r="H521">
        <v>800</v>
      </c>
      <c r="I521">
        <v>19424</v>
      </c>
      <c r="J521">
        <v>7872</v>
      </c>
      <c r="K521">
        <v>11552</v>
      </c>
      <c r="R521" s="3"/>
      <c r="S521" s="4"/>
      <c r="T521" s="4"/>
    </row>
    <row r="522" spans="1:20" ht="13.8" x14ac:dyDescent="0.25">
      <c r="A522" t="s">
        <v>129</v>
      </c>
      <c r="B522" t="s">
        <v>13</v>
      </c>
      <c r="C522" t="s">
        <v>32</v>
      </c>
      <c r="D522" t="s">
        <v>139</v>
      </c>
      <c r="E522" s="3" t="s">
        <v>12</v>
      </c>
      <c r="F522" s="4">
        <v>43417</v>
      </c>
      <c r="G522" s="4" t="s">
        <v>101</v>
      </c>
      <c r="H522">
        <v>700</v>
      </c>
      <c r="I522">
        <v>14784</v>
      </c>
      <c r="J522">
        <v>6888</v>
      </c>
      <c r="K522">
        <v>7896</v>
      </c>
      <c r="R522" s="3"/>
      <c r="S522" s="4"/>
      <c r="T522" s="4"/>
    </row>
    <row r="523" spans="1:20" ht="13.8" x14ac:dyDescent="0.25">
      <c r="A523" t="s">
        <v>126</v>
      </c>
      <c r="B523" t="s">
        <v>9</v>
      </c>
      <c r="C523" t="s">
        <v>24</v>
      </c>
      <c r="D523" t="s">
        <v>134</v>
      </c>
      <c r="E523" s="3" t="s">
        <v>12</v>
      </c>
      <c r="F523" s="4">
        <v>43418</v>
      </c>
      <c r="G523" s="4" t="s">
        <v>100</v>
      </c>
      <c r="H523">
        <v>1000</v>
      </c>
      <c r="I523">
        <v>21740</v>
      </c>
      <c r="J523">
        <v>9840</v>
      </c>
      <c r="K523">
        <v>11900</v>
      </c>
      <c r="R523" s="3"/>
      <c r="S523" s="4"/>
      <c r="T523" s="4"/>
    </row>
    <row r="524" spans="1:20" ht="13.8" x14ac:dyDescent="0.25">
      <c r="A524" t="s">
        <v>126</v>
      </c>
      <c r="B524" t="s">
        <v>9</v>
      </c>
      <c r="C524" t="s">
        <v>24</v>
      </c>
      <c r="D524" t="s">
        <v>134</v>
      </c>
      <c r="E524" s="3" t="s">
        <v>12</v>
      </c>
      <c r="F524" s="4">
        <v>43419</v>
      </c>
      <c r="G524" s="4" t="s">
        <v>100</v>
      </c>
      <c r="H524">
        <v>900</v>
      </c>
      <c r="I524">
        <v>19674</v>
      </c>
      <c r="J524">
        <v>8856</v>
      </c>
      <c r="K524">
        <v>10818</v>
      </c>
      <c r="R524" s="3"/>
      <c r="S524" s="4"/>
      <c r="T524" s="4"/>
    </row>
    <row r="525" spans="1:20" ht="13.8" x14ac:dyDescent="0.25">
      <c r="A525" t="s">
        <v>129</v>
      </c>
      <c r="B525" t="s">
        <v>13</v>
      </c>
      <c r="C525" t="s">
        <v>32</v>
      </c>
      <c r="D525" t="s">
        <v>139</v>
      </c>
      <c r="E525" s="3" t="s">
        <v>15</v>
      </c>
      <c r="F525" s="4">
        <v>43419</v>
      </c>
      <c r="G525" s="4" t="s">
        <v>101</v>
      </c>
      <c r="H525">
        <v>500</v>
      </c>
      <c r="I525">
        <v>8970</v>
      </c>
      <c r="J525">
        <v>4235</v>
      </c>
      <c r="K525">
        <v>4735</v>
      </c>
      <c r="R525" s="3"/>
      <c r="S525" s="4"/>
      <c r="T525" s="4"/>
    </row>
    <row r="526" spans="1:20" ht="13.8" x14ac:dyDescent="0.25">
      <c r="A526" t="s">
        <v>130</v>
      </c>
      <c r="B526" t="s">
        <v>9</v>
      </c>
      <c r="C526" t="s">
        <v>24</v>
      </c>
      <c r="D526" t="s">
        <v>134</v>
      </c>
      <c r="E526" s="3" t="s">
        <v>10</v>
      </c>
      <c r="F526" s="4">
        <v>43421</v>
      </c>
      <c r="G526" s="4" t="s">
        <v>105</v>
      </c>
      <c r="H526">
        <v>600</v>
      </c>
      <c r="I526">
        <v>13680</v>
      </c>
      <c r="J526">
        <v>6132</v>
      </c>
      <c r="K526">
        <v>7548</v>
      </c>
      <c r="R526" s="3"/>
      <c r="S526" s="4"/>
      <c r="T526" s="4"/>
    </row>
    <row r="527" spans="1:20" ht="13.8" x14ac:dyDescent="0.25">
      <c r="A527" t="s">
        <v>126</v>
      </c>
      <c r="B527" t="s">
        <v>11</v>
      </c>
      <c r="C527" t="s">
        <v>27</v>
      </c>
      <c r="D527" t="s">
        <v>135</v>
      </c>
      <c r="E527" s="3" t="s">
        <v>12</v>
      </c>
      <c r="F527" s="4">
        <v>43423</v>
      </c>
      <c r="G527" s="4" t="s">
        <v>109</v>
      </c>
      <c r="H527">
        <v>800</v>
      </c>
      <c r="I527">
        <v>17136</v>
      </c>
      <c r="J527">
        <v>7872</v>
      </c>
      <c r="K527">
        <v>9264</v>
      </c>
      <c r="R527" s="3"/>
      <c r="S527" s="4"/>
      <c r="T527" s="4"/>
    </row>
    <row r="528" spans="1:20" ht="13.8" x14ac:dyDescent="0.25">
      <c r="A528" t="s">
        <v>129</v>
      </c>
      <c r="B528" t="s">
        <v>13</v>
      </c>
      <c r="C528" t="s">
        <v>32</v>
      </c>
      <c r="D528" t="s">
        <v>139</v>
      </c>
      <c r="E528" s="3" t="s">
        <v>15</v>
      </c>
      <c r="F528" s="4">
        <v>43424</v>
      </c>
      <c r="G528" s="4" t="s">
        <v>101</v>
      </c>
      <c r="H528">
        <v>400</v>
      </c>
      <c r="I528">
        <v>6880</v>
      </c>
      <c r="J528">
        <v>3388</v>
      </c>
      <c r="K528">
        <v>3492</v>
      </c>
      <c r="R528" s="3"/>
      <c r="S528" s="4"/>
      <c r="T528" s="4"/>
    </row>
    <row r="529" spans="1:20" ht="13.8" x14ac:dyDescent="0.25">
      <c r="A529" t="s">
        <v>130</v>
      </c>
      <c r="B529" t="s">
        <v>9</v>
      </c>
      <c r="C529" t="s">
        <v>24</v>
      </c>
      <c r="D529" t="s">
        <v>134</v>
      </c>
      <c r="E529" s="3" t="s">
        <v>12</v>
      </c>
      <c r="F529" s="4">
        <v>43425</v>
      </c>
      <c r="G529" s="4" t="s">
        <v>105</v>
      </c>
      <c r="H529">
        <v>500</v>
      </c>
      <c r="I529">
        <v>11330</v>
      </c>
      <c r="J529">
        <v>4920</v>
      </c>
      <c r="K529">
        <v>6410</v>
      </c>
      <c r="R529" s="3"/>
      <c r="S529" s="4"/>
      <c r="T529" s="4"/>
    </row>
    <row r="530" spans="1:20" ht="13.8" x14ac:dyDescent="0.25">
      <c r="A530" t="s">
        <v>16</v>
      </c>
      <c r="B530" t="s">
        <v>13</v>
      </c>
      <c r="C530" t="s">
        <v>30</v>
      </c>
      <c r="D530" t="s">
        <v>136</v>
      </c>
      <c r="E530" s="3" t="s">
        <v>12</v>
      </c>
      <c r="F530" s="4">
        <v>43426</v>
      </c>
      <c r="G530" s="4" t="s">
        <v>112</v>
      </c>
      <c r="H530">
        <v>200</v>
      </c>
      <c r="I530">
        <v>4412</v>
      </c>
      <c r="J530">
        <v>1968</v>
      </c>
      <c r="K530">
        <v>2444</v>
      </c>
      <c r="R530" s="3"/>
      <c r="S530" s="4"/>
      <c r="T530" s="4"/>
    </row>
    <row r="531" spans="1:20" ht="13.8" x14ac:dyDescent="0.25">
      <c r="A531" t="s">
        <v>126</v>
      </c>
      <c r="B531" t="s">
        <v>11</v>
      </c>
      <c r="C531" t="s">
        <v>27</v>
      </c>
      <c r="D531" t="s">
        <v>135</v>
      </c>
      <c r="E531" s="3" t="s">
        <v>12</v>
      </c>
      <c r="F531" s="4">
        <v>43427</v>
      </c>
      <c r="G531" s="4" t="s">
        <v>109</v>
      </c>
      <c r="H531">
        <v>400</v>
      </c>
      <c r="I531">
        <v>9484</v>
      </c>
      <c r="J531">
        <v>3936</v>
      </c>
      <c r="K531">
        <v>5548</v>
      </c>
      <c r="R531" s="3"/>
      <c r="S531" s="4"/>
      <c r="T531" s="4"/>
    </row>
    <row r="532" spans="1:20" ht="13.8" x14ac:dyDescent="0.25">
      <c r="A532" t="s">
        <v>126</v>
      </c>
      <c r="B532" t="s">
        <v>11</v>
      </c>
      <c r="C532" t="s">
        <v>27</v>
      </c>
      <c r="D532" t="s">
        <v>135</v>
      </c>
      <c r="E532" s="3" t="s">
        <v>12</v>
      </c>
      <c r="F532" s="4">
        <v>43428</v>
      </c>
      <c r="G532" s="4" t="s">
        <v>109</v>
      </c>
      <c r="H532">
        <v>400</v>
      </c>
      <c r="I532">
        <v>8204</v>
      </c>
      <c r="J532">
        <v>3936</v>
      </c>
      <c r="K532">
        <v>4268</v>
      </c>
      <c r="R532" s="3"/>
      <c r="S532" s="4"/>
      <c r="T532" s="4"/>
    </row>
    <row r="533" spans="1:20" ht="13.8" x14ac:dyDescent="0.25">
      <c r="A533" t="s">
        <v>131</v>
      </c>
      <c r="B533" t="s">
        <v>14</v>
      </c>
      <c r="C533" t="s">
        <v>33</v>
      </c>
      <c r="D533" t="s">
        <v>145</v>
      </c>
      <c r="E533" s="3" t="s">
        <v>10</v>
      </c>
      <c r="F533" s="4">
        <v>43429</v>
      </c>
      <c r="G533" s="4" t="s">
        <v>124</v>
      </c>
      <c r="H533">
        <v>400</v>
      </c>
      <c r="I533">
        <v>8556</v>
      </c>
      <c r="J533">
        <v>4088</v>
      </c>
      <c r="K533">
        <v>4468</v>
      </c>
      <c r="R533" s="3"/>
      <c r="S533" s="4"/>
      <c r="T533" s="4"/>
    </row>
    <row r="534" spans="1:20" ht="13.8" x14ac:dyDescent="0.25">
      <c r="A534" t="s">
        <v>126</v>
      </c>
      <c r="B534" t="s">
        <v>11</v>
      </c>
      <c r="C534" t="s">
        <v>27</v>
      </c>
      <c r="D534" t="s">
        <v>135</v>
      </c>
      <c r="E534" s="3" t="s">
        <v>12</v>
      </c>
      <c r="F534" s="4">
        <v>43432</v>
      </c>
      <c r="G534" s="4" t="s">
        <v>109</v>
      </c>
      <c r="H534">
        <v>400</v>
      </c>
      <c r="I534">
        <v>8464</v>
      </c>
      <c r="J534">
        <v>3936</v>
      </c>
      <c r="K534">
        <v>4528</v>
      </c>
      <c r="R534" s="3"/>
      <c r="S534" s="4"/>
      <c r="T534" s="4"/>
    </row>
    <row r="535" spans="1:20" ht="13.8" x14ac:dyDescent="0.25">
      <c r="A535" t="s">
        <v>130</v>
      </c>
      <c r="B535" t="s">
        <v>9</v>
      </c>
      <c r="C535" t="s">
        <v>24</v>
      </c>
      <c r="D535" t="s">
        <v>134</v>
      </c>
      <c r="E535" s="3" t="s">
        <v>10</v>
      </c>
      <c r="F535" s="4">
        <v>43432</v>
      </c>
      <c r="G535" s="4" t="s">
        <v>105</v>
      </c>
      <c r="H535">
        <v>500</v>
      </c>
      <c r="I535">
        <v>11470</v>
      </c>
      <c r="J535">
        <v>5110</v>
      </c>
      <c r="K535">
        <v>6360</v>
      </c>
      <c r="R535" s="3"/>
      <c r="S535" s="4"/>
      <c r="T535" s="4"/>
    </row>
    <row r="536" spans="1:20" ht="13.8" x14ac:dyDescent="0.25">
      <c r="A536" t="s">
        <v>126</v>
      </c>
      <c r="B536" t="s">
        <v>13</v>
      </c>
      <c r="C536" t="s">
        <v>28</v>
      </c>
      <c r="D536" t="s">
        <v>140</v>
      </c>
      <c r="E536" s="3" t="s">
        <v>12</v>
      </c>
      <c r="F536" s="4">
        <v>43433</v>
      </c>
      <c r="G536" s="4" t="s">
        <v>108</v>
      </c>
      <c r="H536">
        <v>600</v>
      </c>
      <c r="I536">
        <v>14154</v>
      </c>
      <c r="J536">
        <v>5904</v>
      </c>
      <c r="K536">
        <v>8250</v>
      </c>
      <c r="R536" s="3"/>
      <c r="S536" s="4"/>
      <c r="T536" s="4"/>
    </row>
    <row r="537" spans="1:20" ht="13.8" x14ac:dyDescent="0.25">
      <c r="A537" t="s">
        <v>129</v>
      </c>
      <c r="B537" t="s">
        <v>13</v>
      </c>
      <c r="C537" t="s">
        <v>32</v>
      </c>
      <c r="D537" t="s">
        <v>139</v>
      </c>
      <c r="E537" s="3" t="s">
        <v>12</v>
      </c>
      <c r="F537" s="4">
        <v>43434</v>
      </c>
      <c r="G537" s="4" t="s">
        <v>101</v>
      </c>
      <c r="H537">
        <v>800</v>
      </c>
      <c r="I537">
        <v>19280</v>
      </c>
      <c r="J537">
        <v>7872</v>
      </c>
      <c r="K537">
        <v>11408</v>
      </c>
      <c r="R537" s="3"/>
      <c r="S537" s="4"/>
      <c r="T537" s="4"/>
    </row>
    <row r="538" spans="1:20" ht="13.8" x14ac:dyDescent="0.25">
      <c r="A538" t="s">
        <v>130</v>
      </c>
      <c r="B538" t="s">
        <v>9</v>
      </c>
      <c r="C538" t="s">
        <v>24</v>
      </c>
      <c r="D538" t="s">
        <v>134</v>
      </c>
      <c r="E538" s="3" t="s">
        <v>10</v>
      </c>
      <c r="F538" s="4">
        <v>43435</v>
      </c>
      <c r="G538" s="4" t="s">
        <v>105</v>
      </c>
      <c r="H538">
        <v>900</v>
      </c>
      <c r="I538">
        <v>22887</v>
      </c>
      <c r="J538">
        <v>9198</v>
      </c>
      <c r="K538">
        <v>13689</v>
      </c>
      <c r="R538" s="3"/>
      <c r="S538" s="4"/>
      <c r="T538" s="4"/>
    </row>
    <row r="539" spans="1:20" ht="13.8" x14ac:dyDescent="0.25">
      <c r="A539" t="s">
        <v>130</v>
      </c>
      <c r="B539" t="s">
        <v>11</v>
      </c>
      <c r="C539" t="s">
        <v>27</v>
      </c>
      <c r="D539" t="s">
        <v>135</v>
      </c>
      <c r="E539" s="3" t="s">
        <v>10</v>
      </c>
      <c r="F539" s="4">
        <v>43436</v>
      </c>
      <c r="G539" s="4" t="s">
        <v>106</v>
      </c>
      <c r="H539">
        <v>600</v>
      </c>
      <c r="I539">
        <v>13290</v>
      </c>
      <c r="J539">
        <v>6132</v>
      </c>
      <c r="K539">
        <v>7158</v>
      </c>
      <c r="R539" s="3"/>
      <c r="S539" s="4"/>
      <c r="T539" s="4"/>
    </row>
    <row r="540" spans="1:20" ht="13.8" x14ac:dyDescent="0.25">
      <c r="A540" t="s">
        <v>16</v>
      </c>
      <c r="B540" t="s">
        <v>13</v>
      </c>
      <c r="C540" t="s">
        <v>30</v>
      </c>
      <c r="D540" t="s">
        <v>136</v>
      </c>
      <c r="E540" s="3" t="s">
        <v>12</v>
      </c>
      <c r="F540" s="4">
        <v>43436</v>
      </c>
      <c r="G540" s="4" t="s">
        <v>112</v>
      </c>
      <c r="H540">
        <v>1000</v>
      </c>
      <c r="I540">
        <v>20840</v>
      </c>
      <c r="J540">
        <v>9840</v>
      </c>
      <c r="K540">
        <v>11000</v>
      </c>
      <c r="R540" s="3"/>
      <c r="S540" s="4"/>
      <c r="T540" s="4"/>
    </row>
    <row r="541" spans="1:20" ht="13.8" x14ac:dyDescent="0.25">
      <c r="A541" t="s">
        <v>129</v>
      </c>
      <c r="B541" t="s">
        <v>14</v>
      </c>
      <c r="C541" t="s">
        <v>31</v>
      </c>
      <c r="D541" t="s">
        <v>138</v>
      </c>
      <c r="E541" s="3" t="s">
        <v>10</v>
      </c>
      <c r="F541" s="4">
        <v>43439</v>
      </c>
      <c r="G541" s="4" t="s">
        <v>104</v>
      </c>
      <c r="H541">
        <v>800</v>
      </c>
      <c r="I541">
        <v>19544</v>
      </c>
      <c r="J541">
        <v>8176</v>
      </c>
      <c r="K541">
        <v>11368</v>
      </c>
      <c r="R541" s="3"/>
      <c r="S541" s="4"/>
      <c r="T541" s="4"/>
    </row>
    <row r="542" spans="1:20" ht="13.8" x14ac:dyDescent="0.25">
      <c r="A542" t="s">
        <v>126</v>
      </c>
      <c r="B542" t="s">
        <v>11</v>
      </c>
      <c r="C542" t="s">
        <v>27</v>
      </c>
      <c r="D542" t="s">
        <v>135</v>
      </c>
      <c r="E542" s="3" t="s">
        <v>10</v>
      </c>
      <c r="F542" s="4">
        <v>43439</v>
      </c>
      <c r="G542" s="4" t="s">
        <v>109</v>
      </c>
      <c r="H542">
        <v>400</v>
      </c>
      <c r="I542">
        <v>8284</v>
      </c>
      <c r="J542">
        <v>4088</v>
      </c>
      <c r="K542">
        <v>4196</v>
      </c>
      <c r="R542" s="3"/>
      <c r="S542" s="4"/>
      <c r="T542" s="4"/>
    </row>
    <row r="543" spans="1:20" ht="13.8" x14ac:dyDescent="0.25">
      <c r="A543" t="s">
        <v>126</v>
      </c>
      <c r="B543" t="s">
        <v>9</v>
      </c>
      <c r="C543" t="s">
        <v>24</v>
      </c>
      <c r="D543" t="s">
        <v>134</v>
      </c>
      <c r="E543" s="3" t="s">
        <v>10</v>
      </c>
      <c r="F543" s="4">
        <v>43439</v>
      </c>
      <c r="G543" s="4" t="s">
        <v>100</v>
      </c>
      <c r="H543">
        <v>800</v>
      </c>
      <c r="I543">
        <v>17496</v>
      </c>
      <c r="J543">
        <v>8176</v>
      </c>
      <c r="K543">
        <v>9320</v>
      </c>
      <c r="R543" s="3"/>
      <c r="S543" s="4"/>
      <c r="T543" s="4"/>
    </row>
    <row r="544" spans="1:20" ht="13.8" x14ac:dyDescent="0.25">
      <c r="A544" t="s">
        <v>130</v>
      </c>
      <c r="B544" t="s">
        <v>9</v>
      </c>
      <c r="C544" t="s">
        <v>24</v>
      </c>
      <c r="D544" t="s">
        <v>134</v>
      </c>
      <c r="E544" s="3" t="s">
        <v>12</v>
      </c>
      <c r="F544" s="4">
        <v>43441</v>
      </c>
      <c r="G544" s="4" t="s">
        <v>105</v>
      </c>
      <c r="H544">
        <v>1000</v>
      </c>
      <c r="I544">
        <v>23690</v>
      </c>
      <c r="J544">
        <v>9840</v>
      </c>
      <c r="K544">
        <v>13850</v>
      </c>
      <c r="R544" s="3"/>
      <c r="S544" s="4"/>
      <c r="T544" s="4"/>
    </row>
    <row r="545" spans="1:20" ht="13.8" x14ac:dyDescent="0.25">
      <c r="A545" t="s">
        <v>126</v>
      </c>
      <c r="B545" t="s">
        <v>11</v>
      </c>
      <c r="C545" t="s">
        <v>27</v>
      </c>
      <c r="D545" t="s">
        <v>135</v>
      </c>
      <c r="E545" s="3" t="s">
        <v>10</v>
      </c>
      <c r="F545" s="4">
        <v>43442</v>
      </c>
      <c r="G545" s="4" t="s">
        <v>109</v>
      </c>
      <c r="H545">
        <v>100</v>
      </c>
      <c r="I545">
        <v>2309</v>
      </c>
      <c r="J545">
        <v>1022</v>
      </c>
      <c r="K545">
        <v>1287</v>
      </c>
      <c r="R545" s="3"/>
      <c r="S545" s="4"/>
      <c r="T545" s="4"/>
    </row>
    <row r="546" spans="1:20" ht="13.8" x14ac:dyDescent="0.25">
      <c r="A546" t="s">
        <v>131</v>
      </c>
      <c r="B546" t="s">
        <v>13</v>
      </c>
      <c r="C546" t="s">
        <v>29</v>
      </c>
      <c r="D546" t="s">
        <v>143</v>
      </c>
      <c r="E546" s="3" t="s">
        <v>10</v>
      </c>
      <c r="F546" s="4">
        <v>43443</v>
      </c>
      <c r="G546" s="4" t="s">
        <v>115</v>
      </c>
      <c r="H546">
        <v>900</v>
      </c>
      <c r="I546">
        <v>18756</v>
      </c>
      <c r="J546">
        <v>9198</v>
      </c>
      <c r="K546">
        <v>9558</v>
      </c>
      <c r="R546" s="3"/>
      <c r="S546" s="4"/>
      <c r="T546" s="4"/>
    </row>
    <row r="547" spans="1:20" ht="13.8" x14ac:dyDescent="0.25">
      <c r="A547" t="s">
        <v>130</v>
      </c>
      <c r="B547" t="s">
        <v>9</v>
      </c>
      <c r="C547" t="s">
        <v>24</v>
      </c>
      <c r="D547" t="s">
        <v>134</v>
      </c>
      <c r="E547" s="3" t="s">
        <v>15</v>
      </c>
      <c r="F547" s="4">
        <v>43444</v>
      </c>
      <c r="G547" s="4" t="s">
        <v>105</v>
      </c>
      <c r="H547">
        <v>1000</v>
      </c>
      <c r="I547">
        <v>17410</v>
      </c>
      <c r="J547">
        <v>8470</v>
      </c>
      <c r="K547">
        <v>8940</v>
      </c>
      <c r="R547" s="3"/>
      <c r="S547" s="4"/>
      <c r="T547" s="4"/>
    </row>
    <row r="548" spans="1:20" ht="13.8" x14ac:dyDescent="0.25">
      <c r="A548" t="s">
        <v>130</v>
      </c>
      <c r="B548" t="s">
        <v>9</v>
      </c>
      <c r="C548" t="s">
        <v>24</v>
      </c>
      <c r="D548" t="s">
        <v>134</v>
      </c>
      <c r="E548" s="3" t="s">
        <v>12</v>
      </c>
      <c r="F548" s="4">
        <v>43444</v>
      </c>
      <c r="G548" s="4" t="s">
        <v>105</v>
      </c>
      <c r="H548">
        <v>200</v>
      </c>
      <c r="I548">
        <v>4492</v>
      </c>
      <c r="J548">
        <v>1968</v>
      </c>
      <c r="K548">
        <v>2524</v>
      </c>
      <c r="R548" s="3"/>
      <c r="S548" s="4"/>
      <c r="T548" s="4"/>
    </row>
    <row r="549" spans="1:20" ht="13.8" x14ac:dyDescent="0.25">
      <c r="A549" t="s">
        <v>126</v>
      </c>
      <c r="B549" t="s">
        <v>11</v>
      </c>
      <c r="C549" t="s">
        <v>27</v>
      </c>
      <c r="D549" t="s">
        <v>135</v>
      </c>
      <c r="E549" s="3" t="s">
        <v>12</v>
      </c>
      <c r="F549" s="4">
        <v>43445</v>
      </c>
      <c r="G549" s="4" t="s">
        <v>128</v>
      </c>
      <c r="H549">
        <v>200</v>
      </c>
      <c r="I549">
        <v>4696</v>
      </c>
      <c r="J549">
        <v>1968</v>
      </c>
      <c r="K549">
        <v>2728</v>
      </c>
      <c r="R549" s="3"/>
      <c r="S549" s="4"/>
      <c r="T549" s="4"/>
    </row>
    <row r="550" spans="1:20" ht="13.8" x14ac:dyDescent="0.25">
      <c r="A550" t="s">
        <v>130</v>
      </c>
      <c r="B550" t="s">
        <v>11</v>
      </c>
      <c r="C550" t="s">
        <v>27</v>
      </c>
      <c r="D550" t="s">
        <v>135</v>
      </c>
      <c r="E550" s="3" t="s">
        <v>12</v>
      </c>
      <c r="F550" s="4">
        <v>43447</v>
      </c>
      <c r="G550" s="4" t="s">
        <v>106</v>
      </c>
      <c r="H550">
        <v>500</v>
      </c>
      <c r="I550">
        <v>10295</v>
      </c>
      <c r="J550">
        <v>4920</v>
      </c>
      <c r="K550">
        <v>5375</v>
      </c>
      <c r="R550" s="3"/>
      <c r="S550" s="4"/>
      <c r="T550" s="4"/>
    </row>
    <row r="551" spans="1:20" ht="13.8" x14ac:dyDescent="0.25">
      <c r="A551" t="s">
        <v>126</v>
      </c>
      <c r="B551" t="s">
        <v>11</v>
      </c>
      <c r="C551" t="s">
        <v>27</v>
      </c>
      <c r="D551" t="s">
        <v>135</v>
      </c>
      <c r="E551" s="3" t="s">
        <v>10</v>
      </c>
      <c r="F551" s="4">
        <v>43449</v>
      </c>
      <c r="G551" s="4" t="s">
        <v>109</v>
      </c>
      <c r="H551">
        <v>1000</v>
      </c>
      <c r="I551">
        <v>25010</v>
      </c>
      <c r="J551">
        <v>10220</v>
      </c>
      <c r="K551">
        <v>14790</v>
      </c>
      <c r="R551" s="3"/>
      <c r="S551" s="4"/>
      <c r="T551" s="4"/>
    </row>
    <row r="552" spans="1:20" ht="13.8" x14ac:dyDescent="0.25">
      <c r="A552" t="s">
        <v>126</v>
      </c>
      <c r="B552" t="s">
        <v>9</v>
      </c>
      <c r="C552" t="s">
        <v>24</v>
      </c>
      <c r="D552" t="s">
        <v>134</v>
      </c>
      <c r="E552" s="3" t="s">
        <v>10</v>
      </c>
      <c r="F552" s="4">
        <v>43449</v>
      </c>
      <c r="G552" s="4" t="s">
        <v>100</v>
      </c>
      <c r="H552">
        <v>500</v>
      </c>
      <c r="I552">
        <v>10380</v>
      </c>
      <c r="J552">
        <v>5110</v>
      </c>
      <c r="K552">
        <v>5270</v>
      </c>
      <c r="R552" s="3"/>
      <c r="S552" s="4"/>
      <c r="T552" s="4"/>
    </row>
    <row r="553" spans="1:20" ht="13.8" x14ac:dyDescent="0.25">
      <c r="A553" t="s">
        <v>126</v>
      </c>
      <c r="B553" t="s">
        <v>11</v>
      </c>
      <c r="C553" t="s">
        <v>27</v>
      </c>
      <c r="D553" t="s">
        <v>135</v>
      </c>
      <c r="E553" s="3" t="s">
        <v>10</v>
      </c>
      <c r="F553" s="4">
        <v>43450</v>
      </c>
      <c r="G553" s="4" t="s">
        <v>107</v>
      </c>
      <c r="H553">
        <v>300</v>
      </c>
      <c r="I553">
        <v>6744</v>
      </c>
      <c r="J553">
        <v>3066</v>
      </c>
      <c r="K553">
        <v>3678</v>
      </c>
      <c r="R553" s="3"/>
      <c r="S553" s="4"/>
      <c r="T553" s="4"/>
    </row>
    <row r="554" spans="1:20" ht="13.8" x14ac:dyDescent="0.25">
      <c r="A554" t="s">
        <v>126</v>
      </c>
      <c r="B554" t="s">
        <v>9</v>
      </c>
      <c r="C554" t="s">
        <v>24</v>
      </c>
      <c r="D554" t="s">
        <v>134</v>
      </c>
      <c r="E554" s="3" t="s">
        <v>15</v>
      </c>
      <c r="F554" s="4">
        <v>43452</v>
      </c>
      <c r="G554" s="4" t="s">
        <v>100</v>
      </c>
      <c r="H554">
        <v>700</v>
      </c>
      <c r="I554">
        <v>13552</v>
      </c>
      <c r="J554">
        <v>5929</v>
      </c>
      <c r="K554">
        <v>7623</v>
      </c>
      <c r="R554" s="3"/>
      <c r="S554" s="4"/>
      <c r="T554" s="4"/>
    </row>
    <row r="555" spans="1:20" ht="13.8" x14ac:dyDescent="0.25">
      <c r="A555" t="s">
        <v>129</v>
      </c>
      <c r="B555" t="s">
        <v>13</v>
      </c>
      <c r="C555" t="s">
        <v>32</v>
      </c>
      <c r="D555" t="s">
        <v>139</v>
      </c>
      <c r="E555" s="3" t="s">
        <v>10</v>
      </c>
      <c r="F555" s="4">
        <v>43454</v>
      </c>
      <c r="G555" s="4" t="s">
        <v>101</v>
      </c>
      <c r="H555">
        <v>800</v>
      </c>
      <c r="I555">
        <v>18560</v>
      </c>
      <c r="J555">
        <v>8176</v>
      </c>
      <c r="K555">
        <v>10384</v>
      </c>
      <c r="R555" s="3"/>
      <c r="S555" s="4"/>
      <c r="T555" s="4"/>
    </row>
    <row r="556" spans="1:20" ht="13.8" x14ac:dyDescent="0.25">
      <c r="A556" t="s">
        <v>16</v>
      </c>
      <c r="B556" t="s">
        <v>13</v>
      </c>
      <c r="C556" t="s">
        <v>30</v>
      </c>
      <c r="D556" t="s">
        <v>136</v>
      </c>
      <c r="E556" s="3" t="s">
        <v>15</v>
      </c>
      <c r="F556" s="4">
        <v>43455</v>
      </c>
      <c r="G556" s="4" t="s">
        <v>112</v>
      </c>
      <c r="H556">
        <v>300</v>
      </c>
      <c r="I556">
        <v>5847</v>
      </c>
      <c r="J556">
        <v>2541</v>
      </c>
      <c r="K556">
        <v>3306</v>
      </c>
      <c r="R556" s="3"/>
      <c r="S556" s="4"/>
      <c r="T556" s="4"/>
    </row>
    <row r="557" spans="1:20" ht="13.8" x14ac:dyDescent="0.25">
      <c r="A557" t="s">
        <v>126</v>
      </c>
      <c r="B557" t="s">
        <v>13</v>
      </c>
      <c r="C557" t="s">
        <v>28</v>
      </c>
      <c r="D557" t="s">
        <v>140</v>
      </c>
      <c r="E557" s="3" t="s">
        <v>10</v>
      </c>
      <c r="F557" s="4">
        <v>43456</v>
      </c>
      <c r="G557" s="4" t="s">
        <v>108</v>
      </c>
      <c r="H557">
        <v>800</v>
      </c>
      <c r="I557">
        <v>18304</v>
      </c>
      <c r="J557">
        <v>8176</v>
      </c>
      <c r="K557">
        <v>10128</v>
      </c>
      <c r="R557" s="3"/>
      <c r="S557" s="4"/>
      <c r="T557" s="4"/>
    </row>
    <row r="558" spans="1:20" ht="13.8" x14ac:dyDescent="0.25">
      <c r="A558" t="s">
        <v>16</v>
      </c>
      <c r="B558" t="s">
        <v>13</v>
      </c>
      <c r="C558" t="s">
        <v>30</v>
      </c>
      <c r="D558" t="s">
        <v>136</v>
      </c>
      <c r="E558" s="3" t="s">
        <v>10</v>
      </c>
      <c r="F558" s="4">
        <v>43457</v>
      </c>
      <c r="G558" s="4" t="s">
        <v>112</v>
      </c>
      <c r="H558">
        <v>700</v>
      </c>
      <c r="I558">
        <v>17199</v>
      </c>
      <c r="J558">
        <v>7154</v>
      </c>
      <c r="K558">
        <v>10045</v>
      </c>
      <c r="R558" s="3"/>
      <c r="S558" s="4"/>
      <c r="T558" s="4"/>
    </row>
    <row r="559" spans="1:20" ht="13.8" x14ac:dyDescent="0.25">
      <c r="A559" t="s">
        <v>126</v>
      </c>
      <c r="B559" t="s">
        <v>11</v>
      </c>
      <c r="C559" t="s">
        <v>27</v>
      </c>
      <c r="D559" t="s">
        <v>135</v>
      </c>
      <c r="E559" s="3" t="s">
        <v>15</v>
      </c>
      <c r="F559" s="4">
        <v>43458</v>
      </c>
      <c r="G559" s="4" t="s">
        <v>107</v>
      </c>
      <c r="H559">
        <v>100</v>
      </c>
      <c r="I559">
        <v>1968</v>
      </c>
      <c r="J559">
        <v>847</v>
      </c>
      <c r="K559">
        <v>1121</v>
      </c>
      <c r="R559" s="3"/>
      <c r="S559" s="4"/>
      <c r="T559" s="4"/>
    </row>
    <row r="560" spans="1:20" ht="13.8" x14ac:dyDescent="0.25">
      <c r="A560" t="s">
        <v>129</v>
      </c>
      <c r="B560" t="s">
        <v>13</v>
      </c>
      <c r="C560" t="s">
        <v>32</v>
      </c>
      <c r="D560" t="s">
        <v>139</v>
      </c>
      <c r="E560" s="3" t="s">
        <v>10</v>
      </c>
      <c r="F560" s="4">
        <v>43459</v>
      </c>
      <c r="G560" s="4" t="s">
        <v>101</v>
      </c>
      <c r="H560">
        <v>200</v>
      </c>
      <c r="I560">
        <v>4690</v>
      </c>
      <c r="J560">
        <v>2044</v>
      </c>
      <c r="K560">
        <v>2646</v>
      </c>
      <c r="R560" s="3"/>
      <c r="S560" s="4"/>
      <c r="T560" s="4"/>
    </row>
    <row r="561" spans="1:20" ht="13.8" x14ac:dyDescent="0.25">
      <c r="A561" t="s">
        <v>130</v>
      </c>
      <c r="B561" t="s">
        <v>11</v>
      </c>
      <c r="C561" t="s">
        <v>27</v>
      </c>
      <c r="D561" t="s">
        <v>135</v>
      </c>
      <c r="E561" s="3" t="s">
        <v>10</v>
      </c>
      <c r="F561" s="4">
        <v>43461</v>
      </c>
      <c r="G561" s="4" t="s">
        <v>110</v>
      </c>
      <c r="H561">
        <v>500</v>
      </c>
      <c r="I561">
        <v>11680</v>
      </c>
      <c r="J561">
        <v>5110</v>
      </c>
      <c r="K561">
        <v>6570</v>
      </c>
      <c r="R561" s="3"/>
      <c r="S561" s="4"/>
      <c r="T561" s="4"/>
    </row>
    <row r="562" spans="1:20" ht="13.8" x14ac:dyDescent="0.25">
      <c r="A562" t="s">
        <v>129</v>
      </c>
      <c r="B562" t="s">
        <v>13</v>
      </c>
      <c r="C562" t="s">
        <v>32</v>
      </c>
      <c r="D562" t="s">
        <v>139</v>
      </c>
      <c r="E562" s="3" t="s">
        <v>12</v>
      </c>
      <c r="F562" s="4">
        <v>43461</v>
      </c>
      <c r="G562" s="4" t="s">
        <v>101</v>
      </c>
      <c r="H562">
        <v>700</v>
      </c>
      <c r="I562">
        <v>14560</v>
      </c>
      <c r="J562">
        <v>6888</v>
      </c>
      <c r="K562">
        <v>7672</v>
      </c>
      <c r="R562" s="3"/>
      <c r="S562" s="4"/>
      <c r="T562" s="4"/>
    </row>
    <row r="563" spans="1:20" ht="13.8" x14ac:dyDescent="0.25">
      <c r="A563" t="s">
        <v>131</v>
      </c>
      <c r="B563" t="s">
        <v>13</v>
      </c>
      <c r="C563" t="s">
        <v>29</v>
      </c>
      <c r="D563" t="s">
        <v>143</v>
      </c>
      <c r="E563" s="3" t="s">
        <v>10</v>
      </c>
      <c r="F563" s="4">
        <v>43462</v>
      </c>
      <c r="G563" s="4" t="s">
        <v>115</v>
      </c>
      <c r="H563">
        <v>700</v>
      </c>
      <c r="I563">
        <v>15225</v>
      </c>
      <c r="J563">
        <v>7154</v>
      </c>
      <c r="K563">
        <v>8071</v>
      </c>
      <c r="R563" s="3"/>
      <c r="S563" s="4"/>
      <c r="T563" s="4"/>
    </row>
    <row r="564" spans="1:20" ht="13.8" x14ac:dyDescent="0.25">
      <c r="A564" t="s">
        <v>130</v>
      </c>
      <c r="B564" t="s">
        <v>9</v>
      </c>
      <c r="C564" t="s">
        <v>24</v>
      </c>
      <c r="D564" t="s">
        <v>134</v>
      </c>
      <c r="E564" s="3" t="s">
        <v>15</v>
      </c>
      <c r="F564" s="4">
        <v>43463</v>
      </c>
      <c r="G564" s="4" t="s">
        <v>105</v>
      </c>
      <c r="H564">
        <v>900</v>
      </c>
      <c r="I564">
        <v>15363</v>
      </c>
      <c r="J564">
        <v>7623</v>
      </c>
      <c r="K564">
        <v>7740</v>
      </c>
      <c r="R564" s="3"/>
      <c r="S564" s="4"/>
      <c r="T564" s="4"/>
    </row>
  </sheetData>
  <sortState xmlns:xlrd2="http://schemas.microsoft.com/office/spreadsheetml/2017/richdata2" ref="S4:U30">
    <sortCondition ref="U4:U3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T16"/>
  <sheetViews>
    <sheetView zoomScaleNormal="100" workbookViewId="0">
      <selection activeCell="C15" sqref="C15"/>
    </sheetView>
  </sheetViews>
  <sheetFormatPr defaultRowHeight="13.8" x14ac:dyDescent="0.25"/>
  <cols>
    <col min="1" max="1" width="11.296875" customWidth="1"/>
    <col min="2" max="4" width="9.5" customWidth="1"/>
    <col min="5" max="5" width="11.296875" customWidth="1"/>
    <col min="6" max="6" width="4.3984375" customWidth="1"/>
    <col min="7" max="7" width="2.296875" customWidth="1"/>
    <col min="8" max="8" width="23.59765625" customWidth="1"/>
    <col min="9" max="9" width="12.296875" customWidth="1"/>
    <col min="10" max="12" width="9.5" customWidth="1"/>
    <col min="13" max="13" width="9.59765625" customWidth="1"/>
    <col min="14" max="16" width="9.5" customWidth="1"/>
    <col min="17" max="17" width="11" customWidth="1"/>
    <col min="18" max="18" width="11.296875" customWidth="1"/>
  </cols>
  <sheetData>
    <row r="1" spans="1:20" x14ac:dyDescent="0.25">
      <c r="A1" s="5" t="s">
        <v>71</v>
      </c>
      <c r="B1" s="5" t="s">
        <v>62</v>
      </c>
      <c r="H1" t="s">
        <v>74</v>
      </c>
      <c r="I1">
        <f>C6</f>
        <v>180</v>
      </c>
      <c r="R1" t="s">
        <v>61</v>
      </c>
      <c r="S1" t="s">
        <v>62</v>
      </c>
      <c r="T1" t="s">
        <v>70</v>
      </c>
    </row>
    <row r="2" spans="1:20" x14ac:dyDescent="0.25">
      <c r="A2" s="5" t="s">
        <v>61</v>
      </c>
      <c r="B2" s="9" t="s">
        <v>63</v>
      </c>
      <c r="C2" s="9" t="s">
        <v>64</v>
      </c>
      <c r="D2" s="9" t="s">
        <v>65</v>
      </c>
      <c r="E2" t="s">
        <v>19</v>
      </c>
      <c r="H2" s="15" t="s">
        <v>79</v>
      </c>
      <c r="I2">
        <f>C7</f>
        <v>210</v>
      </c>
      <c r="R2" t="s">
        <v>66</v>
      </c>
      <c r="S2" t="s">
        <v>63</v>
      </c>
      <c r="T2">
        <v>100</v>
      </c>
    </row>
    <row r="3" spans="1:20" x14ac:dyDescent="0.25">
      <c r="A3" t="s">
        <v>66</v>
      </c>
      <c r="B3">
        <v>100</v>
      </c>
      <c r="C3">
        <v>10</v>
      </c>
      <c r="D3">
        <v>30</v>
      </c>
      <c r="E3">
        <v>140</v>
      </c>
      <c r="G3" s="9" t="s">
        <v>41</v>
      </c>
      <c r="H3" s="15" t="s">
        <v>77</v>
      </c>
      <c r="I3" s="14">
        <f>+I1/I2</f>
        <v>0.8571428571428571</v>
      </c>
      <c r="J3" s="14"/>
      <c r="R3" t="s">
        <v>66</v>
      </c>
      <c r="S3" t="s">
        <v>64</v>
      </c>
      <c r="T3">
        <v>10</v>
      </c>
    </row>
    <row r="4" spans="1:20" x14ac:dyDescent="0.25">
      <c r="A4" t="s">
        <v>67</v>
      </c>
      <c r="B4">
        <v>200</v>
      </c>
      <c r="C4">
        <v>10</v>
      </c>
      <c r="D4">
        <v>1</v>
      </c>
      <c r="E4">
        <v>211</v>
      </c>
      <c r="G4" s="9"/>
      <c r="R4" t="s">
        <v>66</v>
      </c>
      <c r="S4" t="s">
        <v>65</v>
      </c>
      <c r="T4">
        <v>30</v>
      </c>
    </row>
    <row r="5" spans="1:20" x14ac:dyDescent="0.25">
      <c r="A5" t="s">
        <v>68</v>
      </c>
      <c r="B5">
        <v>200</v>
      </c>
      <c r="C5">
        <v>10</v>
      </c>
      <c r="D5">
        <v>1</v>
      </c>
      <c r="E5">
        <v>211</v>
      </c>
      <c r="G5" s="9"/>
      <c r="H5" t="s">
        <v>73</v>
      </c>
      <c r="I5">
        <f>+E6</f>
        <v>285</v>
      </c>
      <c r="R5" t="s">
        <v>67</v>
      </c>
      <c r="S5" t="s">
        <v>63</v>
      </c>
      <c r="T5">
        <v>200</v>
      </c>
    </row>
    <row r="6" spans="1:20" x14ac:dyDescent="0.25">
      <c r="A6" t="s">
        <v>69</v>
      </c>
      <c r="B6">
        <v>100</v>
      </c>
      <c r="C6">
        <v>180</v>
      </c>
      <c r="D6">
        <v>5</v>
      </c>
      <c r="E6">
        <v>285</v>
      </c>
      <c r="G6" s="9"/>
      <c r="H6" s="15" t="s">
        <v>75</v>
      </c>
      <c r="I6">
        <f>E7</f>
        <v>847</v>
      </c>
      <c r="R6" t="s">
        <v>67</v>
      </c>
      <c r="S6" t="s">
        <v>64</v>
      </c>
      <c r="T6">
        <v>10</v>
      </c>
    </row>
    <row r="7" spans="1:20" x14ac:dyDescent="0.25">
      <c r="A7" t="s">
        <v>19</v>
      </c>
      <c r="B7">
        <v>600</v>
      </c>
      <c r="C7">
        <v>210</v>
      </c>
      <c r="D7">
        <v>37</v>
      </c>
      <c r="E7">
        <v>847</v>
      </c>
      <c r="G7" s="9" t="s">
        <v>42</v>
      </c>
      <c r="H7" s="15" t="s">
        <v>78</v>
      </c>
      <c r="I7" s="14">
        <f>+I5/I6</f>
        <v>0.33648170011806378</v>
      </c>
      <c r="J7" s="14"/>
      <c r="R7" t="s">
        <v>67</v>
      </c>
      <c r="S7" t="s">
        <v>65</v>
      </c>
      <c r="T7">
        <v>1</v>
      </c>
    </row>
    <row r="8" spans="1:20" x14ac:dyDescent="0.25">
      <c r="G8" s="9"/>
      <c r="R8" t="s">
        <v>68</v>
      </c>
      <c r="S8" t="s">
        <v>63</v>
      </c>
      <c r="T8">
        <v>200</v>
      </c>
    </row>
    <row r="9" spans="1:20" x14ac:dyDescent="0.25">
      <c r="H9" t="s">
        <v>76</v>
      </c>
      <c r="I9" s="14">
        <f>I3/I7</f>
        <v>2.5473684210526311</v>
      </c>
      <c r="J9" s="14"/>
      <c r="R9" t="s">
        <v>68</v>
      </c>
      <c r="S9" t="s">
        <v>64</v>
      </c>
      <c r="T9">
        <v>10</v>
      </c>
    </row>
    <row r="10" spans="1:20" x14ac:dyDescent="0.25">
      <c r="A10" s="5" t="s">
        <v>72</v>
      </c>
      <c r="B10" s="5" t="s">
        <v>62</v>
      </c>
      <c r="H10" s="16"/>
      <c r="I10" s="16"/>
      <c r="R10" t="s">
        <v>68</v>
      </c>
      <c r="S10" t="s">
        <v>65</v>
      </c>
      <c r="T10">
        <v>1</v>
      </c>
    </row>
    <row r="11" spans="1:20" x14ac:dyDescent="0.25">
      <c r="A11" s="5" t="s">
        <v>61</v>
      </c>
      <c r="B11" s="9" t="s">
        <v>63</v>
      </c>
      <c r="C11" s="9" t="s">
        <v>64</v>
      </c>
      <c r="D11" s="9" t="s">
        <v>65</v>
      </c>
      <c r="E11" t="s">
        <v>19</v>
      </c>
      <c r="H11" s="16"/>
      <c r="I11" s="16"/>
      <c r="R11" t="s">
        <v>69</v>
      </c>
      <c r="S11" t="s">
        <v>63</v>
      </c>
      <c r="T11">
        <v>100</v>
      </c>
    </row>
    <row r="12" spans="1:20" x14ac:dyDescent="0.25">
      <c r="A12" t="s">
        <v>66</v>
      </c>
      <c r="B12" s="14">
        <v>1.0083333333333333</v>
      </c>
      <c r="C12" s="14">
        <v>0.28809523809523807</v>
      </c>
      <c r="D12" s="14">
        <v>4.9054054054054053</v>
      </c>
      <c r="E12" s="14">
        <v>1</v>
      </c>
      <c r="H12" s="16"/>
      <c r="I12" s="16"/>
      <c r="R12" t="s">
        <v>69</v>
      </c>
      <c r="S12" t="s">
        <v>64</v>
      </c>
      <c r="T12">
        <v>180</v>
      </c>
    </row>
    <row r="13" spans="1:20" x14ac:dyDescent="0.25">
      <c r="A13" t="s">
        <v>67</v>
      </c>
      <c r="B13" s="14">
        <v>1.3380726698262244</v>
      </c>
      <c r="C13" s="14">
        <v>0.19115323854660349</v>
      </c>
      <c r="D13" s="14">
        <v>0.10849237863455871</v>
      </c>
      <c r="E13" s="14">
        <v>1</v>
      </c>
      <c r="R13" t="s">
        <v>69</v>
      </c>
      <c r="S13" t="s">
        <v>65</v>
      </c>
      <c r="T13">
        <v>5</v>
      </c>
    </row>
    <row r="14" spans="1:20" x14ac:dyDescent="0.25">
      <c r="A14" t="s">
        <v>68</v>
      </c>
      <c r="B14" s="14">
        <v>1.3380726698262244</v>
      </c>
      <c r="C14" s="14">
        <v>0.19115323854660349</v>
      </c>
      <c r="D14" s="14">
        <v>0.10849237863455871</v>
      </c>
      <c r="E14" s="14">
        <v>1</v>
      </c>
    </row>
    <row r="15" spans="1:20" ht="14.4" x14ac:dyDescent="0.3">
      <c r="A15" t="s">
        <v>69</v>
      </c>
      <c r="B15" s="14">
        <v>0.49532163742690055</v>
      </c>
      <c r="C15" s="17">
        <v>2.5473684210526315</v>
      </c>
      <c r="D15" s="14">
        <v>0.40161213845424371</v>
      </c>
      <c r="E15" s="14">
        <v>1</v>
      </c>
      <c r="R15">
        <f>165*0.035</f>
        <v>5.7750000000000004</v>
      </c>
    </row>
    <row r="16" spans="1:20" x14ac:dyDescent="0.25">
      <c r="A16" t="s">
        <v>19</v>
      </c>
      <c r="B16" s="14">
        <v>1</v>
      </c>
      <c r="C16" s="14">
        <v>1</v>
      </c>
      <c r="D16" s="14">
        <v>1</v>
      </c>
      <c r="E16" s="14">
        <v>1</v>
      </c>
    </row>
  </sheetData>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B7548-CBED-4F02-A863-2F25532BA857}">
  <dimension ref="A1:N32"/>
  <sheetViews>
    <sheetView workbookViewId="0">
      <selection activeCell="L4" sqref="L4"/>
    </sheetView>
  </sheetViews>
  <sheetFormatPr defaultRowHeight="14.4" x14ac:dyDescent="0.25"/>
  <cols>
    <col min="1" max="1" width="22.59765625" customWidth="1"/>
    <col min="2" max="2" width="15.5" customWidth="1"/>
    <col min="3" max="3" width="16.8984375" customWidth="1"/>
    <col min="4" max="4" width="15.5" customWidth="1"/>
    <col min="6" max="6" width="14.796875" customWidth="1"/>
    <col min="7" max="7" width="17.296875" customWidth="1"/>
    <col min="8" max="8" width="16.8984375" customWidth="1"/>
    <col min="9" max="9" width="15.5" customWidth="1"/>
    <col min="11" max="11" width="27.796875" customWidth="1"/>
    <col min="12" max="12" width="17.296875" customWidth="1"/>
    <col min="13" max="13" width="16.8984375" customWidth="1"/>
    <col min="14" max="14" width="15.5" customWidth="1"/>
  </cols>
  <sheetData>
    <row r="1" spans="1:14" x14ac:dyDescent="0.3">
      <c r="A1" s="8" t="s">
        <v>179</v>
      </c>
      <c r="F1" s="8" t="s">
        <v>180</v>
      </c>
      <c r="K1" s="8" t="s">
        <v>181</v>
      </c>
    </row>
    <row r="3" spans="1:14" ht="13.8" x14ac:dyDescent="0.25">
      <c r="A3" s="5" t="s">
        <v>1</v>
      </c>
      <c r="B3" s="5" t="s">
        <v>34</v>
      </c>
      <c r="C3" s="5" t="s">
        <v>35</v>
      </c>
      <c r="D3" t="s">
        <v>20</v>
      </c>
      <c r="F3" s="5" t="s">
        <v>1</v>
      </c>
      <c r="G3" s="5" t="s">
        <v>34</v>
      </c>
      <c r="H3" s="5" t="s">
        <v>35</v>
      </c>
      <c r="I3" t="s">
        <v>20</v>
      </c>
      <c r="K3" s="5" t="s">
        <v>1</v>
      </c>
      <c r="L3" s="5" t="s">
        <v>34</v>
      </c>
      <c r="M3" s="5" t="s">
        <v>35</v>
      </c>
      <c r="N3" t="s">
        <v>20</v>
      </c>
    </row>
    <row r="4" spans="1:14" ht="13.8" x14ac:dyDescent="0.25">
      <c r="A4" t="s">
        <v>9</v>
      </c>
      <c r="B4" t="s">
        <v>22</v>
      </c>
      <c r="C4" t="s">
        <v>141</v>
      </c>
      <c r="D4" s="7">
        <v>184425</v>
      </c>
      <c r="F4" t="s">
        <v>9</v>
      </c>
      <c r="G4" t="s">
        <v>22</v>
      </c>
      <c r="H4" t="s">
        <v>141</v>
      </c>
      <c r="I4" s="7">
        <v>184425</v>
      </c>
      <c r="K4" t="s">
        <v>9</v>
      </c>
      <c r="L4" t="s">
        <v>22</v>
      </c>
      <c r="M4" t="s">
        <v>141</v>
      </c>
      <c r="N4" s="7">
        <v>184425</v>
      </c>
    </row>
    <row r="5" spans="1:14" ht="13.8" x14ac:dyDescent="0.25">
      <c r="B5" t="s">
        <v>167</v>
      </c>
      <c r="D5" s="7">
        <v>184425</v>
      </c>
      <c r="G5" t="s">
        <v>25</v>
      </c>
      <c r="H5" t="s">
        <v>142</v>
      </c>
      <c r="I5" s="7">
        <v>107016</v>
      </c>
      <c r="L5" t="s">
        <v>25</v>
      </c>
      <c r="M5" t="s">
        <v>142</v>
      </c>
      <c r="N5" s="7">
        <v>107016</v>
      </c>
    </row>
    <row r="6" spans="1:14" ht="13.8" x14ac:dyDescent="0.25">
      <c r="B6" t="s">
        <v>25</v>
      </c>
      <c r="C6" t="s">
        <v>142</v>
      </c>
      <c r="D6" s="7">
        <v>107016</v>
      </c>
      <c r="G6" t="s">
        <v>24</v>
      </c>
      <c r="H6" t="s">
        <v>134</v>
      </c>
      <c r="I6" s="7">
        <v>1372957</v>
      </c>
      <c r="L6" t="s">
        <v>24</v>
      </c>
      <c r="M6" t="s">
        <v>134</v>
      </c>
      <c r="N6" s="7">
        <v>1372957</v>
      </c>
    </row>
    <row r="7" spans="1:14" ht="13.8" x14ac:dyDescent="0.25">
      <c r="B7" t="s">
        <v>168</v>
      </c>
      <c r="D7" s="7">
        <v>107016</v>
      </c>
      <c r="G7" t="s">
        <v>23</v>
      </c>
      <c r="H7" t="s">
        <v>137</v>
      </c>
      <c r="I7" s="7">
        <v>42316</v>
      </c>
      <c r="L7" t="s">
        <v>23</v>
      </c>
      <c r="M7" t="s">
        <v>137</v>
      </c>
      <c r="N7" s="7">
        <v>42316</v>
      </c>
    </row>
    <row r="8" spans="1:14" ht="13.8" x14ac:dyDescent="0.25">
      <c r="B8" t="s">
        <v>24</v>
      </c>
      <c r="C8" t="s">
        <v>134</v>
      </c>
      <c r="D8" s="7">
        <v>1372957</v>
      </c>
      <c r="G8" t="s">
        <v>26</v>
      </c>
      <c r="H8" t="s">
        <v>144</v>
      </c>
      <c r="I8" s="7">
        <v>34710</v>
      </c>
      <c r="L8" t="s">
        <v>26</v>
      </c>
      <c r="M8" t="s">
        <v>144</v>
      </c>
      <c r="N8" s="7">
        <v>34710</v>
      </c>
    </row>
    <row r="9" spans="1:14" ht="13.8" x14ac:dyDescent="0.25">
      <c r="B9" t="s">
        <v>169</v>
      </c>
      <c r="D9" s="7">
        <v>1372957</v>
      </c>
      <c r="F9" t="s">
        <v>11</v>
      </c>
      <c r="G9" t="s">
        <v>27</v>
      </c>
      <c r="H9" t="s">
        <v>135</v>
      </c>
      <c r="I9" s="7">
        <v>2124612</v>
      </c>
      <c r="K9" t="s">
        <v>11</v>
      </c>
      <c r="L9" t="s">
        <v>27</v>
      </c>
      <c r="M9" t="s">
        <v>135</v>
      </c>
      <c r="N9" s="7">
        <v>2124612</v>
      </c>
    </row>
    <row r="10" spans="1:14" ht="13.8" x14ac:dyDescent="0.25">
      <c r="B10" t="s">
        <v>23</v>
      </c>
      <c r="C10" t="s">
        <v>137</v>
      </c>
      <c r="D10" s="7">
        <v>42316</v>
      </c>
      <c r="F10" t="s">
        <v>13</v>
      </c>
      <c r="G10" t="s">
        <v>32</v>
      </c>
      <c r="H10" t="s">
        <v>139</v>
      </c>
      <c r="I10" s="7">
        <v>869454</v>
      </c>
      <c r="K10" t="s">
        <v>13</v>
      </c>
      <c r="L10" t="s">
        <v>32</v>
      </c>
      <c r="M10" t="s">
        <v>139</v>
      </c>
      <c r="N10" s="7">
        <v>869454</v>
      </c>
    </row>
    <row r="11" spans="1:14" ht="13.8" x14ac:dyDescent="0.25">
      <c r="B11" t="s">
        <v>170</v>
      </c>
      <c r="D11" s="7">
        <v>42316</v>
      </c>
      <c r="G11" t="s">
        <v>28</v>
      </c>
      <c r="H11" t="s">
        <v>140</v>
      </c>
      <c r="I11" s="7">
        <v>530306</v>
      </c>
      <c r="L11" t="s">
        <v>28</v>
      </c>
      <c r="M11" t="s">
        <v>140</v>
      </c>
      <c r="N11" s="7">
        <v>530306</v>
      </c>
    </row>
    <row r="12" spans="1:14" ht="13.8" x14ac:dyDescent="0.25">
      <c r="B12" t="s">
        <v>26</v>
      </c>
      <c r="C12" t="s">
        <v>144</v>
      </c>
      <c r="D12" s="7">
        <v>34710</v>
      </c>
      <c r="G12" t="s">
        <v>29</v>
      </c>
      <c r="H12" t="s">
        <v>143</v>
      </c>
      <c r="I12" s="7">
        <v>406326</v>
      </c>
      <c r="L12" t="s">
        <v>29</v>
      </c>
      <c r="M12" t="s">
        <v>143</v>
      </c>
      <c r="N12" s="7">
        <v>406326</v>
      </c>
    </row>
    <row r="13" spans="1:14" ht="13.8" x14ac:dyDescent="0.25">
      <c r="B13" t="s">
        <v>171</v>
      </c>
      <c r="D13" s="7">
        <v>34710</v>
      </c>
      <c r="G13" t="s">
        <v>30</v>
      </c>
      <c r="H13" t="s">
        <v>136</v>
      </c>
      <c r="I13" s="7">
        <v>796239</v>
      </c>
      <c r="L13" t="s">
        <v>30</v>
      </c>
      <c r="M13" t="s">
        <v>136</v>
      </c>
      <c r="N13" s="7">
        <v>796239</v>
      </c>
    </row>
    <row r="14" spans="1:14" ht="13.8" x14ac:dyDescent="0.25">
      <c r="A14" t="s">
        <v>55</v>
      </c>
      <c r="D14" s="7">
        <v>1741424</v>
      </c>
      <c r="F14" t="s">
        <v>14</v>
      </c>
      <c r="G14" t="s">
        <v>31</v>
      </c>
      <c r="H14" t="s">
        <v>138</v>
      </c>
      <c r="I14" s="7">
        <v>200201</v>
      </c>
      <c r="K14" t="s">
        <v>14</v>
      </c>
      <c r="L14" t="s">
        <v>31</v>
      </c>
      <c r="M14" t="s">
        <v>138</v>
      </c>
      <c r="N14" s="7">
        <v>200201</v>
      </c>
    </row>
    <row r="15" spans="1:14" ht="13.8" x14ac:dyDescent="0.25">
      <c r="A15" t="s">
        <v>11</v>
      </c>
      <c r="B15" t="s">
        <v>27</v>
      </c>
      <c r="C15" t="s">
        <v>135</v>
      </c>
      <c r="D15" s="7">
        <v>2124612</v>
      </c>
      <c r="G15" t="s">
        <v>33</v>
      </c>
      <c r="H15" t="s">
        <v>145</v>
      </c>
      <c r="I15" s="7">
        <v>39250</v>
      </c>
      <c r="L15" t="s">
        <v>33</v>
      </c>
      <c r="M15" t="s">
        <v>145</v>
      </c>
      <c r="N15" s="7">
        <v>39250</v>
      </c>
    </row>
    <row r="16" spans="1:14" ht="13.8" x14ac:dyDescent="0.25">
      <c r="B16" t="s">
        <v>172</v>
      </c>
      <c r="D16" s="7">
        <v>2124612</v>
      </c>
      <c r="F16" t="s">
        <v>19</v>
      </c>
      <c r="I16" s="7">
        <v>6707812</v>
      </c>
      <c r="K16" t="s">
        <v>19</v>
      </c>
      <c r="N16" s="7">
        <v>6707812</v>
      </c>
    </row>
    <row r="17" spans="1:4" ht="13.8" x14ac:dyDescent="0.25">
      <c r="A17" t="s">
        <v>56</v>
      </c>
      <c r="D17" s="7">
        <v>2124612</v>
      </c>
    </row>
    <row r="18" spans="1:4" ht="13.8" x14ac:dyDescent="0.25">
      <c r="A18" t="s">
        <v>13</v>
      </c>
      <c r="B18" t="s">
        <v>32</v>
      </c>
      <c r="C18" t="s">
        <v>139</v>
      </c>
      <c r="D18" s="7">
        <v>869454</v>
      </c>
    </row>
    <row r="19" spans="1:4" ht="13.8" x14ac:dyDescent="0.25">
      <c r="B19" t="s">
        <v>173</v>
      </c>
      <c r="D19" s="7">
        <v>869454</v>
      </c>
    </row>
    <row r="20" spans="1:4" ht="13.8" x14ac:dyDescent="0.25">
      <c r="B20" t="s">
        <v>28</v>
      </c>
      <c r="C20" t="s">
        <v>140</v>
      </c>
      <c r="D20" s="7">
        <v>530306</v>
      </c>
    </row>
    <row r="21" spans="1:4" ht="13.8" x14ac:dyDescent="0.25">
      <c r="B21" t="s">
        <v>174</v>
      </c>
      <c r="D21" s="7">
        <v>530306</v>
      </c>
    </row>
    <row r="22" spans="1:4" ht="13.8" x14ac:dyDescent="0.25">
      <c r="B22" t="s">
        <v>29</v>
      </c>
      <c r="C22" t="s">
        <v>143</v>
      </c>
      <c r="D22" s="7">
        <v>406326</v>
      </c>
    </row>
    <row r="23" spans="1:4" ht="13.8" x14ac:dyDescent="0.25">
      <c r="B23" t="s">
        <v>175</v>
      </c>
      <c r="D23" s="7">
        <v>406326</v>
      </c>
    </row>
    <row r="24" spans="1:4" ht="13.8" x14ac:dyDescent="0.25">
      <c r="B24" t="s">
        <v>30</v>
      </c>
      <c r="C24" t="s">
        <v>136</v>
      </c>
      <c r="D24" s="7">
        <v>796239</v>
      </c>
    </row>
    <row r="25" spans="1:4" ht="13.8" x14ac:dyDescent="0.25">
      <c r="B25" t="s">
        <v>176</v>
      </c>
      <c r="D25" s="7">
        <v>796239</v>
      </c>
    </row>
    <row r="26" spans="1:4" ht="13.8" x14ac:dyDescent="0.25">
      <c r="A26" t="s">
        <v>57</v>
      </c>
      <c r="D26" s="7">
        <v>2602325</v>
      </c>
    </row>
    <row r="27" spans="1:4" ht="13.8" x14ac:dyDescent="0.25">
      <c r="A27" t="s">
        <v>14</v>
      </c>
      <c r="B27" t="s">
        <v>31</v>
      </c>
      <c r="C27" t="s">
        <v>138</v>
      </c>
      <c r="D27" s="7">
        <v>200201</v>
      </c>
    </row>
    <row r="28" spans="1:4" ht="13.8" x14ac:dyDescent="0.25">
      <c r="B28" t="s">
        <v>177</v>
      </c>
      <c r="D28" s="7">
        <v>200201</v>
      </c>
    </row>
    <row r="29" spans="1:4" ht="13.8" x14ac:dyDescent="0.25">
      <c r="B29" t="s">
        <v>33</v>
      </c>
      <c r="C29" t="s">
        <v>145</v>
      </c>
      <c r="D29" s="7">
        <v>39250</v>
      </c>
    </row>
    <row r="30" spans="1:4" ht="13.8" x14ac:dyDescent="0.25">
      <c r="B30" t="s">
        <v>178</v>
      </c>
      <c r="D30" s="7">
        <v>39250</v>
      </c>
    </row>
    <row r="31" spans="1:4" ht="13.8" x14ac:dyDescent="0.25">
      <c r="A31" t="s">
        <v>58</v>
      </c>
      <c r="D31" s="7">
        <v>239451</v>
      </c>
    </row>
    <row r="32" spans="1:4" ht="13.8" x14ac:dyDescent="0.25">
      <c r="A32" t="s">
        <v>19</v>
      </c>
      <c r="D32" s="7">
        <v>6707812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6"/>
  <sheetViews>
    <sheetView workbookViewId="0">
      <selection activeCell="C4" sqref="C4"/>
    </sheetView>
  </sheetViews>
  <sheetFormatPr defaultRowHeight="14.4" x14ac:dyDescent="0.25"/>
  <cols>
    <col min="1" max="1" width="22.59765625" customWidth="1"/>
    <col min="2" max="2" width="15.5" customWidth="1"/>
    <col min="3" max="3" width="16.8984375" customWidth="1"/>
    <col min="4" max="4" width="15.5" customWidth="1"/>
  </cols>
  <sheetData>
    <row r="1" spans="1:4" x14ac:dyDescent="0.3">
      <c r="A1" s="8" t="s">
        <v>152</v>
      </c>
    </row>
    <row r="3" spans="1:4" ht="13.8" x14ac:dyDescent="0.25">
      <c r="A3" s="5" t="s">
        <v>1</v>
      </c>
      <c r="B3" s="5" t="s">
        <v>34</v>
      </c>
      <c r="C3" s="5" t="s">
        <v>35</v>
      </c>
      <c r="D3" t="s">
        <v>20</v>
      </c>
    </row>
    <row r="4" spans="1:4" ht="13.8" x14ac:dyDescent="0.25">
      <c r="A4" t="s">
        <v>9</v>
      </c>
      <c r="B4" t="s">
        <v>22</v>
      </c>
      <c r="C4" t="s">
        <v>141</v>
      </c>
      <c r="D4" s="7">
        <v>184425</v>
      </c>
    </row>
    <row r="5" spans="1:4" ht="13.8" x14ac:dyDescent="0.25">
      <c r="B5" t="s">
        <v>25</v>
      </c>
      <c r="C5" t="s">
        <v>142</v>
      </c>
      <c r="D5" s="7">
        <v>107016</v>
      </c>
    </row>
    <row r="6" spans="1:4" ht="13.8" x14ac:dyDescent="0.25">
      <c r="B6" t="s">
        <v>24</v>
      </c>
      <c r="C6" t="s">
        <v>134</v>
      </c>
      <c r="D6" s="7">
        <v>1372957</v>
      </c>
    </row>
    <row r="7" spans="1:4" ht="13.8" x14ac:dyDescent="0.25">
      <c r="B7" t="s">
        <v>23</v>
      </c>
      <c r="C7" t="s">
        <v>137</v>
      </c>
      <c r="D7" s="7">
        <v>42316</v>
      </c>
    </row>
    <row r="8" spans="1:4" ht="13.8" x14ac:dyDescent="0.25">
      <c r="B8" t="s">
        <v>26</v>
      </c>
      <c r="C8" t="s">
        <v>144</v>
      </c>
      <c r="D8" s="7">
        <v>34710</v>
      </c>
    </row>
    <row r="9" spans="1:4" ht="13.8" x14ac:dyDescent="0.25">
      <c r="A9" t="s">
        <v>80</v>
      </c>
      <c r="D9" s="7">
        <v>1741424</v>
      </c>
    </row>
    <row r="10" spans="1:4" ht="13.8" x14ac:dyDescent="0.25">
      <c r="A10" t="s">
        <v>81</v>
      </c>
      <c r="D10" s="7">
        <v>144</v>
      </c>
    </row>
    <row r="11" spans="1:4" ht="13.8" x14ac:dyDescent="0.25">
      <c r="A11" t="s">
        <v>82</v>
      </c>
      <c r="D11" s="7">
        <v>12093.222222222223</v>
      </c>
    </row>
    <row r="12" spans="1:4" ht="13.8" x14ac:dyDescent="0.25">
      <c r="A12" t="s">
        <v>83</v>
      </c>
      <c r="D12" s="7">
        <v>25080</v>
      </c>
    </row>
    <row r="13" spans="1:4" ht="13.8" x14ac:dyDescent="0.25">
      <c r="A13" t="s">
        <v>84</v>
      </c>
      <c r="D13" s="7">
        <v>1704</v>
      </c>
    </row>
    <row r="14" spans="1:4" ht="13.8" x14ac:dyDescent="0.25">
      <c r="A14" t="s">
        <v>11</v>
      </c>
      <c r="B14" t="s">
        <v>27</v>
      </c>
      <c r="C14" t="s">
        <v>135</v>
      </c>
      <c r="D14" s="7">
        <v>2124612</v>
      </c>
    </row>
    <row r="15" spans="1:4" ht="13.8" x14ac:dyDescent="0.25">
      <c r="A15" t="s">
        <v>85</v>
      </c>
      <c r="D15" s="7">
        <v>2124612</v>
      </c>
    </row>
    <row r="16" spans="1:4" ht="13.8" x14ac:dyDescent="0.25">
      <c r="A16" t="s">
        <v>86</v>
      </c>
      <c r="D16" s="7">
        <v>188</v>
      </c>
    </row>
    <row r="17" spans="1:4" ht="13.8" x14ac:dyDescent="0.25">
      <c r="A17" t="s">
        <v>87</v>
      </c>
      <c r="D17" s="7">
        <v>11301.127659574468</v>
      </c>
    </row>
    <row r="18" spans="1:4" ht="13.8" x14ac:dyDescent="0.25">
      <c r="A18" t="s">
        <v>88</v>
      </c>
      <c r="D18" s="7">
        <v>25010</v>
      </c>
    </row>
    <row r="19" spans="1:4" ht="13.8" x14ac:dyDescent="0.25">
      <c r="A19" t="s">
        <v>89</v>
      </c>
      <c r="D19" s="7">
        <v>1741</v>
      </c>
    </row>
    <row r="20" spans="1:4" ht="13.8" x14ac:dyDescent="0.25">
      <c r="A20" t="s">
        <v>13</v>
      </c>
      <c r="B20" t="s">
        <v>32</v>
      </c>
      <c r="C20" t="s">
        <v>139</v>
      </c>
      <c r="D20" s="7">
        <v>869454</v>
      </c>
    </row>
    <row r="21" spans="1:4" ht="13.8" x14ac:dyDescent="0.25">
      <c r="B21" t="s">
        <v>28</v>
      </c>
      <c r="C21" t="s">
        <v>140</v>
      </c>
      <c r="D21" s="7">
        <v>530306</v>
      </c>
    </row>
    <row r="22" spans="1:4" ht="13.8" x14ac:dyDescent="0.25">
      <c r="B22" t="s">
        <v>29</v>
      </c>
      <c r="C22" t="s">
        <v>143</v>
      </c>
      <c r="D22" s="7">
        <v>406326</v>
      </c>
    </row>
    <row r="23" spans="1:4" ht="13.8" x14ac:dyDescent="0.25">
      <c r="B23" t="s">
        <v>30</v>
      </c>
      <c r="C23" t="s">
        <v>136</v>
      </c>
      <c r="D23" s="7">
        <v>796239</v>
      </c>
    </row>
    <row r="24" spans="1:4" ht="13.8" x14ac:dyDescent="0.25">
      <c r="A24" t="s">
        <v>90</v>
      </c>
      <c r="D24" s="7">
        <v>2602325</v>
      </c>
    </row>
    <row r="25" spans="1:4" ht="13.8" x14ac:dyDescent="0.25">
      <c r="A25" t="s">
        <v>91</v>
      </c>
      <c r="D25" s="7">
        <v>211</v>
      </c>
    </row>
    <row r="26" spans="1:4" ht="13.8" x14ac:dyDescent="0.25">
      <c r="A26" t="s">
        <v>92</v>
      </c>
      <c r="D26" s="7">
        <v>12333.293838862559</v>
      </c>
    </row>
    <row r="27" spans="1:4" ht="13.8" x14ac:dyDescent="0.25">
      <c r="A27" t="s">
        <v>93</v>
      </c>
      <c r="D27" s="7">
        <v>25350</v>
      </c>
    </row>
    <row r="28" spans="1:4" ht="13.8" x14ac:dyDescent="0.25">
      <c r="A28" t="s">
        <v>94</v>
      </c>
      <c r="D28" s="7">
        <v>1740</v>
      </c>
    </row>
    <row r="29" spans="1:4" ht="13.8" x14ac:dyDescent="0.25">
      <c r="A29" t="s">
        <v>14</v>
      </c>
      <c r="B29" t="s">
        <v>31</v>
      </c>
      <c r="C29" t="s">
        <v>138</v>
      </c>
      <c r="D29" s="7">
        <v>200201</v>
      </c>
    </row>
    <row r="30" spans="1:4" ht="13.8" x14ac:dyDescent="0.25">
      <c r="B30" t="s">
        <v>33</v>
      </c>
      <c r="C30" t="s">
        <v>145</v>
      </c>
      <c r="D30" s="7">
        <v>39250</v>
      </c>
    </row>
    <row r="31" spans="1:4" ht="13.8" x14ac:dyDescent="0.25">
      <c r="A31" t="s">
        <v>95</v>
      </c>
      <c r="D31" s="7">
        <v>239451</v>
      </c>
    </row>
    <row r="32" spans="1:4" ht="13.8" x14ac:dyDescent="0.25">
      <c r="A32" t="s">
        <v>96</v>
      </c>
      <c r="D32" s="7">
        <v>20</v>
      </c>
    </row>
    <row r="33" spans="1:4" ht="13.8" x14ac:dyDescent="0.25">
      <c r="A33" t="s">
        <v>97</v>
      </c>
      <c r="D33" s="7">
        <v>11972.55</v>
      </c>
    </row>
    <row r="34" spans="1:4" ht="13.8" x14ac:dyDescent="0.25">
      <c r="A34" t="s">
        <v>98</v>
      </c>
      <c r="D34" s="7">
        <v>21730</v>
      </c>
    </row>
    <row r="35" spans="1:4" ht="13.8" x14ac:dyDescent="0.25">
      <c r="A35" t="s">
        <v>99</v>
      </c>
      <c r="D35" s="7">
        <v>2358</v>
      </c>
    </row>
    <row r="36" spans="1:4" ht="13.8" x14ac:dyDescent="0.25">
      <c r="A36" t="s">
        <v>19</v>
      </c>
      <c r="D36" s="7">
        <v>6707812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97FF9-CA9E-407B-9D3C-789B7BB6C535}">
  <dimension ref="A1:F11"/>
  <sheetViews>
    <sheetView workbookViewId="0">
      <selection activeCell="A3" sqref="A3"/>
    </sheetView>
  </sheetViews>
  <sheetFormatPr defaultRowHeight="13.8" x14ac:dyDescent="0.25"/>
  <cols>
    <col min="1" max="1" width="11.8984375" customWidth="1"/>
    <col min="2" max="5" width="10" customWidth="1"/>
    <col min="6" max="7" width="11" customWidth="1"/>
    <col min="8" max="8" width="10" bestFit="1" customWidth="1"/>
  </cols>
  <sheetData>
    <row r="1" spans="1:6" ht="22.8" x14ac:dyDescent="0.4">
      <c r="A1" s="18"/>
    </row>
    <row r="2" spans="1:6" ht="14.4" x14ac:dyDescent="0.3">
      <c r="A2" s="8"/>
    </row>
    <row r="3" spans="1:6" x14ac:dyDescent="0.25">
      <c r="A3" s="37" t="s">
        <v>133</v>
      </c>
      <c r="B3" s="37" t="s">
        <v>2</v>
      </c>
      <c r="C3" s="42"/>
      <c r="D3" s="42"/>
      <c r="E3" s="42"/>
      <c r="F3" s="49"/>
    </row>
    <row r="4" spans="1:6" x14ac:dyDescent="0.25">
      <c r="A4" s="37" t="s">
        <v>0</v>
      </c>
      <c r="B4" s="38" t="s">
        <v>17</v>
      </c>
      <c r="C4" s="50" t="s">
        <v>12</v>
      </c>
      <c r="D4" s="50" t="s">
        <v>10</v>
      </c>
      <c r="E4" s="50" t="s">
        <v>15</v>
      </c>
      <c r="F4" s="45" t="s">
        <v>19</v>
      </c>
    </row>
    <row r="5" spans="1:6" x14ac:dyDescent="0.25">
      <c r="A5" s="38" t="s">
        <v>127</v>
      </c>
      <c r="B5" s="39">
        <v>0</v>
      </c>
      <c r="C5" s="51">
        <v>22334</v>
      </c>
      <c r="D5" s="51">
        <v>41030</v>
      </c>
      <c r="E5" s="51">
        <v>22240</v>
      </c>
      <c r="F5" s="46">
        <v>85604</v>
      </c>
    </row>
    <row r="6" spans="1:6" x14ac:dyDescent="0.25">
      <c r="A6" s="40" t="s">
        <v>129</v>
      </c>
      <c r="B6" s="41">
        <v>6036</v>
      </c>
      <c r="C6" s="7">
        <v>397088</v>
      </c>
      <c r="D6" s="7">
        <v>412120</v>
      </c>
      <c r="E6" s="7">
        <v>315891</v>
      </c>
      <c r="F6" s="47">
        <v>1131135</v>
      </c>
    </row>
    <row r="7" spans="1:6" x14ac:dyDescent="0.25">
      <c r="A7" s="40" t="s">
        <v>131</v>
      </c>
      <c r="B7" s="41">
        <v>0</v>
      </c>
      <c r="C7" s="7">
        <v>150638</v>
      </c>
      <c r="D7" s="7">
        <v>190936</v>
      </c>
      <c r="E7" s="7">
        <v>135371</v>
      </c>
      <c r="F7" s="47">
        <v>476945</v>
      </c>
    </row>
    <row r="8" spans="1:6" x14ac:dyDescent="0.25">
      <c r="A8" s="40" t="s">
        <v>16</v>
      </c>
      <c r="B8" s="41">
        <v>28663</v>
      </c>
      <c r="C8" s="7">
        <v>222030</v>
      </c>
      <c r="D8" s="7">
        <v>251037</v>
      </c>
      <c r="E8" s="7">
        <v>318390</v>
      </c>
      <c r="F8" s="47">
        <v>820120</v>
      </c>
    </row>
    <row r="9" spans="1:6" x14ac:dyDescent="0.25">
      <c r="A9" s="40" t="s">
        <v>130</v>
      </c>
      <c r="B9" s="53">
        <v>38860</v>
      </c>
      <c r="C9" s="7">
        <v>370856</v>
      </c>
      <c r="D9" s="7">
        <v>444225</v>
      </c>
      <c r="E9" s="7">
        <v>422624</v>
      </c>
      <c r="F9" s="47">
        <v>1276565</v>
      </c>
    </row>
    <row r="10" spans="1:6" x14ac:dyDescent="0.25">
      <c r="A10" s="40" t="s">
        <v>126</v>
      </c>
      <c r="B10" s="41">
        <v>0</v>
      </c>
      <c r="C10" s="7">
        <v>1000768</v>
      </c>
      <c r="D10" s="7">
        <v>1053672</v>
      </c>
      <c r="E10" s="7">
        <v>863003</v>
      </c>
      <c r="F10" s="47">
        <v>2917443</v>
      </c>
    </row>
    <row r="11" spans="1:6" x14ac:dyDescent="0.25">
      <c r="A11" s="43" t="s">
        <v>19</v>
      </c>
      <c r="B11" s="44">
        <v>73559</v>
      </c>
      <c r="C11" s="52">
        <v>2163714</v>
      </c>
      <c r="D11" s="52">
        <v>2393020</v>
      </c>
      <c r="E11" s="52">
        <v>2077519</v>
      </c>
      <c r="F11" s="48">
        <v>6707812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564"/>
  <sheetViews>
    <sheetView workbookViewId="0">
      <selection activeCell="L11" sqref="L11"/>
    </sheetView>
  </sheetViews>
  <sheetFormatPr defaultRowHeight="14.4" x14ac:dyDescent="0.25"/>
  <cols>
    <col min="1" max="1" width="16" customWidth="1"/>
    <col min="2" max="2" width="9.796875" customWidth="1"/>
    <col min="3" max="3" width="8.296875" customWidth="1"/>
    <col min="4" max="4" width="10.59765625" customWidth="1"/>
    <col min="5" max="5" width="38.59765625" customWidth="1"/>
    <col min="6" max="6" width="8.5" customWidth="1"/>
    <col min="7" max="7" width="8.8984375" customWidth="1"/>
    <col min="8" max="9" width="5.8984375" customWidth="1"/>
  </cols>
  <sheetData>
    <row r="1" spans="1:13" ht="13.8" x14ac:dyDescent="0.25">
      <c r="A1" s="1" t="s">
        <v>0</v>
      </c>
      <c r="B1" s="1" t="s">
        <v>1</v>
      </c>
      <c r="C1" s="1" t="s">
        <v>2</v>
      </c>
      <c r="D1" s="1" t="s">
        <v>3</v>
      </c>
      <c r="E1" s="1" t="s">
        <v>4</v>
      </c>
      <c r="F1" s="2" t="s">
        <v>5</v>
      </c>
      <c r="G1" s="2" t="s">
        <v>6</v>
      </c>
      <c r="H1" s="2" t="s">
        <v>7</v>
      </c>
      <c r="I1" s="2" t="s">
        <v>8</v>
      </c>
    </row>
    <row r="2" spans="1:13" ht="13.8" x14ac:dyDescent="0.25">
      <c r="A2" t="s">
        <v>126</v>
      </c>
      <c r="B2" t="s">
        <v>9</v>
      </c>
      <c r="C2" s="3" t="s">
        <v>10</v>
      </c>
      <c r="D2" s="4">
        <v>42736</v>
      </c>
      <c r="E2" s="4" t="s">
        <v>100</v>
      </c>
      <c r="F2">
        <v>1000</v>
      </c>
      <c r="H2">
        <v>10220</v>
      </c>
      <c r="I2">
        <v>12590</v>
      </c>
      <c r="L2" s="5" t="s">
        <v>18</v>
      </c>
      <c r="M2" t="s">
        <v>20</v>
      </c>
    </row>
    <row r="3" spans="1:13" ht="13.8" x14ac:dyDescent="0.25">
      <c r="A3" t="s">
        <v>130</v>
      </c>
      <c r="B3" t="s">
        <v>11</v>
      </c>
      <c r="C3" s="3" t="s">
        <v>12</v>
      </c>
      <c r="D3" s="4">
        <v>42737</v>
      </c>
      <c r="E3" s="4" t="s">
        <v>106</v>
      </c>
      <c r="F3">
        <v>100</v>
      </c>
      <c r="G3">
        <v>2257</v>
      </c>
      <c r="H3">
        <v>984</v>
      </c>
      <c r="I3">
        <v>1273</v>
      </c>
      <c r="L3" s="6" t="s">
        <v>17</v>
      </c>
      <c r="M3">
        <v>73559</v>
      </c>
    </row>
    <row r="4" spans="1:13" ht="13.8" x14ac:dyDescent="0.25">
      <c r="A4" t="s">
        <v>127</v>
      </c>
      <c r="B4" t="s">
        <v>13</v>
      </c>
      <c r="C4" s="3" t="s">
        <v>10</v>
      </c>
      <c r="D4" s="4">
        <v>42739</v>
      </c>
      <c r="E4" s="4" t="s">
        <v>102</v>
      </c>
      <c r="F4">
        <v>400</v>
      </c>
      <c r="G4">
        <v>9152</v>
      </c>
      <c r="H4">
        <v>4088</v>
      </c>
      <c r="I4">
        <v>5064</v>
      </c>
      <c r="L4" s="6" t="s">
        <v>12</v>
      </c>
      <c r="M4">
        <v>2163714</v>
      </c>
    </row>
    <row r="5" spans="1:13" ht="13.8" x14ac:dyDescent="0.25">
      <c r="A5" t="s">
        <v>129</v>
      </c>
      <c r="B5" t="s">
        <v>9</v>
      </c>
      <c r="C5" s="3" t="s">
        <v>12</v>
      </c>
      <c r="D5" s="4">
        <v>42739</v>
      </c>
      <c r="E5" s="4" t="s">
        <v>103</v>
      </c>
      <c r="F5">
        <v>800</v>
      </c>
      <c r="G5">
        <v>18552</v>
      </c>
      <c r="H5">
        <v>7872</v>
      </c>
      <c r="I5">
        <v>10680</v>
      </c>
      <c r="L5" s="6" t="s">
        <v>10</v>
      </c>
      <c r="M5">
        <v>2370210</v>
      </c>
    </row>
    <row r="6" spans="1:13" ht="13.8" x14ac:dyDescent="0.25">
      <c r="A6" t="s">
        <v>129</v>
      </c>
      <c r="B6" t="s">
        <v>14</v>
      </c>
      <c r="C6" s="3" t="s">
        <v>12</v>
      </c>
      <c r="D6" s="4">
        <v>42742</v>
      </c>
      <c r="E6" s="4" t="s">
        <v>104</v>
      </c>
      <c r="F6">
        <v>1000</v>
      </c>
      <c r="G6">
        <v>21730</v>
      </c>
      <c r="H6">
        <v>9840</v>
      </c>
      <c r="I6">
        <v>11890</v>
      </c>
      <c r="L6" s="6" t="s">
        <v>15</v>
      </c>
      <c r="M6">
        <v>2077519</v>
      </c>
    </row>
    <row r="7" spans="1:13" ht="13.8" x14ac:dyDescent="0.25">
      <c r="A7" t="s">
        <v>130</v>
      </c>
      <c r="B7" t="s">
        <v>9</v>
      </c>
      <c r="C7" s="3" t="s">
        <v>15</v>
      </c>
      <c r="D7" s="4">
        <v>42742</v>
      </c>
      <c r="E7" s="4" t="s">
        <v>105</v>
      </c>
      <c r="F7">
        <v>400</v>
      </c>
      <c r="G7">
        <v>8456</v>
      </c>
      <c r="H7">
        <v>3388</v>
      </c>
      <c r="I7">
        <v>5068</v>
      </c>
      <c r="L7" s="6" t="s">
        <v>19</v>
      </c>
      <c r="M7">
        <v>6685002</v>
      </c>
    </row>
    <row r="8" spans="1:13" ht="13.8" x14ac:dyDescent="0.25">
      <c r="A8" t="s">
        <v>130</v>
      </c>
      <c r="B8" t="s">
        <v>9</v>
      </c>
      <c r="C8" s="3" t="s">
        <v>15</v>
      </c>
      <c r="D8" s="4">
        <v>42744</v>
      </c>
      <c r="E8" s="4" t="s">
        <v>105</v>
      </c>
      <c r="F8">
        <v>800</v>
      </c>
      <c r="G8">
        <v>16416</v>
      </c>
      <c r="H8">
        <v>6776</v>
      </c>
      <c r="I8">
        <v>9640</v>
      </c>
    </row>
    <row r="9" spans="1:13" ht="13.8" x14ac:dyDescent="0.25">
      <c r="A9" t="s">
        <v>129</v>
      </c>
      <c r="B9" t="s">
        <v>13</v>
      </c>
      <c r="C9" s="3" t="s">
        <v>10</v>
      </c>
      <c r="D9" s="4">
        <v>42745</v>
      </c>
      <c r="E9" s="4" t="s">
        <v>101</v>
      </c>
      <c r="F9">
        <v>900</v>
      </c>
      <c r="G9">
        <v>21438</v>
      </c>
      <c r="H9">
        <v>9198</v>
      </c>
      <c r="I9">
        <v>12240</v>
      </c>
      <c r="L9" s="6" t="s">
        <v>185</v>
      </c>
    </row>
    <row r="10" spans="1:13" ht="13.8" x14ac:dyDescent="0.25">
      <c r="A10" t="s">
        <v>126</v>
      </c>
      <c r="B10" t="s">
        <v>11</v>
      </c>
      <c r="C10" s="3" t="s">
        <v>15</v>
      </c>
      <c r="D10" s="4">
        <v>42747</v>
      </c>
      <c r="E10" s="4" t="s">
        <v>107</v>
      </c>
      <c r="F10">
        <v>300</v>
      </c>
      <c r="G10">
        <v>6267</v>
      </c>
      <c r="H10">
        <v>2541</v>
      </c>
      <c r="I10">
        <v>3726</v>
      </c>
      <c r="L10" s="6" t="s">
        <v>186</v>
      </c>
    </row>
    <row r="11" spans="1:13" ht="13.8" x14ac:dyDescent="0.25">
      <c r="A11" t="s">
        <v>126</v>
      </c>
      <c r="B11" t="s">
        <v>13</v>
      </c>
      <c r="C11" s="3" t="s">
        <v>10</v>
      </c>
      <c r="D11" s="4">
        <v>42749</v>
      </c>
      <c r="E11" s="4" t="s">
        <v>108</v>
      </c>
      <c r="F11">
        <v>100</v>
      </c>
      <c r="G11">
        <v>2401</v>
      </c>
      <c r="H11">
        <v>1022</v>
      </c>
      <c r="I11">
        <v>1379</v>
      </c>
    </row>
    <row r="12" spans="1:13" ht="13.8" x14ac:dyDescent="0.25">
      <c r="A12" t="s">
        <v>130</v>
      </c>
      <c r="B12" t="s">
        <v>11</v>
      </c>
      <c r="C12" s="3" t="s">
        <v>15</v>
      </c>
      <c r="D12" s="4">
        <v>42750</v>
      </c>
      <c r="E12" s="4" t="s">
        <v>106</v>
      </c>
      <c r="F12">
        <v>500</v>
      </c>
      <c r="G12">
        <v>9345</v>
      </c>
      <c r="H12">
        <v>4235</v>
      </c>
      <c r="I12">
        <v>5110</v>
      </c>
    </row>
    <row r="13" spans="1:13" ht="13.8" x14ac:dyDescent="0.25">
      <c r="A13" t="s">
        <v>126</v>
      </c>
      <c r="B13" t="s">
        <v>11</v>
      </c>
      <c r="C13" s="3" t="s">
        <v>15</v>
      </c>
      <c r="D13" s="4">
        <v>42751</v>
      </c>
      <c r="E13" s="4" t="s">
        <v>109</v>
      </c>
      <c r="F13">
        <v>600</v>
      </c>
      <c r="G13">
        <v>11628</v>
      </c>
      <c r="H13">
        <v>5082</v>
      </c>
      <c r="I13">
        <v>6546</v>
      </c>
    </row>
    <row r="14" spans="1:13" ht="13.8" x14ac:dyDescent="0.25">
      <c r="A14" t="s">
        <v>130</v>
      </c>
      <c r="B14" t="s">
        <v>11</v>
      </c>
      <c r="C14" s="3" t="s">
        <v>12</v>
      </c>
      <c r="D14" s="4">
        <v>42754</v>
      </c>
      <c r="E14" s="4" t="s">
        <v>106</v>
      </c>
      <c r="F14">
        <v>100</v>
      </c>
      <c r="G14">
        <v>2042</v>
      </c>
      <c r="H14">
        <v>984</v>
      </c>
      <c r="I14">
        <v>1058</v>
      </c>
    </row>
    <row r="15" spans="1:13" ht="13.8" x14ac:dyDescent="0.25">
      <c r="A15" t="s">
        <v>130</v>
      </c>
      <c r="B15" t="s">
        <v>11</v>
      </c>
      <c r="C15" s="3" t="s">
        <v>17</v>
      </c>
      <c r="D15" s="4">
        <v>42756</v>
      </c>
      <c r="E15" s="4" t="s">
        <v>110</v>
      </c>
      <c r="F15">
        <v>800</v>
      </c>
      <c r="G15">
        <v>14440</v>
      </c>
      <c r="H15">
        <v>6776</v>
      </c>
      <c r="I15">
        <v>7664</v>
      </c>
    </row>
    <row r="16" spans="1:13" ht="13.8" x14ac:dyDescent="0.25">
      <c r="A16" t="s">
        <v>129</v>
      </c>
      <c r="B16" t="s">
        <v>9</v>
      </c>
      <c r="C16" s="3" t="s">
        <v>17</v>
      </c>
      <c r="D16" s="4">
        <v>42756</v>
      </c>
      <c r="E16" s="4" t="s">
        <v>103</v>
      </c>
      <c r="F16">
        <v>200</v>
      </c>
      <c r="G16">
        <v>3552</v>
      </c>
      <c r="H16">
        <v>1694</v>
      </c>
      <c r="I16">
        <v>1858</v>
      </c>
    </row>
    <row r="17" spans="1:9" ht="13.8" x14ac:dyDescent="0.25">
      <c r="A17" t="s">
        <v>130</v>
      </c>
      <c r="B17" t="s">
        <v>9</v>
      </c>
      <c r="C17" s="3" t="s">
        <v>15</v>
      </c>
      <c r="D17" s="4">
        <v>42758</v>
      </c>
      <c r="E17" s="4" t="s">
        <v>105</v>
      </c>
      <c r="F17">
        <v>800</v>
      </c>
      <c r="G17">
        <v>14592</v>
      </c>
      <c r="H17">
        <v>6776</v>
      </c>
      <c r="I17">
        <v>7816</v>
      </c>
    </row>
    <row r="18" spans="1:9" ht="13.8" x14ac:dyDescent="0.25">
      <c r="A18" t="s">
        <v>126</v>
      </c>
      <c r="B18" t="s">
        <v>11</v>
      </c>
      <c r="C18" s="3" t="s">
        <v>15</v>
      </c>
      <c r="D18" s="4">
        <v>42759</v>
      </c>
      <c r="E18" s="4" t="s">
        <v>107</v>
      </c>
      <c r="F18">
        <v>600</v>
      </c>
      <c r="G18">
        <v>12606</v>
      </c>
      <c r="H18">
        <v>5082</v>
      </c>
      <c r="I18">
        <v>7524</v>
      </c>
    </row>
    <row r="19" spans="1:9" ht="13.8" x14ac:dyDescent="0.25">
      <c r="A19" t="s">
        <v>126</v>
      </c>
      <c r="B19" t="s">
        <v>11</v>
      </c>
      <c r="C19" s="3" t="s">
        <v>15</v>
      </c>
      <c r="D19" s="4">
        <v>42760</v>
      </c>
      <c r="E19" s="4" t="s">
        <v>109</v>
      </c>
      <c r="F19">
        <v>1000</v>
      </c>
      <c r="G19">
        <v>20770</v>
      </c>
      <c r="H19">
        <v>8470</v>
      </c>
      <c r="I19">
        <v>12300</v>
      </c>
    </row>
    <row r="20" spans="1:9" ht="13.8" x14ac:dyDescent="0.25">
      <c r="A20" t="s">
        <v>126</v>
      </c>
      <c r="B20" t="s">
        <v>11</v>
      </c>
      <c r="C20" s="3" t="s">
        <v>15</v>
      </c>
      <c r="D20" s="4">
        <v>42761</v>
      </c>
      <c r="E20" s="4" t="s">
        <v>107</v>
      </c>
      <c r="F20">
        <v>400</v>
      </c>
      <c r="G20">
        <v>8128</v>
      </c>
      <c r="H20">
        <v>3388</v>
      </c>
      <c r="I20">
        <v>4740</v>
      </c>
    </row>
    <row r="21" spans="1:9" ht="13.8" x14ac:dyDescent="0.25">
      <c r="A21" t="s">
        <v>127</v>
      </c>
      <c r="B21" t="s">
        <v>13</v>
      </c>
      <c r="C21" s="3" t="s">
        <v>15</v>
      </c>
      <c r="D21" s="4">
        <v>42764</v>
      </c>
      <c r="E21" s="4" t="s">
        <v>102</v>
      </c>
      <c r="F21">
        <v>400</v>
      </c>
      <c r="G21">
        <v>7136</v>
      </c>
      <c r="H21">
        <v>3388</v>
      </c>
      <c r="I21">
        <v>3748</v>
      </c>
    </row>
    <row r="22" spans="1:9" ht="13.8" x14ac:dyDescent="0.25">
      <c r="A22" t="s">
        <v>130</v>
      </c>
      <c r="B22" t="s">
        <v>9</v>
      </c>
      <c r="C22" s="3" t="s">
        <v>12</v>
      </c>
      <c r="D22" s="4">
        <v>42764</v>
      </c>
      <c r="E22" s="4" t="s">
        <v>105</v>
      </c>
      <c r="F22">
        <v>700</v>
      </c>
      <c r="G22">
        <v>17150</v>
      </c>
      <c r="H22">
        <v>6888</v>
      </c>
      <c r="I22">
        <v>10262</v>
      </c>
    </row>
    <row r="23" spans="1:9" ht="13.8" x14ac:dyDescent="0.25">
      <c r="A23" t="s">
        <v>129</v>
      </c>
      <c r="B23" t="s">
        <v>13</v>
      </c>
      <c r="C23" s="3" t="s">
        <v>12</v>
      </c>
      <c r="D23" s="4">
        <v>42765</v>
      </c>
      <c r="E23" s="4" t="s">
        <v>101</v>
      </c>
      <c r="F23">
        <v>300</v>
      </c>
      <c r="G23">
        <v>6714</v>
      </c>
      <c r="H23">
        <v>2952</v>
      </c>
      <c r="I23">
        <v>3762</v>
      </c>
    </row>
    <row r="24" spans="1:9" ht="13.8" x14ac:dyDescent="0.25">
      <c r="A24" t="s">
        <v>130</v>
      </c>
      <c r="B24" t="s">
        <v>9</v>
      </c>
      <c r="C24" s="3" t="s">
        <v>15</v>
      </c>
      <c r="D24" s="4">
        <v>42766</v>
      </c>
      <c r="E24" s="4" t="s">
        <v>105</v>
      </c>
      <c r="F24">
        <v>800</v>
      </c>
      <c r="G24">
        <v>15640</v>
      </c>
      <c r="H24">
        <v>6776</v>
      </c>
      <c r="I24">
        <v>8864</v>
      </c>
    </row>
    <row r="25" spans="1:9" ht="13.8" x14ac:dyDescent="0.25">
      <c r="A25" t="s">
        <v>129</v>
      </c>
      <c r="B25" t="s">
        <v>13</v>
      </c>
      <c r="C25" s="3" t="s">
        <v>15</v>
      </c>
      <c r="D25" s="4">
        <v>42767</v>
      </c>
      <c r="E25" s="4" t="s">
        <v>101</v>
      </c>
      <c r="F25">
        <v>300</v>
      </c>
      <c r="G25">
        <v>5532</v>
      </c>
      <c r="H25">
        <v>2541</v>
      </c>
      <c r="I25">
        <v>2991</v>
      </c>
    </row>
    <row r="26" spans="1:9" ht="13.8" x14ac:dyDescent="0.25">
      <c r="A26" t="s">
        <v>130</v>
      </c>
      <c r="B26" t="s">
        <v>11</v>
      </c>
      <c r="C26" s="3" t="s">
        <v>12</v>
      </c>
      <c r="D26" s="4">
        <v>42769</v>
      </c>
      <c r="E26" s="4" t="s">
        <v>106</v>
      </c>
      <c r="F26">
        <v>800</v>
      </c>
      <c r="G26">
        <v>17160</v>
      </c>
      <c r="H26">
        <v>7872</v>
      </c>
      <c r="I26">
        <v>9288</v>
      </c>
    </row>
    <row r="27" spans="1:9" ht="13.8" x14ac:dyDescent="0.25">
      <c r="A27" t="s">
        <v>126</v>
      </c>
      <c r="B27" t="s">
        <v>11</v>
      </c>
      <c r="C27" s="3" t="s">
        <v>12</v>
      </c>
      <c r="D27" s="4">
        <v>42772</v>
      </c>
      <c r="E27" s="4" t="s">
        <v>128</v>
      </c>
      <c r="F27">
        <v>900</v>
      </c>
      <c r="G27">
        <v>21708</v>
      </c>
      <c r="H27">
        <v>8856</v>
      </c>
      <c r="I27">
        <v>12852</v>
      </c>
    </row>
    <row r="28" spans="1:9" ht="13.8" x14ac:dyDescent="0.25">
      <c r="A28" t="s">
        <v>126</v>
      </c>
      <c r="B28" t="s">
        <v>11</v>
      </c>
      <c r="C28" s="3" t="s">
        <v>15</v>
      </c>
      <c r="D28" s="4">
        <v>42773</v>
      </c>
      <c r="E28" s="4" t="s">
        <v>107</v>
      </c>
      <c r="F28">
        <v>1000</v>
      </c>
      <c r="G28">
        <v>19890</v>
      </c>
      <c r="H28">
        <v>8470</v>
      </c>
      <c r="I28">
        <v>11420</v>
      </c>
    </row>
    <row r="29" spans="1:9" ht="13.8" x14ac:dyDescent="0.25">
      <c r="A29" t="s">
        <v>126</v>
      </c>
      <c r="B29" t="s">
        <v>11</v>
      </c>
      <c r="C29" s="3" t="s">
        <v>15</v>
      </c>
      <c r="D29" s="4">
        <v>42774</v>
      </c>
      <c r="E29" s="4" t="s">
        <v>109</v>
      </c>
      <c r="F29">
        <v>100</v>
      </c>
      <c r="G29">
        <v>1817</v>
      </c>
      <c r="H29">
        <v>847</v>
      </c>
      <c r="I29">
        <v>970</v>
      </c>
    </row>
    <row r="30" spans="1:9" ht="13.8" x14ac:dyDescent="0.25">
      <c r="A30" t="s">
        <v>130</v>
      </c>
      <c r="B30" t="s">
        <v>9</v>
      </c>
      <c r="C30" s="3" t="s">
        <v>15</v>
      </c>
      <c r="D30" s="4">
        <v>42775</v>
      </c>
      <c r="E30" s="4" t="s">
        <v>105</v>
      </c>
      <c r="F30">
        <v>300</v>
      </c>
      <c r="G30">
        <v>5157</v>
      </c>
      <c r="H30">
        <v>2541</v>
      </c>
      <c r="I30">
        <v>2616</v>
      </c>
    </row>
    <row r="31" spans="1:9" ht="13.8" x14ac:dyDescent="0.25">
      <c r="A31" t="s">
        <v>126</v>
      </c>
      <c r="B31" t="s">
        <v>11</v>
      </c>
      <c r="C31" s="3" t="s">
        <v>12</v>
      </c>
      <c r="D31" s="4">
        <v>42780</v>
      </c>
      <c r="E31" s="4" t="s">
        <v>109</v>
      </c>
      <c r="F31">
        <v>700</v>
      </c>
      <c r="G31">
        <v>13867</v>
      </c>
      <c r="H31">
        <v>6888</v>
      </c>
      <c r="I31">
        <v>6979</v>
      </c>
    </row>
    <row r="32" spans="1:9" ht="13.8" x14ac:dyDescent="0.25">
      <c r="A32" t="s">
        <v>126</v>
      </c>
      <c r="B32" t="s">
        <v>9</v>
      </c>
      <c r="C32" s="3" t="s">
        <v>10</v>
      </c>
      <c r="D32" s="4">
        <v>42782</v>
      </c>
      <c r="E32" s="4" t="s">
        <v>111</v>
      </c>
      <c r="F32">
        <v>800</v>
      </c>
      <c r="G32">
        <v>16936</v>
      </c>
      <c r="H32">
        <v>8176</v>
      </c>
      <c r="I32">
        <v>8760</v>
      </c>
    </row>
    <row r="33" spans="1:9" ht="13.8" x14ac:dyDescent="0.25">
      <c r="A33" t="s">
        <v>16</v>
      </c>
      <c r="B33" t="s">
        <v>13</v>
      </c>
      <c r="C33" s="3" t="s">
        <v>15</v>
      </c>
      <c r="D33" s="4">
        <v>42783</v>
      </c>
      <c r="E33" s="4" t="s">
        <v>112</v>
      </c>
      <c r="F33">
        <v>600</v>
      </c>
      <c r="G33">
        <v>11430</v>
      </c>
      <c r="H33">
        <v>5082</v>
      </c>
      <c r="I33">
        <v>6348</v>
      </c>
    </row>
    <row r="34" spans="1:9" ht="13.8" x14ac:dyDescent="0.25">
      <c r="A34" t="s">
        <v>129</v>
      </c>
      <c r="B34" t="s">
        <v>13</v>
      </c>
      <c r="C34" s="3" t="s">
        <v>15</v>
      </c>
      <c r="D34" s="4">
        <v>42784</v>
      </c>
      <c r="E34" s="4" t="s">
        <v>101</v>
      </c>
      <c r="F34">
        <v>1000</v>
      </c>
      <c r="G34">
        <v>20250</v>
      </c>
      <c r="H34">
        <v>8470</v>
      </c>
      <c r="I34">
        <v>11780</v>
      </c>
    </row>
    <row r="35" spans="1:9" ht="13.8" x14ac:dyDescent="0.25">
      <c r="A35" t="s">
        <v>129</v>
      </c>
      <c r="B35" t="s">
        <v>13</v>
      </c>
      <c r="C35" s="3" t="s">
        <v>15</v>
      </c>
      <c r="D35" s="4">
        <v>42785</v>
      </c>
      <c r="E35" s="4" t="s">
        <v>101</v>
      </c>
      <c r="F35">
        <v>500</v>
      </c>
      <c r="G35">
        <v>10385</v>
      </c>
      <c r="H35">
        <v>4235</v>
      </c>
      <c r="I35">
        <v>6150</v>
      </c>
    </row>
    <row r="36" spans="1:9" ht="13.8" x14ac:dyDescent="0.25">
      <c r="A36" t="s">
        <v>16</v>
      </c>
      <c r="B36" t="s">
        <v>13</v>
      </c>
      <c r="C36" s="3" t="s">
        <v>15</v>
      </c>
      <c r="D36" s="4">
        <v>42786</v>
      </c>
      <c r="E36" s="4" t="s">
        <v>112</v>
      </c>
      <c r="F36">
        <v>600</v>
      </c>
      <c r="G36">
        <v>11124</v>
      </c>
      <c r="H36">
        <v>5082</v>
      </c>
      <c r="I36">
        <v>6042</v>
      </c>
    </row>
    <row r="37" spans="1:9" ht="13.8" x14ac:dyDescent="0.25">
      <c r="A37" t="s">
        <v>126</v>
      </c>
      <c r="B37" t="s">
        <v>9</v>
      </c>
      <c r="C37" s="3" t="s">
        <v>15</v>
      </c>
      <c r="D37" s="4">
        <v>42786</v>
      </c>
      <c r="E37" s="4" t="s">
        <v>100</v>
      </c>
      <c r="F37">
        <v>300</v>
      </c>
      <c r="G37">
        <v>5700</v>
      </c>
      <c r="H37">
        <v>2541</v>
      </c>
      <c r="I37">
        <v>3159</v>
      </c>
    </row>
    <row r="38" spans="1:9" ht="13.8" x14ac:dyDescent="0.25">
      <c r="A38" t="s">
        <v>129</v>
      </c>
      <c r="B38" t="s">
        <v>13</v>
      </c>
      <c r="C38" s="3" t="s">
        <v>10</v>
      </c>
      <c r="D38" s="4">
        <v>42786</v>
      </c>
      <c r="E38" s="4" t="s">
        <v>101</v>
      </c>
      <c r="F38">
        <v>1000</v>
      </c>
      <c r="G38">
        <v>23810</v>
      </c>
      <c r="H38">
        <v>10220</v>
      </c>
      <c r="I38">
        <v>13590</v>
      </c>
    </row>
    <row r="39" spans="1:9" ht="13.8" x14ac:dyDescent="0.25">
      <c r="A39" t="s">
        <v>129</v>
      </c>
      <c r="B39" t="s">
        <v>13</v>
      </c>
      <c r="C39" s="3" t="s">
        <v>10</v>
      </c>
      <c r="D39" s="4">
        <v>42789</v>
      </c>
      <c r="E39" s="4" t="s">
        <v>101</v>
      </c>
      <c r="F39">
        <v>500</v>
      </c>
      <c r="G39">
        <v>11525</v>
      </c>
      <c r="H39">
        <v>5110</v>
      </c>
      <c r="I39">
        <v>6415</v>
      </c>
    </row>
    <row r="40" spans="1:9" ht="13.8" x14ac:dyDescent="0.25">
      <c r="A40" t="s">
        <v>126</v>
      </c>
      <c r="B40" t="s">
        <v>14</v>
      </c>
      <c r="C40" s="3" t="s">
        <v>12</v>
      </c>
      <c r="D40" s="4">
        <v>42792</v>
      </c>
      <c r="E40" s="4" t="s">
        <v>113</v>
      </c>
      <c r="F40">
        <v>900</v>
      </c>
      <c r="G40">
        <v>20610</v>
      </c>
      <c r="H40">
        <v>8856</v>
      </c>
      <c r="I40">
        <v>11754</v>
      </c>
    </row>
    <row r="41" spans="1:9" ht="13.8" x14ac:dyDescent="0.25">
      <c r="A41" t="s">
        <v>126</v>
      </c>
      <c r="B41" t="s">
        <v>9</v>
      </c>
      <c r="C41" s="3" t="s">
        <v>12</v>
      </c>
      <c r="D41" s="4">
        <v>42792</v>
      </c>
      <c r="E41" s="4" t="s">
        <v>100</v>
      </c>
      <c r="F41">
        <v>600</v>
      </c>
      <c r="G41">
        <v>13206</v>
      </c>
      <c r="H41">
        <v>5904</v>
      </c>
      <c r="I41">
        <v>7302</v>
      </c>
    </row>
    <row r="42" spans="1:9" ht="13.8" x14ac:dyDescent="0.25">
      <c r="A42" t="s">
        <v>129</v>
      </c>
      <c r="B42" t="s">
        <v>13</v>
      </c>
      <c r="C42" s="3" t="s">
        <v>10</v>
      </c>
      <c r="D42" s="4">
        <v>42792</v>
      </c>
      <c r="E42" s="4" t="s">
        <v>101</v>
      </c>
      <c r="F42">
        <v>1000</v>
      </c>
      <c r="G42">
        <v>25140</v>
      </c>
      <c r="H42">
        <v>10220</v>
      </c>
      <c r="I42">
        <v>14920</v>
      </c>
    </row>
    <row r="43" spans="1:9" ht="13.8" x14ac:dyDescent="0.25">
      <c r="A43" t="s">
        <v>126</v>
      </c>
      <c r="B43" t="s">
        <v>9</v>
      </c>
      <c r="C43" s="3" t="s">
        <v>15</v>
      </c>
      <c r="D43" s="4">
        <v>42793</v>
      </c>
      <c r="E43" s="4" t="s">
        <v>100</v>
      </c>
      <c r="F43">
        <v>900</v>
      </c>
      <c r="G43">
        <v>16209</v>
      </c>
      <c r="H43">
        <v>7623</v>
      </c>
      <c r="I43">
        <v>8586</v>
      </c>
    </row>
    <row r="44" spans="1:9" ht="13.8" x14ac:dyDescent="0.25">
      <c r="A44" t="s">
        <v>129</v>
      </c>
      <c r="B44" t="s">
        <v>13</v>
      </c>
      <c r="C44" s="3" t="s">
        <v>12</v>
      </c>
      <c r="D44" s="4">
        <v>42793</v>
      </c>
      <c r="E44" s="4" t="s">
        <v>101</v>
      </c>
      <c r="F44">
        <v>400</v>
      </c>
      <c r="G44">
        <v>8708</v>
      </c>
      <c r="H44">
        <v>3936</v>
      </c>
      <c r="I44">
        <v>4772</v>
      </c>
    </row>
    <row r="45" spans="1:9" ht="13.8" x14ac:dyDescent="0.25">
      <c r="A45" t="s">
        <v>130</v>
      </c>
      <c r="B45" t="s">
        <v>9</v>
      </c>
      <c r="C45" s="3" t="s">
        <v>10</v>
      </c>
      <c r="D45" s="4">
        <v>42794</v>
      </c>
      <c r="E45" s="4" t="s">
        <v>105</v>
      </c>
      <c r="F45">
        <v>900</v>
      </c>
      <c r="G45">
        <v>21456</v>
      </c>
      <c r="H45">
        <v>9198</v>
      </c>
      <c r="I45">
        <v>12258</v>
      </c>
    </row>
    <row r="46" spans="1:9" ht="13.8" x14ac:dyDescent="0.25">
      <c r="A46" t="s">
        <v>129</v>
      </c>
      <c r="B46" t="s">
        <v>13</v>
      </c>
      <c r="C46" s="3" t="s">
        <v>10</v>
      </c>
      <c r="D46" s="4">
        <v>42795</v>
      </c>
      <c r="E46" s="4" t="s">
        <v>101</v>
      </c>
      <c r="F46">
        <v>500</v>
      </c>
      <c r="G46">
        <v>10445</v>
      </c>
      <c r="H46">
        <v>5110</v>
      </c>
      <c r="I46">
        <v>5335</v>
      </c>
    </row>
    <row r="47" spans="1:9" ht="13.8" x14ac:dyDescent="0.25">
      <c r="A47" t="s">
        <v>126</v>
      </c>
      <c r="B47" t="s">
        <v>11</v>
      </c>
      <c r="C47" s="3" t="s">
        <v>12</v>
      </c>
      <c r="D47" s="4">
        <v>42798</v>
      </c>
      <c r="E47" s="4" t="s">
        <v>128</v>
      </c>
      <c r="F47">
        <v>600</v>
      </c>
      <c r="G47">
        <v>14472</v>
      </c>
      <c r="H47">
        <v>5904</v>
      </c>
      <c r="I47">
        <v>8568</v>
      </c>
    </row>
    <row r="48" spans="1:9" ht="13.8" x14ac:dyDescent="0.25">
      <c r="A48" t="s">
        <v>129</v>
      </c>
      <c r="B48" t="s">
        <v>13</v>
      </c>
      <c r="C48" s="3" t="s">
        <v>10</v>
      </c>
      <c r="D48" s="4">
        <v>42799</v>
      </c>
      <c r="E48" s="4" t="s">
        <v>101</v>
      </c>
      <c r="F48">
        <v>200</v>
      </c>
      <c r="G48">
        <v>4262</v>
      </c>
      <c r="H48">
        <v>2044</v>
      </c>
      <c r="I48">
        <v>2218</v>
      </c>
    </row>
    <row r="49" spans="1:9" ht="13.8" x14ac:dyDescent="0.25">
      <c r="A49" t="s">
        <v>126</v>
      </c>
      <c r="B49" t="s">
        <v>9</v>
      </c>
      <c r="C49" s="3" t="s">
        <v>15</v>
      </c>
      <c r="D49" s="4">
        <v>42800</v>
      </c>
      <c r="E49" s="4" t="s">
        <v>114</v>
      </c>
      <c r="F49">
        <v>700</v>
      </c>
      <c r="G49">
        <v>12474</v>
      </c>
      <c r="H49">
        <v>5929</v>
      </c>
      <c r="I49">
        <v>6545</v>
      </c>
    </row>
    <row r="50" spans="1:9" ht="13.8" x14ac:dyDescent="0.25">
      <c r="A50" t="s">
        <v>16</v>
      </c>
      <c r="B50" t="s">
        <v>13</v>
      </c>
      <c r="C50" s="3" t="s">
        <v>15</v>
      </c>
      <c r="D50" s="4">
        <v>42801</v>
      </c>
      <c r="E50" s="4" t="s">
        <v>112</v>
      </c>
      <c r="F50">
        <v>500</v>
      </c>
      <c r="G50">
        <v>10155</v>
      </c>
      <c r="H50">
        <v>4235</v>
      </c>
      <c r="I50">
        <v>5920</v>
      </c>
    </row>
    <row r="51" spans="1:9" ht="13.8" x14ac:dyDescent="0.25">
      <c r="A51" t="s">
        <v>129</v>
      </c>
      <c r="B51" t="s">
        <v>13</v>
      </c>
      <c r="C51" s="3" t="s">
        <v>12</v>
      </c>
      <c r="D51" s="4">
        <v>42804</v>
      </c>
      <c r="E51" s="4" t="s">
        <v>101</v>
      </c>
      <c r="F51">
        <v>900</v>
      </c>
      <c r="G51">
        <v>19503</v>
      </c>
      <c r="H51">
        <v>8856</v>
      </c>
      <c r="I51">
        <v>10647</v>
      </c>
    </row>
    <row r="52" spans="1:9" ht="13.8" x14ac:dyDescent="0.25">
      <c r="A52" t="s">
        <v>126</v>
      </c>
      <c r="B52" t="s">
        <v>11</v>
      </c>
      <c r="C52" s="3" t="s">
        <v>15</v>
      </c>
      <c r="D52" s="4">
        <v>42807</v>
      </c>
      <c r="E52" s="4" t="s">
        <v>107</v>
      </c>
      <c r="F52">
        <v>100</v>
      </c>
      <c r="G52">
        <v>1819</v>
      </c>
      <c r="H52">
        <v>847</v>
      </c>
      <c r="I52">
        <v>972</v>
      </c>
    </row>
    <row r="53" spans="1:9" ht="13.8" x14ac:dyDescent="0.25">
      <c r="A53" t="s">
        <v>126</v>
      </c>
      <c r="B53" t="s">
        <v>11</v>
      </c>
      <c r="C53" s="3" t="s">
        <v>10</v>
      </c>
      <c r="D53" s="4">
        <v>42808</v>
      </c>
      <c r="E53" s="4" t="s">
        <v>109</v>
      </c>
      <c r="F53">
        <v>1000</v>
      </c>
      <c r="G53">
        <v>24430</v>
      </c>
      <c r="H53">
        <v>10220</v>
      </c>
      <c r="I53">
        <v>14210</v>
      </c>
    </row>
    <row r="54" spans="1:9" ht="13.8" x14ac:dyDescent="0.25">
      <c r="A54" t="s">
        <v>129</v>
      </c>
      <c r="B54" t="s">
        <v>13</v>
      </c>
      <c r="C54" s="3" t="s">
        <v>10</v>
      </c>
      <c r="D54" s="4">
        <v>42808</v>
      </c>
      <c r="E54" s="4" t="s">
        <v>101</v>
      </c>
      <c r="F54">
        <v>500</v>
      </c>
      <c r="G54">
        <v>10935</v>
      </c>
      <c r="H54">
        <v>5110</v>
      </c>
      <c r="I54">
        <v>5825</v>
      </c>
    </row>
    <row r="55" spans="1:9" ht="13.8" x14ac:dyDescent="0.25">
      <c r="A55" t="s">
        <v>126</v>
      </c>
      <c r="B55" t="s">
        <v>14</v>
      </c>
      <c r="C55" s="3" t="s">
        <v>15</v>
      </c>
      <c r="D55" s="4">
        <v>42810</v>
      </c>
      <c r="E55" s="4" t="s">
        <v>113</v>
      </c>
      <c r="F55">
        <v>400</v>
      </c>
      <c r="G55">
        <v>8116</v>
      </c>
      <c r="H55">
        <v>3388</v>
      </c>
      <c r="I55">
        <v>4728</v>
      </c>
    </row>
    <row r="56" spans="1:9" ht="13.8" x14ac:dyDescent="0.25">
      <c r="A56" t="s">
        <v>126</v>
      </c>
      <c r="B56" t="s">
        <v>11</v>
      </c>
      <c r="C56" s="3" t="s">
        <v>10</v>
      </c>
      <c r="D56" s="4">
        <v>42811</v>
      </c>
      <c r="E56" s="4" t="s">
        <v>109</v>
      </c>
      <c r="F56">
        <v>900</v>
      </c>
      <c r="G56">
        <v>18783</v>
      </c>
      <c r="H56">
        <v>9198</v>
      </c>
      <c r="I56">
        <v>9585</v>
      </c>
    </row>
    <row r="57" spans="1:9" ht="13.8" x14ac:dyDescent="0.25">
      <c r="A57" t="s">
        <v>129</v>
      </c>
      <c r="B57" t="s">
        <v>13</v>
      </c>
      <c r="C57" s="3" t="s">
        <v>15</v>
      </c>
      <c r="D57" s="4">
        <v>42813</v>
      </c>
      <c r="E57" s="4" t="s">
        <v>101</v>
      </c>
      <c r="F57">
        <v>800</v>
      </c>
      <c r="G57">
        <v>16696</v>
      </c>
      <c r="H57">
        <v>6776</v>
      </c>
      <c r="I57">
        <v>9920</v>
      </c>
    </row>
    <row r="58" spans="1:9" ht="13.8" x14ac:dyDescent="0.25">
      <c r="A58" t="s">
        <v>126</v>
      </c>
      <c r="B58" t="s">
        <v>11</v>
      </c>
      <c r="C58" s="3" t="s">
        <v>15</v>
      </c>
      <c r="D58" s="4">
        <v>42814</v>
      </c>
      <c r="E58" s="4" t="s">
        <v>128</v>
      </c>
      <c r="F58">
        <v>400</v>
      </c>
      <c r="G58">
        <v>7132</v>
      </c>
      <c r="H58">
        <v>3388</v>
      </c>
      <c r="I58">
        <v>3744</v>
      </c>
    </row>
    <row r="59" spans="1:9" ht="13.8" x14ac:dyDescent="0.25">
      <c r="A59" t="s">
        <v>126</v>
      </c>
      <c r="B59" t="s">
        <v>11</v>
      </c>
      <c r="C59" s="3" t="s">
        <v>10</v>
      </c>
      <c r="D59" s="4">
        <v>42815</v>
      </c>
      <c r="E59" s="4" t="s">
        <v>128</v>
      </c>
      <c r="F59">
        <v>200</v>
      </c>
      <c r="G59">
        <v>4784</v>
      </c>
      <c r="H59">
        <v>2044</v>
      </c>
      <c r="I59">
        <v>2740</v>
      </c>
    </row>
    <row r="60" spans="1:9" ht="13.8" x14ac:dyDescent="0.25">
      <c r="A60" t="s">
        <v>126</v>
      </c>
      <c r="B60" t="s">
        <v>13</v>
      </c>
      <c r="C60" s="3" t="s">
        <v>10</v>
      </c>
      <c r="D60" s="4">
        <v>42816</v>
      </c>
      <c r="E60" s="4" t="s">
        <v>108</v>
      </c>
      <c r="F60">
        <v>300</v>
      </c>
      <c r="G60">
        <v>6765</v>
      </c>
      <c r="H60">
        <v>3066</v>
      </c>
      <c r="I60">
        <v>3699</v>
      </c>
    </row>
    <row r="61" spans="1:9" ht="13.8" x14ac:dyDescent="0.25">
      <c r="A61" t="s">
        <v>129</v>
      </c>
      <c r="B61" t="s">
        <v>13</v>
      </c>
      <c r="C61" s="3" t="s">
        <v>15</v>
      </c>
      <c r="D61" s="4">
        <v>42817</v>
      </c>
      <c r="E61" s="4" t="s">
        <v>101</v>
      </c>
      <c r="F61">
        <v>300</v>
      </c>
      <c r="G61">
        <v>5355</v>
      </c>
      <c r="H61">
        <v>2541</v>
      </c>
      <c r="I61">
        <v>2814</v>
      </c>
    </row>
    <row r="62" spans="1:9" ht="13.8" x14ac:dyDescent="0.25">
      <c r="A62" t="s">
        <v>129</v>
      </c>
      <c r="B62" t="s">
        <v>13</v>
      </c>
      <c r="C62" s="3" t="s">
        <v>15</v>
      </c>
      <c r="D62" s="4">
        <v>42818</v>
      </c>
      <c r="E62" s="4" t="s">
        <v>101</v>
      </c>
      <c r="F62">
        <v>200</v>
      </c>
      <c r="G62">
        <v>3756</v>
      </c>
      <c r="H62">
        <v>1694</v>
      </c>
      <c r="I62">
        <v>2062</v>
      </c>
    </row>
    <row r="63" spans="1:9" ht="13.8" x14ac:dyDescent="0.25">
      <c r="A63" t="s">
        <v>130</v>
      </c>
      <c r="B63" t="s">
        <v>9</v>
      </c>
      <c r="C63" s="3" t="s">
        <v>12</v>
      </c>
      <c r="D63" s="4">
        <v>42819</v>
      </c>
      <c r="E63" s="4" t="s">
        <v>105</v>
      </c>
      <c r="F63">
        <v>1000</v>
      </c>
      <c r="G63">
        <v>20090</v>
      </c>
      <c r="H63">
        <v>9840</v>
      </c>
      <c r="I63">
        <v>10250</v>
      </c>
    </row>
    <row r="64" spans="1:9" ht="13.8" x14ac:dyDescent="0.25">
      <c r="A64" t="s">
        <v>126</v>
      </c>
      <c r="B64" t="s">
        <v>9</v>
      </c>
      <c r="C64" s="3" t="s">
        <v>10</v>
      </c>
      <c r="D64" s="4">
        <v>42820</v>
      </c>
      <c r="E64" s="4" t="s">
        <v>100</v>
      </c>
      <c r="F64">
        <v>1000</v>
      </c>
      <c r="G64">
        <v>23090</v>
      </c>
      <c r="H64">
        <v>10220</v>
      </c>
      <c r="I64">
        <v>12870</v>
      </c>
    </row>
    <row r="65" spans="1:9" ht="13.8" x14ac:dyDescent="0.25">
      <c r="A65" t="s">
        <v>126</v>
      </c>
      <c r="B65" t="s">
        <v>13</v>
      </c>
      <c r="C65" s="3" t="s">
        <v>12</v>
      </c>
      <c r="D65" s="4">
        <v>42822</v>
      </c>
      <c r="E65" s="4" t="s">
        <v>108</v>
      </c>
      <c r="F65">
        <v>900</v>
      </c>
      <c r="G65">
        <v>21357</v>
      </c>
      <c r="H65">
        <v>8856</v>
      </c>
      <c r="I65">
        <v>12501</v>
      </c>
    </row>
    <row r="66" spans="1:9" ht="13.8" x14ac:dyDescent="0.25">
      <c r="A66" t="s">
        <v>130</v>
      </c>
      <c r="B66" t="s">
        <v>9</v>
      </c>
      <c r="C66" s="3" t="s">
        <v>15</v>
      </c>
      <c r="D66" s="4">
        <v>42822</v>
      </c>
      <c r="E66" s="4" t="s">
        <v>105</v>
      </c>
      <c r="F66">
        <v>300</v>
      </c>
      <c r="G66">
        <v>5358</v>
      </c>
      <c r="H66">
        <v>2541</v>
      </c>
      <c r="I66">
        <v>2817</v>
      </c>
    </row>
    <row r="67" spans="1:9" ht="13.8" x14ac:dyDescent="0.25">
      <c r="A67" t="s">
        <v>126</v>
      </c>
      <c r="B67" t="s">
        <v>11</v>
      </c>
      <c r="C67" s="3" t="s">
        <v>12</v>
      </c>
      <c r="D67" s="4">
        <v>42824</v>
      </c>
      <c r="E67" s="4" t="s">
        <v>128</v>
      </c>
      <c r="F67">
        <v>800</v>
      </c>
      <c r="G67">
        <v>16016</v>
      </c>
      <c r="H67">
        <v>7872</v>
      </c>
      <c r="I67">
        <v>8144</v>
      </c>
    </row>
    <row r="68" spans="1:9" ht="13.8" x14ac:dyDescent="0.25">
      <c r="A68" t="s">
        <v>126</v>
      </c>
      <c r="B68" t="s">
        <v>13</v>
      </c>
      <c r="C68" s="3" t="s">
        <v>10</v>
      </c>
      <c r="D68" s="4">
        <v>42826</v>
      </c>
      <c r="E68" s="4" t="s">
        <v>108</v>
      </c>
      <c r="F68">
        <v>600</v>
      </c>
      <c r="G68">
        <v>14448</v>
      </c>
      <c r="H68">
        <v>6132</v>
      </c>
      <c r="I68">
        <v>8316</v>
      </c>
    </row>
    <row r="69" spans="1:9" ht="13.8" x14ac:dyDescent="0.25">
      <c r="A69" t="s">
        <v>126</v>
      </c>
      <c r="B69" t="s">
        <v>13</v>
      </c>
      <c r="C69" s="3" t="s">
        <v>15</v>
      </c>
      <c r="D69" s="4">
        <v>42827</v>
      </c>
      <c r="E69" s="4" t="s">
        <v>108</v>
      </c>
      <c r="F69">
        <v>300</v>
      </c>
      <c r="G69">
        <v>5370</v>
      </c>
      <c r="H69">
        <v>2541</v>
      </c>
      <c r="I69">
        <v>2829</v>
      </c>
    </row>
    <row r="70" spans="1:9" ht="13.8" x14ac:dyDescent="0.25">
      <c r="A70" t="s">
        <v>126</v>
      </c>
      <c r="B70" t="s">
        <v>9</v>
      </c>
      <c r="C70" s="3" t="s">
        <v>10</v>
      </c>
      <c r="D70" s="4">
        <v>42829</v>
      </c>
      <c r="E70" s="4" t="s">
        <v>114</v>
      </c>
      <c r="F70">
        <v>800</v>
      </c>
      <c r="G70">
        <v>20408</v>
      </c>
      <c r="H70">
        <v>8176</v>
      </c>
      <c r="I70">
        <v>12232</v>
      </c>
    </row>
    <row r="71" spans="1:9" ht="13.8" x14ac:dyDescent="0.25">
      <c r="A71" t="s">
        <v>16</v>
      </c>
      <c r="B71" t="s">
        <v>13</v>
      </c>
      <c r="C71" s="3" t="s">
        <v>12</v>
      </c>
      <c r="D71" s="4">
        <v>42829</v>
      </c>
      <c r="E71" s="4" t="s">
        <v>112</v>
      </c>
      <c r="F71">
        <v>400</v>
      </c>
      <c r="G71">
        <v>8632</v>
      </c>
      <c r="H71">
        <v>3936</v>
      </c>
      <c r="I71">
        <v>4696</v>
      </c>
    </row>
    <row r="72" spans="1:9" ht="13.8" x14ac:dyDescent="0.25">
      <c r="A72" t="s">
        <v>16</v>
      </c>
      <c r="B72" t="s">
        <v>13</v>
      </c>
      <c r="C72" s="3" t="s">
        <v>12</v>
      </c>
      <c r="D72" s="4">
        <v>42829</v>
      </c>
      <c r="E72" s="4" t="s">
        <v>112</v>
      </c>
      <c r="F72">
        <v>300</v>
      </c>
      <c r="G72">
        <v>6588</v>
      </c>
      <c r="H72">
        <v>2952</v>
      </c>
      <c r="I72">
        <v>3636</v>
      </c>
    </row>
    <row r="73" spans="1:9" ht="13.8" x14ac:dyDescent="0.25">
      <c r="A73" t="s">
        <v>130</v>
      </c>
      <c r="B73" t="s">
        <v>11</v>
      </c>
      <c r="C73" s="3" t="s">
        <v>10</v>
      </c>
      <c r="D73" s="4">
        <v>42830</v>
      </c>
      <c r="E73" s="4" t="s">
        <v>106</v>
      </c>
      <c r="F73">
        <v>100</v>
      </c>
      <c r="G73">
        <v>2466</v>
      </c>
      <c r="H73">
        <v>1022</v>
      </c>
      <c r="I73">
        <v>1444</v>
      </c>
    </row>
    <row r="74" spans="1:9" ht="13.8" x14ac:dyDescent="0.25">
      <c r="A74" t="s">
        <v>131</v>
      </c>
      <c r="B74" t="s">
        <v>13</v>
      </c>
      <c r="C74" s="3" t="s">
        <v>15</v>
      </c>
      <c r="D74" s="4">
        <v>42832</v>
      </c>
      <c r="E74" s="4" t="s">
        <v>115</v>
      </c>
      <c r="F74">
        <v>700</v>
      </c>
      <c r="G74">
        <v>14686</v>
      </c>
      <c r="H74">
        <v>5929</v>
      </c>
      <c r="I74">
        <v>8757</v>
      </c>
    </row>
    <row r="75" spans="1:9" ht="13.8" x14ac:dyDescent="0.25">
      <c r="A75" t="s">
        <v>126</v>
      </c>
      <c r="B75" t="s">
        <v>11</v>
      </c>
      <c r="C75" s="3" t="s">
        <v>15</v>
      </c>
      <c r="D75" s="4">
        <v>42832</v>
      </c>
      <c r="E75" s="4" t="s">
        <v>128</v>
      </c>
      <c r="F75">
        <v>300</v>
      </c>
      <c r="G75">
        <v>5886</v>
      </c>
      <c r="H75">
        <v>2541</v>
      </c>
      <c r="I75">
        <v>3345</v>
      </c>
    </row>
    <row r="76" spans="1:9" ht="13.8" x14ac:dyDescent="0.25">
      <c r="A76" t="s">
        <v>16</v>
      </c>
      <c r="B76" t="s">
        <v>13</v>
      </c>
      <c r="C76" s="3" t="s">
        <v>12</v>
      </c>
      <c r="D76" s="4">
        <v>42835</v>
      </c>
      <c r="E76" s="4" t="s">
        <v>112</v>
      </c>
      <c r="F76">
        <v>500</v>
      </c>
      <c r="G76">
        <v>12095</v>
      </c>
      <c r="H76">
        <v>4920</v>
      </c>
      <c r="I76">
        <v>7175</v>
      </c>
    </row>
    <row r="77" spans="1:9" ht="13.8" x14ac:dyDescent="0.25">
      <c r="A77" t="s">
        <v>126</v>
      </c>
      <c r="B77" t="s">
        <v>11</v>
      </c>
      <c r="C77" s="3" t="s">
        <v>10</v>
      </c>
      <c r="D77" s="4">
        <v>42836</v>
      </c>
      <c r="E77" s="4" t="s">
        <v>107</v>
      </c>
      <c r="F77">
        <v>900</v>
      </c>
      <c r="G77">
        <v>19539</v>
      </c>
      <c r="H77">
        <v>9198</v>
      </c>
      <c r="I77">
        <v>10341</v>
      </c>
    </row>
    <row r="78" spans="1:9" ht="13.8" x14ac:dyDescent="0.25">
      <c r="A78" t="s">
        <v>126</v>
      </c>
      <c r="B78" t="s">
        <v>11</v>
      </c>
      <c r="C78" s="3" t="s">
        <v>15</v>
      </c>
      <c r="D78" s="4">
        <v>42837</v>
      </c>
      <c r="E78" s="4" t="s">
        <v>128</v>
      </c>
      <c r="F78">
        <v>300</v>
      </c>
      <c r="G78">
        <v>6063</v>
      </c>
      <c r="H78">
        <v>2541</v>
      </c>
      <c r="I78">
        <v>3522</v>
      </c>
    </row>
    <row r="79" spans="1:9" ht="13.8" x14ac:dyDescent="0.25">
      <c r="A79" t="s">
        <v>126</v>
      </c>
      <c r="B79" t="s">
        <v>11</v>
      </c>
      <c r="C79" s="3" t="s">
        <v>15</v>
      </c>
      <c r="D79" s="4">
        <v>42838</v>
      </c>
      <c r="E79" s="4" t="s">
        <v>128</v>
      </c>
      <c r="F79">
        <v>600</v>
      </c>
      <c r="G79">
        <v>11598</v>
      </c>
      <c r="H79">
        <v>5082</v>
      </c>
      <c r="I79">
        <v>6516</v>
      </c>
    </row>
    <row r="80" spans="1:9" ht="13.8" x14ac:dyDescent="0.25">
      <c r="A80" t="s">
        <v>126</v>
      </c>
      <c r="B80" t="s">
        <v>11</v>
      </c>
      <c r="C80" s="3" t="s">
        <v>15</v>
      </c>
      <c r="D80" s="4">
        <v>42839</v>
      </c>
      <c r="E80" s="4" t="s">
        <v>109</v>
      </c>
      <c r="F80">
        <v>400</v>
      </c>
      <c r="G80">
        <v>8016</v>
      </c>
      <c r="H80">
        <v>3388</v>
      </c>
      <c r="I80">
        <v>4628</v>
      </c>
    </row>
    <row r="81" spans="1:9" ht="13.8" x14ac:dyDescent="0.25">
      <c r="A81" t="s">
        <v>130</v>
      </c>
      <c r="B81" t="s">
        <v>11</v>
      </c>
      <c r="C81" s="3" t="s">
        <v>10</v>
      </c>
      <c r="D81" s="4">
        <v>42845</v>
      </c>
      <c r="E81" s="4" t="s">
        <v>106</v>
      </c>
      <c r="F81">
        <v>1000</v>
      </c>
      <c r="G81">
        <v>21880</v>
      </c>
      <c r="H81">
        <v>10220</v>
      </c>
      <c r="I81">
        <v>11660</v>
      </c>
    </row>
    <row r="82" spans="1:9" ht="13.8" x14ac:dyDescent="0.25">
      <c r="A82" t="s">
        <v>16</v>
      </c>
      <c r="B82" t="s">
        <v>14</v>
      </c>
      <c r="C82" s="3" t="s">
        <v>17</v>
      </c>
      <c r="D82" s="4">
        <v>42845</v>
      </c>
      <c r="E82" s="4" t="s">
        <v>116</v>
      </c>
      <c r="F82">
        <v>200</v>
      </c>
      <c r="G82">
        <v>4948</v>
      </c>
      <c r="H82">
        <v>2044</v>
      </c>
      <c r="I82">
        <v>2904</v>
      </c>
    </row>
    <row r="83" spans="1:9" ht="13.8" x14ac:dyDescent="0.25">
      <c r="A83" t="s">
        <v>129</v>
      </c>
      <c r="B83" t="s">
        <v>13</v>
      </c>
      <c r="C83" s="3" t="s">
        <v>10</v>
      </c>
      <c r="D83" s="4">
        <v>42847</v>
      </c>
      <c r="E83" s="4" t="s">
        <v>101</v>
      </c>
      <c r="F83">
        <v>700</v>
      </c>
      <c r="G83">
        <v>15834</v>
      </c>
      <c r="H83">
        <v>7154</v>
      </c>
      <c r="I83">
        <v>8680</v>
      </c>
    </row>
    <row r="84" spans="1:9" ht="13.8" x14ac:dyDescent="0.25">
      <c r="A84" t="s">
        <v>126</v>
      </c>
      <c r="B84" t="s">
        <v>9</v>
      </c>
      <c r="C84" s="3" t="s">
        <v>12</v>
      </c>
      <c r="D84" s="4">
        <v>42848</v>
      </c>
      <c r="E84" s="4" t="s">
        <v>100</v>
      </c>
      <c r="F84">
        <v>100</v>
      </c>
      <c r="G84">
        <v>2457</v>
      </c>
      <c r="H84">
        <v>984</v>
      </c>
      <c r="I84">
        <v>1473</v>
      </c>
    </row>
    <row r="85" spans="1:9" ht="13.8" x14ac:dyDescent="0.25">
      <c r="A85" t="s">
        <v>16</v>
      </c>
      <c r="B85" t="s">
        <v>13</v>
      </c>
      <c r="C85" s="3" t="s">
        <v>15</v>
      </c>
      <c r="D85" s="4">
        <v>42849</v>
      </c>
      <c r="E85" s="4" t="s">
        <v>112</v>
      </c>
      <c r="F85">
        <v>300</v>
      </c>
      <c r="G85">
        <v>5439</v>
      </c>
      <c r="H85">
        <v>2541</v>
      </c>
      <c r="I85">
        <v>2898</v>
      </c>
    </row>
    <row r="86" spans="1:9" ht="13.8" x14ac:dyDescent="0.25">
      <c r="A86" t="s">
        <v>129</v>
      </c>
      <c r="B86" t="s">
        <v>13</v>
      </c>
      <c r="C86" s="3" t="s">
        <v>12</v>
      </c>
      <c r="D86" s="4">
        <v>42850</v>
      </c>
      <c r="E86" s="4" t="s">
        <v>101</v>
      </c>
      <c r="F86">
        <v>500</v>
      </c>
      <c r="G86">
        <v>11435</v>
      </c>
      <c r="H86">
        <v>4920</v>
      </c>
      <c r="I86">
        <v>6515</v>
      </c>
    </row>
    <row r="87" spans="1:9" ht="13.8" x14ac:dyDescent="0.25">
      <c r="A87" t="s">
        <v>130</v>
      </c>
      <c r="B87" t="s">
        <v>9</v>
      </c>
      <c r="C87" s="3" t="s">
        <v>10</v>
      </c>
      <c r="D87" s="4">
        <v>42852</v>
      </c>
      <c r="E87" s="4" t="s">
        <v>105</v>
      </c>
      <c r="F87">
        <v>1000</v>
      </c>
      <c r="G87">
        <v>22530</v>
      </c>
      <c r="H87">
        <v>10220</v>
      </c>
      <c r="I87">
        <v>12310</v>
      </c>
    </row>
    <row r="88" spans="1:9" ht="13.8" x14ac:dyDescent="0.25">
      <c r="A88" t="s">
        <v>126</v>
      </c>
      <c r="B88" t="s">
        <v>9</v>
      </c>
      <c r="C88" s="3" t="s">
        <v>10</v>
      </c>
      <c r="D88" s="4">
        <v>42853</v>
      </c>
      <c r="E88" s="4" t="s">
        <v>100</v>
      </c>
      <c r="F88">
        <v>1000</v>
      </c>
      <c r="G88">
        <v>25060</v>
      </c>
      <c r="H88">
        <v>10220</v>
      </c>
      <c r="I88">
        <v>14840</v>
      </c>
    </row>
    <row r="89" spans="1:9" ht="13.8" x14ac:dyDescent="0.25">
      <c r="A89" t="s">
        <v>129</v>
      </c>
      <c r="B89" t="s">
        <v>13</v>
      </c>
      <c r="C89" s="3" t="s">
        <v>10</v>
      </c>
      <c r="D89" s="4">
        <v>42854</v>
      </c>
      <c r="E89" s="4" t="s">
        <v>117</v>
      </c>
      <c r="F89">
        <v>800</v>
      </c>
      <c r="G89">
        <v>18264</v>
      </c>
      <c r="H89">
        <v>8176</v>
      </c>
      <c r="I89">
        <v>10088</v>
      </c>
    </row>
    <row r="90" spans="1:9" ht="13.8" x14ac:dyDescent="0.25">
      <c r="A90" t="s">
        <v>126</v>
      </c>
      <c r="B90" t="s">
        <v>13</v>
      </c>
      <c r="C90" s="3" t="s">
        <v>10</v>
      </c>
      <c r="D90" s="4">
        <v>42855</v>
      </c>
      <c r="E90" s="4" t="s">
        <v>108</v>
      </c>
      <c r="F90">
        <v>200</v>
      </c>
      <c r="G90">
        <v>4124</v>
      </c>
      <c r="H90">
        <v>2044</v>
      </c>
      <c r="I90">
        <v>2080</v>
      </c>
    </row>
    <row r="91" spans="1:9" ht="13.8" x14ac:dyDescent="0.25">
      <c r="A91" t="s">
        <v>126</v>
      </c>
      <c r="B91" t="s">
        <v>9</v>
      </c>
      <c r="C91" s="3" t="s">
        <v>15</v>
      </c>
      <c r="D91" s="4">
        <v>42856</v>
      </c>
      <c r="E91" s="4" t="s">
        <v>100</v>
      </c>
      <c r="F91">
        <v>200</v>
      </c>
      <c r="G91">
        <v>3802</v>
      </c>
      <c r="H91">
        <v>1694</v>
      </c>
      <c r="I91">
        <v>2108</v>
      </c>
    </row>
    <row r="92" spans="1:9" ht="13.8" x14ac:dyDescent="0.25">
      <c r="A92" t="s">
        <v>129</v>
      </c>
      <c r="B92" t="s">
        <v>9</v>
      </c>
      <c r="C92" s="3" t="s">
        <v>12</v>
      </c>
      <c r="D92" s="4">
        <v>42856</v>
      </c>
      <c r="E92" s="4" t="s">
        <v>118</v>
      </c>
      <c r="F92">
        <v>800</v>
      </c>
      <c r="G92">
        <v>19520</v>
      </c>
      <c r="H92">
        <v>7872</v>
      </c>
      <c r="I92">
        <v>11648</v>
      </c>
    </row>
    <row r="93" spans="1:9" ht="13.8" x14ac:dyDescent="0.25">
      <c r="A93" t="s">
        <v>131</v>
      </c>
      <c r="B93" t="s">
        <v>13</v>
      </c>
      <c r="C93" s="3" t="s">
        <v>10</v>
      </c>
      <c r="D93" s="4">
        <v>42858</v>
      </c>
      <c r="E93" s="4" t="s">
        <v>115</v>
      </c>
      <c r="F93">
        <v>800</v>
      </c>
      <c r="G93">
        <v>19288</v>
      </c>
      <c r="H93">
        <v>8176</v>
      </c>
      <c r="I93">
        <v>11112</v>
      </c>
    </row>
    <row r="94" spans="1:9" ht="13.8" x14ac:dyDescent="0.25">
      <c r="A94" t="s">
        <v>126</v>
      </c>
      <c r="B94" t="s">
        <v>13</v>
      </c>
      <c r="C94" s="3" t="s">
        <v>15</v>
      </c>
      <c r="D94" s="4">
        <v>42860</v>
      </c>
      <c r="E94" s="4" t="s">
        <v>108</v>
      </c>
      <c r="F94">
        <v>800</v>
      </c>
      <c r="G94">
        <v>15592</v>
      </c>
      <c r="H94">
        <v>6776</v>
      </c>
      <c r="I94">
        <v>8816</v>
      </c>
    </row>
    <row r="95" spans="1:9" ht="13.8" x14ac:dyDescent="0.25">
      <c r="A95" t="s">
        <v>131</v>
      </c>
      <c r="B95" t="s">
        <v>13</v>
      </c>
      <c r="C95" s="3" t="s">
        <v>10</v>
      </c>
      <c r="D95" s="4">
        <v>42860</v>
      </c>
      <c r="E95" s="4" t="s">
        <v>115</v>
      </c>
      <c r="F95">
        <v>300</v>
      </c>
      <c r="G95">
        <v>6867</v>
      </c>
      <c r="H95">
        <v>3066</v>
      </c>
      <c r="I95">
        <v>3801</v>
      </c>
    </row>
    <row r="96" spans="1:9" ht="13.8" x14ac:dyDescent="0.25">
      <c r="A96" t="s">
        <v>126</v>
      </c>
      <c r="B96" t="s">
        <v>13</v>
      </c>
      <c r="C96" s="3" t="s">
        <v>15</v>
      </c>
      <c r="D96" s="4">
        <v>42862</v>
      </c>
      <c r="E96" s="4" t="s">
        <v>108</v>
      </c>
      <c r="F96">
        <v>600</v>
      </c>
      <c r="G96">
        <v>12318</v>
      </c>
      <c r="H96">
        <v>5082</v>
      </c>
      <c r="I96">
        <v>7236</v>
      </c>
    </row>
    <row r="97" spans="1:9" ht="13.8" x14ac:dyDescent="0.25">
      <c r="A97" t="s">
        <v>131</v>
      </c>
      <c r="B97" t="s">
        <v>13</v>
      </c>
      <c r="C97" s="3" t="s">
        <v>12</v>
      </c>
      <c r="D97" s="4">
        <v>42862</v>
      </c>
      <c r="E97" s="4" t="s">
        <v>115</v>
      </c>
      <c r="F97">
        <v>400</v>
      </c>
      <c r="G97">
        <v>8052</v>
      </c>
      <c r="H97">
        <v>3936</v>
      </c>
      <c r="I97">
        <v>4116</v>
      </c>
    </row>
    <row r="98" spans="1:9" ht="13.8" x14ac:dyDescent="0.25">
      <c r="A98" t="s">
        <v>129</v>
      </c>
      <c r="B98" t="s">
        <v>13</v>
      </c>
      <c r="C98" s="3" t="s">
        <v>12</v>
      </c>
      <c r="D98" s="4">
        <v>42863</v>
      </c>
      <c r="E98" s="4" t="s">
        <v>101</v>
      </c>
      <c r="F98">
        <v>800</v>
      </c>
      <c r="G98">
        <v>17544</v>
      </c>
      <c r="H98">
        <v>7872</v>
      </c>
      <c r="I98">
        <v>9672</v>
      </c>
    </row>
    <row r="99" spans="1:9" ht="13.8" x14ac:dyDescent="0.25">
      <c r="A99" t="s">
        <v>126</v>
      </c>
      <c r="B99" t="s">
        <v>11</v>
      </c>
      <c r="C99" s="3" t="s">
        <v>12</v>
      </c>
      <c r="D99" s="4">
        <v>42864</v>
      </c>
      <c r="E99" s="4" t="s">
        <v>107</v>
      </c>
      <c r="F99">
        <v>700</v>
      </c>
      <c r="G99">
        <v>16765</v>
      </c>
      <c r="H99">
        <v>6888</v>
      </c>
      <c r="I99">
        <v>9877</v>
      </c>
    </row>
    <row r="100" spans="1:9" ht="13.8" x14ac:dyDescent="0.25">
      <c r="A100" t="s">
        <v>16</v>
      </c>
      <c r="B100" t="s">
        <v>13</v>
      </c>
      <c r="C100" s="3" t="s">
        <v>15</v>
      </c>
      <c r="D100" s="4">
        <v>42866</v>
      </c>
      <c r="E100" s="4" t="s">
        <v>112</v>
      </c>
      <c r="F100">
        <v>500</v>
      </c>
      <c r="G100">
        <v>8785</v>
      </c>
      <c r="H100">
        <v>4235</v>
      </c>
      <c r="I100">
        <v>4550</v>
      </c>
    </row>
    <row r="101" spans="1:9" ht="13.8" x14ac:dyDescent="0.25">
      <c r="A101" t="s">
        <v>129</v>
      </c>
      <c r="B101" t="s">
        <v>13</v>
      </c>
      <c r="C101" s="3" t="s">
        <v>12</v>
      </c>
      <c r="D101" s="4">
        <v>42867</v>
      </c>
      <c r="E101" s="4" t="s">
        <v>101</v>
      </c>
      <c r="F101">
        <v>700</v>
      </c>
      <c r="G101">
        <v>16772</v>
      </c>
      <c r="H101">
        <v>6888</v>
      </c>
      <c r="I101">
        <v>9884</v>
      </c>
    </row>
    <row r="102" spans="1:9" ht="13.8" x14ac:dyDescent="0.25">
      <c r="A102" t="s">
        <v>126</v>
      </c>
      <c r="B102" t="s">
        <v>11</v>
      </c>
      <c r="C102" s="3" t="s">
        <v>15</v>
      </c>
      <c r="D102" s="4">
        <v>42868</v>
      </c>
      <c r="E102" s="4" t="s">
        <v>128</v>
      </c>
      <c r="F102">
        <v>500</v>
      </c>
      <c r="G102">
        <v>9380</v>
      </c>
      <c r="H102">
        <v>4235</v>
      </c>
      <c r="I102">
        <v>5145</v>
      </c>
    </row>
    <row r="103" spans="1:9" ht="13.8" x14ac:dyDescent="0.25">
      <c r="A103" t="s">
        <v>129</v>
      </c>
      <c r="B103" t="s">
        <v>13</v>
      </c>
      <c r="C103" s="3" t="s">
        <v>10</v>
      </c>
      <c r="D103" s="4">
        <v>42868</v>
      </c>
      <c r="E103" s="4" t="s">
        <v>101</v>
      </c>
      <c r="F103">
        <v>500</v>
      </c>
      <c r="G103">
        <v>12625</v>
      </c>
      <c r="H103">
        <v>5110</v>
      </c>
      <c r="I103">
        <v>7515</v>
      </c>
    </row>
    <row r="104" spans="1:9" ht="13.8" x14ac:dyDescent="0.25">
      <c r="A104" t="s">
        <v>126</v>
      </c>
      <c r="B104" t="s">
        <v>9</v>
      </c>
      <c r="C104" s="3" t="s">
        <v>15</v>
      </c>
      <c r="D104" s="4">
        <v>42869</v>
      </c>
      <c r="E104" s="4" t="s">
        <v>111</v>
      </c>
      <c r="F104">
        <v>500</v>
      </c>
      <c r="G104">
        <v>9635</v>
      </c>
      <c r="H104">
        <v>4235</v>
      </c>
      <c r="I104">
        <v>5400</v>
      </c>
    </row>
    <row r="105" spans="1:9" ht="13.8" x14ac:dyDescent="0.25">
      <c r="A105" t="s">
        <v>131</v>
      </c>
      <c r="B105" t="s">
        <v>13</v>
      </c>
      <c r="C105" s="3" t="s">
        <v>12</v>
      </c>
      <c r="D105" s="4">
        <v>42871</v>
      </c>
      <c r="E105" s="4" t="s">
        <v>115</v>
      </c>
      <c r="F105">
        <v>300</v>
      </c>
      <c r="G105">
        <v>6156</v>
      </c>
      <c r="H105">
        <v>2952</v>
      </c>
      <c r="I105">
        <v>3204</v>
      </c>
    </row>
    <row r="106" spans="1:9" ht="13.8" x14ac:dyDescent="0.25">
      <c r="A106" t="s">
        <v>126</v>
      </c>
      <c r="B106" t="s">
        <v>9</v>
      </c>
      <c r="C106" s="3" t="s">
        <v>12</v>
      </c>
      <c r="D106" s="4">
        <v>42874</v>
      </c>
      <c r="E106" s="4" t="s">
        <v>114</v>
      </c>
      <c r="F106">
        <v>900</v>
      </c>
      <c r="G106">
        <v>17757</v>
      </c>
      <c r="H106">
        <v>8856</v>
      </c>
      <c r="I106">
        <v>8901</v>
      </c>
    </row>
    <row r="107" spans="1:9" ht="13.8" x14ac:dyDescent="0.25">
      <c r="A107" t="s">
        <v>129</v>
      </c>
      <c r="B107" t="s">
        <v>14</v>
      </c>
      <c r="C107" s="3" t="s">
        <v>10</v>
      </c>
      <c r="D107" s="4">
        <v>42875</v>
      </c>
      <c r="E107" s="4" t="s">
        <v>119</v>
      </c>
      <c r="F107">
        <v>200</v>
      </c>
      <c r="G107">
        <v>4846</v>
      </c>
      <c r="H107">
        <v>2044</v>
      </c>
      <c r="I107">
        <v>2802</v>
      </c>
    </row>
    <row r="108" spans="1:9" ht="13.8" x14ac:dyDescent="0.25">
      <c r="A108" t="s">
        <v>126</v>
      </c>
      <c r="B108" t="s">
        <v>11</v>
      </c>
      <c r="C108" s="3" t="s">
        <v>15</v>
      </c>
      <c r="D108" s="4">
        <v>42876</v>
      </c>
      <c r="E108" s="4" t="s">
        <v>128</v>
      </c>
      <c r="F108">
        <v>600</v>
      </c>
      <c r="G108">
        <v>11208</v>
      </c>
      <c r="H108">
        <v>5082</v>
      </c>
      <c r="I108">
        <v>6126</v>
      </c>
    </row>
    <row r="109" spans="1:9" ht="13.8" x14ac:dyDescent="0.25">
      <c r="A109" t="s">
        <v>126</v>
      </c>
      <c r="B109" t="s">
        <v>13</v>
      </c>
      <c r="C109" s="3" t="s">
        <v>12</v>
      </c>
      <c r="D109" s="4">
        <v>42877</v>
      </c>
      <c r="E109" s="4" t="s">
        <v>108</v>
      </c>
      <c r="F109">
        <v>500</v>
      </c>
      <c r="G109">
        <v>10195</v>
      </c>
      <c r="H109">
        <v>4920</v>
      </c>
      <c r="I109">
        <v>5275</v>
      </c>
    </row>
    <row r="110" spans="1:9" ht="13.8" x14ac:dyDescent="0.25">
      <c r="A110" t="s">
        <v>130</v>
      </c>
      <c r="B110" t="s">
        <v>11</v>
      </c>
      <c r="C110" s="3" t="s">
        <v>15</v>
      </c>
      <c r="D110" s="4">
        <v>42878</v>
      </c>
      <c r="E110" s="4" t="s">
        <v>106</v>
      </c>
      <c r="F110">
        <v>200</v>
      </c>
      <c r="G110">
        <v>4012</v>
      </c>
      <c r="H110">
        <v>1694</v>
      </c>
      <c r="I110">
        <v>2318</v>
      </c>
    </row>
    <row r="111" spans="1:9" ht="13.8" x14ac:dyDescent="0.25">
      <c r="A111" t="s">
        <v>130</v>
      </c>
      <c r="B111" t="s">
        <v>9</v>
      </c>
      <c r="C111" s="3" t="s">
        <v>15</v>
      </c>
      <c r="D111" s="4">
        <v>42878</v>
      </c>
      <c r="E111" s="4" t="s">
        <v>105</v>
      </c>
      <c r="F111">
        <v>700</v>
      </c>
      <c r="G111">
        <v>12803</v>
      </c>
      <c r="H111">
        <v>5929</v>
      </c>
      <c r="I111">
        <v>6874</v>
      </c>
    </row>
    <row r="112" spans="1:9" ht="13.8" x14ac:dyDescent="0.25">
      <c r="A112" t="s">
        <v>16</v>
      </c>
      <c r="B112" t="s">
        <v>13</v>
      </c>
      <c r="C112" s="3" t="s">
        <v>12</v>
      </c>
      <c r="D112" s="4">
        <v>42879</v>
      </c>
      <c r="E112" s="4" t="s">
        <v>112</v>
      </c>
      <c r="F112">
        <v>100</v>
      </c>
      <c r="G112">
        <v>2319</v>
      </c>
      <c r="H112">
        <v>984</v>
      </c>
      <c r="I112">
        <v>1335</v>
      </c>
    </row>
    <row r="113" spans="1:9" ht="13.8" x14ac:dyDescent="0.25">
      <c r="A113" t="s">
        <v>130</v>
      </c>
      <c r="B113" t="s">
        <v>9</v>
      </c>
      <c r="C113" s="3" t="s">
        <v>15</v>
      </c>
      <c r="D113" s="4">
        <v>42879</v>
      </c>
      <c r="E113" s="4" t="s">
        <v>105</v>
      </c>
      <c r="F113">
        <v>600</v>
      </c>
      <c r="G113">
        <v>11700</v>
      </c>
      <c r="H113">
        <v>5082</v>
      </c>
      <c r="I113">
        <v>6618</v>
      </c>
    </row>
    <row r="114" spans="1:9" ht="13.8" x14ac:dyDescent="0.25">
      <c r="A114" t="s">
        <v>16</v>
      </c>
      <c r="B114" t="s">
        <v>13</v>
      </c>
      <c r="C114" s="3" t="s">
        <v>12</v>
      </c>
      <c r="D114" s="4">
        <v>42881</v>
      </c>
      <c r="E114" s="4" t="s">
        <v>112</v>
      </c>
      <c r="F114">
        <v>600</v>
      </c>
      <c r="G114">
        <v>12048</v>
      </c>
      <c r="H114">
        <v>5904</v>
      </c>
      <c r="I114">
        <v>6144</v>
      </c>
    </row>
    <row r="115" spans="1:9" ht="13.8" x14ac:dyDescent="0.25">
      <c r="A115" t="s">
        <v>126</v>
      </c>
      <c r="B115" t="s">
        <v>11</v>
      </c>
      <c r="C115" s="3" t="s">
        <v>10</v>
      </c>
      <c r="D115" s="4">
        <v>42883</v>
      </c>
      <c r="E115" s="4" t="s">
        <v>107</v>
      </c>
      <c r="F115">
        <v>700</v>
      </c>
      <c r="G115">
        <v>14469</v>
      </c>
      <c r="H115">
        <v>7154</v>
      </c>
      <c r="I115">
        <v>7315</v>
      </c>
    </row>
    <row r="116" spans="1:9" ht="13.8" x14ac:dyDescent="0.25">
      <c r="A116" t="s">
        <v>16</v>
      </c>
      <c r="B116" t="s">
        <v>13</v>
      </c>
      <c r="C116" s="3" t="s">
        <v>15</v>
      </c>
      <c r="D116" s="4">
        <v>42884</v>
      </c>
      <c r="E116" s="4" t="s">
        <v>112</v>
      </c>
      <c r="F116">
        <v>900</v>
      </c>
      <c r="G116">
        <v>17964</v>
      </c>
      <c r="H116">
        <v>7623</v>
      </c>
      <c r="I116">
        <v>10341</v>
      </c>
    </row>
    <row r="117" spans="1:9" ht="13.8" x14ac:dyDescent="0.25">
      <c r="A117" t="s">
        <v>126</v>
      </c>
      <c r="B117" t="s">
        <v>13</v>
      </c>
      <c r="C117" s="3" t="s">
        <v>15</v>
      </c>
      <c r="D117" s="4">
        <v>42885</v>
      </c>
      <c r="E117" s="4" t="s">
        <v>108</v>
      </c>
      <c r="F117">
        <v>700</v>
      </c>
      <c r="G117">
        <v>13412</v>
      </c>
      <c r="H117">
        <v>5929</v>
      </c>
      <c r="I117">
        <v>7483</v>
      </c>
    </row>
    <row r="118" spans="1:9" ht="13.8" x14ac:dyDescent="0.25">
      <c r="A118" t="s">
        <v>130</v>
      </c>
      <c r="B118" t="s">
        <v>9</v>
      </c>
      <c r="C118" s="3" t="s">
        <v>10</v>
      </c>
      <c r="D118" s="4">
        <v>42885</v>
      </c>
      <c r="E118" s="4" t="s">
        <v>105</v>
      </c>
      <c r="F118">
        <v>300</v>
      </c>
      <c r="G118">
        <v>6660</v>
      </c>
      <c r="H118">
        <v>3066</v>
      </c>
      <c r="I118">
        <v>3594</v>
      </c>
    </row>
    <row r="119" spans="1:9" ht="13.8" x14ac:dyDescent="0.25">
      <c r="A119" t="s">
        <v>126</v>
      </c>
      <c r="B119" t="s">
        <v>11</v>
      </c>
      <c r="C119" s="3" t="s">
        <v>10</v>
      </c>
      <c r="D119" s="4">
        <v>42886</v>
      </c>
      <c r="E119" s="4" t="s">
        <v>128</v>
      </c>
      <c r="F119">
        <v>900</v>
      </c>
      <c r="G119">
        <v>18918</v>
      </c>
      <c r="H119">
        <v>9198</v>
      </c>
      <c r="I119">
        <v>9720</v>
      </c>
    </row>
    <row r="120" spans="1:9" ht="13.8" x14ac:dyDescent="0.25">
      <c r="A120" t="s">
        <v>130</v>
      </c>
      <c r="B120" t="s">
        <v>9</v>
      </c>
      <c r="C120" s="3" t="s">
        <v>15</v>
      </c>
      <c r="D120" s="4">
        <v>42887</v>
      </c>
      <c r="E120" s="4" t="s">
        <v>105</v>
      </c>
      <c r="F120">
        <v>700</v>
      </c>
      <c r="G120">
        <v>13986</v>
      </c>
      <c r="H120">
        <v>5929</v>
      </c>
      <c r="I120">
        <v>8057</v>
      </c>
    </row>
    <row r="121" spans="1:9" ht="13.8" x14ac:dyDescent="0.25">
      <c r="A121" t="s">
        <v>126</v>
      </c>
      <c r="B121" t="s">
        <v>11</v>
      </c>
      <c r="C121" s="3" t="s">
        <v>12</v>
      </c>
      <c r="D121" s="4">
        <v>42889</v>
      </c>
      <c r="E121" s="4" t="s">
        <v>107</v>
      </c>
      <c r="F121">
        <v>1000</v>
      </c>
      <c r="G121">
        <v>20480</v>
      </c>
      <c r="H121">
        <v>9840</v>
      </c>
      <c r="I121">
        <v>10640</v>
      </c>
    </row>
    <row r="122" spans="1:9" ht="13.8" x14ac:dyDescent="0.25">
      <c r="A122" t="s">
        <v>129</v>
      </c>
      <c r="B122" t="s">
        <v>13</v>
      </c>
      <c r="C122" s="3" t="s">
        <v>10</v>
      </c>
      <c r="D122" s="4">
        <v>42892</v>
      </c>
      <c r="E122" s="4" t="s">
        <v>101</v>
      </c>
      <c r="F122">
        <v>200</v>
      </c>
      <c r="G122">
        <v>4264</v>
      </c>
      <c r="H122">
        <v>2044</v>
      </c>
      <c r="I122">
        <v>2220</v>
      </c>
    </row>
    <row r="123" spans="1:9" ht="13.8" x14ac:dyDescent="0.25">
      <c r="A123" t="s">
        <v>16</v>
      </c>
      <c r="B123" t="s">
        <v>9</v>
      </c>
      <c r="C123" s="3" t="s">
        <v>12</v>
      </c>
      <c r="D123" s="4">
        <v>42893</v>
      </c>
      <c r="E123" s="4" t="s">
        <v>120</v>
      </c>
      <c r="F123">
        <v>200</v>
      </c>
      <c r="G123">
        <v>4282</v>
      </c>
      <c r="H123">
        <v>1968</v>
      </c>
      <c r="I123">
        <v>2314</v>
      </c>
    </row>
    <row r="124" spans="1:9" ht="13.8" x14ac:dyDescent="0.25">
      <c r="A124" t="s">
        <v>126</v>
      </c>
      <c r="B124" t="s">
        <v>11</v>
      </c>
      <c r="C124" s="3" t="s">
        <v>10</v>
      </c>
      <c r="D124" s="4">
        <v>42894</v>
      </c>
      <c r="E124" s="4" t="s">
        <v>107</v>
      </c>
      <c r="F124">
        <v>500</v>
      </c>
      <c r="G124">
        <v>12135</v>
      </c>
      <c r="H124">
        <v>5110</v>
      </c>
      <c r="I124">
        <v>7025</v>
      </c>
    </row>
    <row r="125" spans="1:9" ht="13.8" x14ac:dyDescent="0.25">
      <c r="A125" t="s">
        <v>126</v>
      </c>
      <c r="B125" t="s">
        <v>11</v>
      </c>
      <c r="C125" s="3" t="s">
        <v>12</v>
      </c>
      <c r="D125" s="4">
        <v>42896</v>
      </c>
      <c r="E125" s="4" t="s">
        <v>107</v>
      </c>
      <c r="F125">
        <v>200</v>
      </c>
      <c r="G125">
        <v>4286</v>
      </c>
      <c r="H125">
        <v>1968</v>
      </c>
      <c r="I125">
        <v>2318</v>
      </c>
    </row>
    <row r="126" spans="1:9" ht="13.8" x14ac:dyDescent="0.25">
      <c r="A126" t="s">
        <v>130</v>
      </c>
      <c r="B126" t="s">
        <v>11</v>
      </c>
      <c r="C126" s="3" t="s">
        <v>10</v>
      </c>
      <c r="D126" s="4">
        <v>42898</v>
      </c>
      <c r="E126" s="4" t="s">
        <v>106</v>
      </c>
      <c r="F126">
        <v>500</v>
      </c>
      <c r="G126">
        <v>10650</v>
      </c>
      <c r="H126">
        <v>5110</v>
      </c>
      <c r="I126">
        <v>5540</v>
      </c>
    </row>
    <row r="127" spans="1:9" ht="13.8" x14ac:dyDescent="0.25">
      <c r="A127" t="s">
        <v>130</v>
      </c>
      <c r="B127" t="s">
        <v>11</v>
      </c>
      <c r="C127" s="3" t="s">
        <v>15</v>
      </c>
      <c r="D127" s="4">
        <v>42899</v>
      </c>
      <c r="E127" s="4" t="s">
        <v>106</v>
      </c>
      <c r="F127">
        <v>1000</v>
      </c>
      <c r="G127">
        <v>19630</v>
      </c>
      <c r="H127">
        <v>8470</v>
      </c>
      <c r="I127">
        <v>11160</v>
      </c>
    </row>
    <row r="128" spans="1:9" ht="13.8" x14ac:dyDescent="0.25">
      <c r="A128" t="s">
        <v>126</v>
      </c>
      <c r="B128" t="s">
        <v>11</v>
      </c>
      <c r="C128" s="3" t="s">
        <v>15</v>
      </c>
      <c r="D128" s="4">
        <v>42900</v>
      </c>
      <c r="E128" s="4" t="s">
        <v>128</v>
      </c>
      <c r="F128">
        <v>700</v>
      </c>
      <c r="G128">
        <v>12838</v>
      </c>
      <c r="H128">
        <v>5929</v>
      </c>
      <c r="I128">
        <v>6909</v>
      </c>
    </row>
    <row r="129" spans="1:9" ht="13.8" x14ac:dyDescent="0.25">
      <c r="A129" t="s">
        <v>126</v>
      </c>
      <c r="B129" t="s">
        <v>9</v>
      </c>
      <c r="C129" s="3" t="s">
        <v>15</v>
      </c>
      <c r="D129" s="4">
        <v>42901</v>
      </c>
      <c r="E129" s="4" t="s">
        <v>100</v>
      </c>
      <c r="F129">
        <v>200</v>
      </c>
      <c r="G129">
        <v>3856</v>
      </c>
      <c r="H129">
        <v>1694</v>
      </c>
      <c r="I129">
        <v>2162</v>
      </c>
    </row>
    <row r="130" spans="1:9" ht="13.8" x14ac:dyDescent="0.25">
      <c r="A130" t="s">
        <v>130</v>
      </c>
      <c r="B130" t="s">
        <v>11</v>
      </c>
      <c r="C130" s="3" t="s">
        <v>12</v>
      </c>
      <c r="D130" s="4">
        <v>42905</v>
      </c>
      <c r="E130" s="4" t="s">
        <v>110</v>
      </c>
      <c r="F130">
        <v>1000</v>
      </c>
      <c r="G130">
        <v>22140</v>
      </c>
      <c r="H130">
        <v>9840</v>
      </c>
      <c r="I130">
        <v>12300</v>
      </c>
    </row>
    <row r="131" spans="1:9" ht="13.8" x14ac:dyDescent="0.25">
      <c r="A131" t="s">
        <v>126</v>
      </c>
      <c r="B131" t="s">
        <v>11</v>
      </c>
      <c r="C131" s="3" t="s">
        <v>15</v>
      </c>
      <c r="D131" s="4">
        <v>42909</v>
      </c>
      <c r="E131" s="4" t="s">
        <v>107</v>
      </c>
      <c r="F131">
        <v>500</v>
      </c>
      <c r="G131">
        <v>10330</v>
      </c>
      <c r="H131">
        <v>4235</v>
      </c>
      <c r="I131">
        <v>6095</v>
      </c>
    </row>
    <row r="132" spans="1:9" ht="13.8" x14ac:dyDescent="0.25">
      <c r="A132" t="s">
        <v>16</v>
      </c>
      <c r="B132" t="s">
        <v>13</v>
      </c>
      <c r="C132" s="3" t="s">
        <v>15</v>
      </c>
      <c r="D132" s="4">
        <v>42910</v>
      </c>
      <c r="E132" s="4" t="s">
        <v>112</v>
      </c>
      <c r="F132">
        <v>100</v>
      </c>
      <c r="G132">
        <v>1882</v>
      </c>
      <c r="H132">
        <v>847</v>
      </c>
      <c r="I132">
        <v>1035</v>
      </c>
    </row>
    <row r="133" spans="1:9" ht="13.8" x14ac:dyDescent="0.25">
      <c r="A133" t="s">
        <v>126</v>
      </c>
      <c r="B133" t="s">
        <v>9</v>
      </c>
      <c r="C133" s="3" t="s">
        <v>12</v>
      </c>
      <c r="D133" s="4">
        <v>42911</v>
      </c>
      <c r="E133" s="4" t="s">
        <v>100</v>
      </c>
      <c r="F133">
        <v>100</v>
      </c>
      <c r="G133">
        <v>2221</v>
      </c>
      <c r="H133">
        <v>984</v>
      </c>
      <c r="I133">
        <v>1237</v>
      </c>
    </row>
    <row r="134" spans="1:9" ht="13.8" x14ac:dyDescent="0.25">
      <c r="A134" t="s">
        <v>16</v>
      </c>
      <c r="B134" t="s">
        <v>13</v>
      </c>
      <c r="C134" s="3" t="s">
        <v>15</v>
      </c>
      <c r="D134" s="4">
        <v>42912</v>
      </c>
      <c r="E134" s="4" t="s">
        <v>112</v>
      </c>
      <c r="F134">
        <v>700</v>
      </c>
      <c r="G134">
        <v>13734</v>
      </c>
      <c r="H134">
        <v>5929</v>
      </c>
      <c r="I134">
        <v>7805</v>
      </c>
    </row>
    <row r="135" spans="1:9" ht="13.8" x14ac:dyDescent="0.25">
      <c r="A135" t="s">
        <v>131</v>
      </c>
      <c r="B135" t="s">
        <v>13</v>
      </c>
      <c r="C135" s="3" t="s">
        <v>12</v>
      </c>
      <c r="D135" s="4">
        <v>42912</v>
      </c>
      <c r="E135" s="4" t="s">
        <v>115</v>
      </c>
      <c r="F135">
        <v>800</v>
      </c>
      <c r="G135">
        <v>15856</v>
      </c>
      <c r="H135">
        <v>7872</v>
      </c>
      <c r="I135">
        <v>7984</v>
      </c>
    </row>
    <row r="136" spans="1:9" ht="13.8" x14ac:dyDescent="0.25">
      <c r="A136" t="s">
        <v>129</v>
      </c>
      <c r="B136" t="s">
        <v>14</v>
      </c>
      <c r="C136" s="3" t="s">
        <v>12</v>
      </c>
      <c r="D136" s="4">
        <v>42913</v>
      </c>
      <c r="E136" s="4" t="s">
        <v>104</v>
      </c>
      <c r="F136">
        <v>200</v>
      </c>
      <c r="G136">
        <v>4754</v>
      </c>
      <c r="H136">
        <v>1968</v>
      </c>
      <c r="I136">
        <v>2786</v>
      </c>
    </row>
    <row r="137" spans="1:9" ht="13.8" x14ac:dyDescent="0.25">
      <c r="A137" t="s">
        <v>16</v>
      </c>
      <c r="B137" t="s">
        <v>13</v>
      </c>
      <c r="C137" s="3" t="s">
        <v>12</v>
      </c>
      <c r="D137" s="4">
        <v>42916</v>
      </c>
      <c r="E137" s="4" t="s">
        <v>112</v>
      </c>
      <c r="F137">
        <v>100</v>
      </c>
      <c r="G137">
        <v>2231</v>
      </c>
      <c r="H137">
        <v>984</v>
      </c>
      <c r="I137">
        <v>1247</v>
      </c>
    </row>
    <row r="138" spans="1:9" ht="13.8" x14ac:dyDescent="0.25">
      <c r="A138" t="s">
        <v>126</v>
      </c>
      <c r="B138" t="s">
        <v>11</v>
      </c>
      <c r="C138" s="3" t="s">
        <v>10</v>
      </c>
      <c r="D138" s="4">
        <v>42918</v>
      </c>
      <c r="E138" s="4" t="s">
        <v>128</v>
      </c>
      <c r="F138">
        <v>900</v>
      </c>
      <c r="G138">
        <v>21960</v>
      </c>
      <c r="H138">
        <v>9198</v>
      </c>
      <c r="I138">
        <v>12762</v>
      </c>
    </row>
    <row r="139" spans="1:9" ht="13.8" x14ac:dyDescent="0.25">
      <c r="A139" t="s">
        <v>130</v>
      </c>
      <c r="B139" t="s">
        <v>9</v>
      </c>
      <c r="C139" s="3" t="s">
        <v>10</v>
      </c>
      <c r="D139" s="4">
        <v>42919</v>
      </c>
      <c r="E139" s="4" t="s">
        <v>121</v>
      </c>
      <c r="F139">
        <v>300</v>
      </c>
      <c r="G139">
        <v>7167</v>
      </c>
      <c r="H139">
        <v>3066</v>
      </c>
      <c r="I139">
        <v>4101</v>
      </c>
    </row>
    <row r="140" spans="1:9" ht="13.8" x14ac:dyDescent="0.25">
      <c r="A140" t="s">
        <v>129</v>
      </c>
      <c r="B140" t="s">
        <v>13</v>
      </c>
      <c r="C140" s="3" t="s">
        <v>10</v>
      </c>
      <c r="D140" s="4">
        <v>42919</v>
      </c>
      <c r="E140" s="4" t="s">
        <v>101</v>
      </c>
      <c r="F140">
        <v>900</v>
      </c>
      <c r="G140">
        <v>22716</v>
      </c>
      <c r="H140">
        <v>9198</v>
      </c>
      <c r="I140">
        <v>13518</v>
      </c>
    </row>
    <row r="141" spans="1:9" ht="13.8" x14ac:dyDescent="0.25">
      <c r="A141" t="s">
        <v>126</v>
      </c>
      <c r="B141" t="s">
        <v>13</v>
      </c>
      <c r="C141" s="3" t="s">
        <v>10</v>
      </c>
      <c r="D141" s="4">
        <v>42920</v>
      </c>
      <c r="E141" s="4" t="s">
        <v>108</v>
      </c>
      <c r="F141">
        <v>900</v>
      </c>
      <c r="G141">
        <v>19062</v>
      </c>
      <c r="H141">
        <v>9198</v>
      </c>
      <c r="I141">
        <v>9864</v>
      </c>
    </row>
    <row r="142" spans="1:9" ht="13.8" x14ac:dyDescent="0.25">
      <c r="A142" t="s">
        <v>130</v>
      </c>
      <c r="B142" t="s">
        <v>9</v>
      </c>
      <c r="C142" s="3" t="s">
        <v>10</v>
      </c>
      <c r="D142" s="4">
        <v>42921</v>
      </c>
      <c r="E142" s="4" t="s">
        <v>105</v>
      </c>
      <c r="F142">
        <v>300</v>
      </c>
      <c r="G142">
        <v>7593</v>
      </c>
      <c r="H142">
        <v>3066</v>
      </c>
      <c r="I142">
        <v>4527</v>
      </c>
    </row>
    <row r="143" spans="1:9" ht="13.8" x14ac:dyDescent="0.25">
      <c r="A143" t="s">
        <v>16</v>
      </c>
      <c r="B143" t="s">
        <v>13</v>
      </c>
      <c r="C143" s="3" t="s">
        <v>12</v>
      </c>
      <c r="D143" s="4">
        <v>42924</v>
      </c>
      <c r="E143" s="4" t="s">
        <v>112</v>
      </c>
      <c r="F143">
        <v>900</v>
      </c>
      <c r="G143">
        <v>21168</v>
      </c>
      <c r="H143">
        <v>8856</v>
      </c>
      <c r="I143">
        <v>12312</v>
      </c>
    </row>
    <row r="144" spans="1:9" ht="13.8" x14ac:dyDescent="0.25">
      <c r="A144" t="s">
        <v>126</v>
      </c>
      <c r="B144" t="s">
        <v>9</v>
      </c>
      <c r="C144" s="3" t="s">
        <v>10</v>
      </c>
      <c r="D144" s="4">
        <v>42926</v>
      </c>
      <c r="E144" s="4" t="s">
        <v>111</v>
      </c>
      <c r="F144">
        <v>1000</v>
      </c>
      <c r="G144">
        <v>24130</v>
      </c>
      <c r="H144">
        <v>10220</v>
      </c>
      <c r="I144">
        <v>13910</v>
      </c>
    </row>
    <row r="145" spans="1:9" ht="13.8" x14ac:dyDescent="0.25">
      <c r="A145" t="s">
        <v>16</v>
      </c>
      <c r="B145" t="s">
        <v>9</v>
      </c>
      <c r="C145" s="3" t="s">
        <v>10</v>
      </c>
      <c r="D145" s="4">
        <v>42927</v>
      </c>
      <c r="E145" s="4" t="s">
        <v>120</v>
      </c>
      <c r="F145">
        <v>400</v>
      </c>
      <c r="G145">
        <v>8876</v>
      </c>
      <c r="H145">
        <v>4088</v>
      </c>
      <c r="I145">
        <v>4788</v>
      </c>
    </row>
    <row r="146" spans="1:9" ht="13.8" x14ac:dyDescent="0.25">
      <c r="A146" t="s">
        <v>126</v>
      </c>
      <c r="B146" t="s">
        <v>11</v>
      </c>
      <c r="C146" s="3" t="s">
        <v>12</v>
      </c>
      <c r="D146" s="4">
        <v>42930</v>
      </c>
      <c r="E146" s="4" t="s">
        <v>128</v>
      </c>
      <c r="F146">
        <v>900</v>
      </c>
      <c r="G146">
        <v>21555</v>
      </c>
      <c r="H146">
        <v>8856</v>
      </c>
      <c r="I146">
        <v>12699</v>
      </c>
    </row>
    <row r="147" spans="1:9" ht="13.8" x14ac:dyDescent="0.25">
      <c r="A147" t="s">
        <v>126</v>
      </c>
      <c r="B147" t="s">
        <v>11</v>
      </c>
      <c r="C147" s="3" t="s">
        <v>15</v>
      </c>
      <c r="D147" s="4">
        <v>42931</v>
      </c>
      <c r="E147" s="4" t="s">
        <v>107</v>
      </c>
      <c r="F147">
        <v>300</v>
      </c>
      <c r="G147">
        <v>5967</v>
      </c>
      <c r="H147">
        <v>2541</v>
      </c>
      <c r="I147">
        <v>3426</v>
      </c>
    </row>
    <row r="148" spans="1:9" ht="13.8" x14ac:dyDescent="0.25">
      <c r="A148" t="s">
        <v>126</v>
      </c>
      <c r="B148" t="s">
        <v>9</v>
      </c>
      <c r="C148" s="3" t="s">
        <v>10</v>
      </c>
      <c r="D148" s="4">
        <v>42931</v>
      </c>
      <c r="E148" s="4" t="s">
        <v>100</v>
      </c>
      <c r="F148">
        <v>700</v>
      </c>
      <c r="G148">
        <v>15876</v>
      </c>
      <c r="H148">
        <v>7154</v>
      </c>
      <c r="I148">
        <v>8722</v>
      </c>
    </row>
    <row r="149" spans="1:9" ht="13.8" x14ac:dyDescent="0.25">
      <c r="A149" t="s">
        <v>131</v>
      </c>
      <c r="B149" t="s">
        <v>13</v>
      </c>
      <c r="C149" s="3" t="s">
        <v>10</v>
      </c>
      <c r="D149" s="4">
        <v>42933</v>
      </c>
      <c r="E149" s="4" t="s">
        <v>115</v>
      </c>
      <c r="F149">
        <v>1000</v>
      </c>
      <c r="G149">
        <v>25350</v>
      </c>
      <c r="H149">
        <v>10220</v>
      </c>
      <c r="I149">
        <v>15130</v>
      </c>
    </row>
    <row r="150" spans="1:9" ht="13.8" x14ac:dyDescent="0.25">
      <c r="A150" t="s">
        <v>126</v>
      </c>
      <c r="B150" t="s">
        <v>11</v>
      </c>
      <c r="C150" s="3" t="s">
        <v>12</v>
      </c>
      <c r="D150" s="4">
        <v>42934</v>
      </c>
      <c r="E150" s="4" t="s">
        <v>107</v>
      </c>
      <c r="F150">
        <v>500</v>
      </c>
      <c r="G150">
        <v>11545</v>
      </c>
      <c r="H150">
        <v>4920</v>
      </c>
      <c r="I150">
        <v>6625</v>
      </c>
    </row>
    <row r="151" spans="1:9" ht="13.8" x14ac:dyDescent="0.25">
      <c r="A151" t="s">
        <v>131</v>
      </c>
      <c r="B151" t="s">
        <v>13</v>
      </c>
      <c r="C151" s="3" t="s">
        <v>15</v>
      </c>
      <c r="D151" s="4">
        <v>42934</v>
      </c>
      <c r="E151" s="4" t="s">
        <v>122</v>
      </c>
      <c r="F151">
        <v>200</v>
      </c>
      <c r="G151">
        <v>4158</v>
      </c>
      <c r="H151">
        <v>1694</v>
      </c>
      <c r="I151">
        <v>2464</v>
      </c>
    </row>
    <row r="152" spans="1:9" ht="13.8" x14ac:dyDescent="0.25">
      <c r="A152" t="s">
        <v>130</v>
      </c>
      <c r="B152" t="s">
        <v>9</v>
      </c>
      <c r="C152" s="3" t="s">
        <v>15</v>
      </c>
      <c r="D152" s="4">
        <v>42936</v>
      </c>
      <c r="E152" s="4" t="s">
        <v>105</v>
      </c>
      <c r="F152">
        <v>600</v>
      </c>
      <c r="G152">
        <v>12684</v>
      </c>
      <c r="H152">
        <v>5082</v>
      </c>
      <c r="I152">
        <v>7602</v>
      </c>
    </row>
    <row r="153" spans="1:9" ht="13.8" x14ac:dyDescent="0.25">
      <c r="A153" t="s">
        <v>129</v>
      </c>
      <c r="B153" t="s">
        <v>13</v>
      </c>
      <c r="C153" s="3" t="s">
        <v>15</v>
      </c>
      <c r="D153" s="4">
        <v>42938</v>
      </c>
      <c r="E153" s="4" t="s">
        <v>101</v>
      </c>
      <c r="F153">
        <v>1000</v>
      </c>
      <c r="G153">
        <v>18660</v>
      </c>
      <c r="H153">
        <v>8470</v>
      </c>
      <c r="I153">
        <v>10190</v>
      </c>
    </row>
    <row r="154" spans="1:9" ht="13.8" x14ac:dyDescent="0.25">
      <c r="A154" t="s">
        <v>126</v>
      </c>
      <c r="B154" t="s">
        <v>13</v>
      </c>
      <c r="C154" s="3" t="s">
        <v>12</v>
      </c>
      <c r="D154" s="4">
        <v>42939</v>
      </c>
      <c r="E154" s="4" t="s">
        <v>108</v>
      </c>
      <c r="F154">
        <v>500</v>
      </c>
      <c r="G154">
        <v>11660</v>
      </c>
      <c r="H154">
        <v>4920</v>
      </c>
      <c r="I154">
        <v>6740</v>
      </c>
    </row>
    <row r="155" spans="1:9" ht="13.8" x14ac:dyDescent="0.25">
      <c r="A155" t="s">
        <v>130</v>
      </c>
      <c r="B155" t="s">
        <v>9</v>
      </c>
      <c r="C155" s="3" t="s">
        <v>12</v>
      </c>
      <c r="D155" s="4">
        <v>42942</v>
      </c>
      <c r="E155" s="4" t="s">
        <v>105</v>
      </c>
      <c r="F155">
        <v>800</v>
      </c>
      <c r="G155">
        <v>15816</v>
      </c>
      <c r="H155">
        <v>7872</v>
      </c>
      <c r="I155">
        <v>7944</v>
      </c>
    </row>
    <row r="156" spans="1:9" ht="13.8" x14ac:dyDescent="0.25">
      <c r="A156" t="s">
        <v>130</v>
      </c>
      <c r="B156" t="s">
        <v>9</v>
      </c>
      <c r="C156" s="3" t="s">
        <v>10</v>
      </c>
      <c r="D156" s="4">
        <v>42943</v>
      </c>
      <c r="E156" s="4" t="s">
        <v>121</v>
      </c>
      <c r="F156">
        <v>1000</v>
      </c>
      <c r="G156">
        <v>23890</v>
      </c>
      <c r="H156">
        <v>10220</v>
      </c>
      <c r="I156">
        <v>13670</v>
      </c>
    </row>
    <row r="157" spans="1:9" ht="13.8" x14ac:dyDescent="0.25">
      <c r="A157" t="s">
        <v>130</v>
      </c>
      <c r="B157" t="s">
        <v>11</v>
      </c>
      <c r="C157" s="3" t="s">
        <v>12</v>
      </c>
      <c r="D157" s="4">
        <v>42944</v>
      </c>
      <c r="E157" s="4" t="s">
        <v>106</v>
      </c>
      <c r="F157">
        <v>600</v>
      </c>
      <c r="G157">
        <v>13866</v>
      </c>
      <c r="H157">
        <v>5904</v>
      </c>
      <c r="I157">
        <v>7962</v>
      </c>
    </row>
    <row r="158" spans="1:9" ht="13.8" x14ac:dyDescent="0.25">
      <c r="A158" t="s">
        <v>129</v>
      </c>
      <c r="B158" t="s">
        <v>14</v>
      </c>
      <c r="C158" s="3" t="s">
        <v>15</v>
      </c>
      <c r="D158" s="4">
        <v>42945</v>
      </c>
      <c r="E158" s="4" t="s">
        <v>119</v>
      </c>
      <c r="F158">
        <v>1000</v>
      </c>
      <c r="G158">
        <v>17840</v>
      </c>
      <c r="H158">
        <v>8470</v>
      </c>
      <c r="I158">
        <v>9370</v>
      </c>
    </row>
    <row r="159" spans="1:9" ht="13.8" x14ac:dyDescent="0.25">
      <c r="A159" t="s">
        <v>129</v>
      </c>
      <c r="B159" t="s">
        <v>13</v>
      </c>
      <c r="C159" s="3" t="s">
        <v>15</v>
      </c>
      <c r="D159" s="4">
        <v>42945</v>
      </c>
      <c r="E159" s="4" t="s">
        <v>101</v>
      </c>
      <c r="F159">
        <v>800</v>
      </c>
      <c r="G159">
        <v>13936</v>
      </c>
      <c r="H159">
        <v>6776</v>
      </c>
      <c r="I159">
        <v>7160</v>
      </c>
    </row>
    <row r="160" spans="1:9" ht="13.8" x14ac:dyDescent="0.25">
      <c r="A160" t="s">
        <v>126</v>
      </c>
      <c r="B160" t="s">
        <v>11</v>
      </c>
      <c r="C160" s="3" t="s">
        <v>10</v>
      </c>
      <c r="D160" s="4">
        <v>42946</v>
      </c>
      <c r="E160" s="4" t="s">
        <v>128</v>
      </c>
      <c r="F160">
        <v>600</v>
      </c>
      <c r="G160">
        <v>12984</v>
      </c>
      <c r="H160">
        <v>6132</v>
      </c>
      <c r="I160">
        <v>6852</v>
      </c>
    </row>
    <row r="161" spans="1:9" ht="13.8" x14ac:dyDescent="0.25">
      <c r="A161" t="s">
        <v>126</v>
      </c>
      <c r="B161" t="s">
        <v>11</v>
      </c>
      <c r="C161" s="3" t="s">
        <v>12</v>
      </c>
      <c r="D161" s="4">
        <v>42947</v>
      </c>
      <c r="E161" s="4" t="s">
        <v>109</v>
      </c>
      <c r="F161">
        <v>1000</v>
      </c>
      <c r="G161">
        <v>21800</v>
      </c>
      <c r="H161">
        <v>9840</v>
      </c>
      <c r="I161">
        <v>11960</v>
      </c>
    </row>
    <row r="162" spans="1:9" ht="13.8" x14ac:dyDescent="0.25">
      <c r="A162" t="s">
        <v>129</v>
      </c>
      <c r="B162" t="s">
        <v>13</v>
      </c>
      <c r="C162" s="3" t="s">
        <v>15</v>
      </c>
      <c r="D162" s="4">
        <v>42947</v>
      </c>
      <c r="E162" s="4" t="s">
        <v>101</v>
      </c>
      <c r="F162">
        <v>300</v>
      </c>
      <c r="G162">
        <v>5508</v>
      </c>
      <c r="H162">
        <v>2541</v>
      </c>
      <c r="I162">
        <v>2967</v>
      </c>
    </row>
    <row r="163" spans="1:9" ht="13.8" x14ac:dyDescent="0.25">
      <c r="A163" t="s">
        <v>16</v>
      </c>
      <c r="B163" t="s">
        <v>13</v>
      </c>
      <c r="C163" s="3" t="s">
        <v>10</v>
      </c>
      <c r="D163" s="4">
        <v>42950</v>
      </c>
      <c r="E163" s="4" t="s">
        <v>112</v>
      </c>
      <c r="F163">
        <v>400</v>
      </c>
      <c r="G163">
        <v>9704</v>
      </c>
      <c r="H163">
        <v>4088</v>
      </c>
      <c r="I163">
        <v>5616</v>
      </c>
    </row>
    <row r="164" spans="1:9" ht="13.8" x14ac:dyDescent="0.25">
      <c r="A164" t="s">
        <v>131</v>
      </c>
      <c r="B164" t="s">
        <v>13</v>
      </c>
      <c r="C164" s="3" t="s">
        <v>10</v>
      </c>
      <c r="D164" s="4">
        <v>42951</v>
      </c>
      <c r="E164" s="4" t="s">
        <v>122</v>
      </c>
      <c r="F164">
        <v>600</v>
      </c>
      <c r="G164">
        <v>13962</v>
      </c>
      <c r="H164">
        <v>6132</v>
      </c>
      <c r="I164">
        <v>7830</v>
      </c>
    </row>
    <row r="165" spans="1:9" ht="13.8" x14ac:dyDescent="0.25">
      <c r="A165" t="s">
        <v>16</v>
      </c>
      <c r="B165" t="s">
        <v>13</v>
      </c>
      <c r="C165" s="3" t="s">
        <v>15</v>
      </c>
      <c r="D165" s="4">
        <v>42952</v>
      </c>
      <c r="E165" s="4" t="s">
        <v>112</v>
      </c>
      <c r="F165">
        <v>700</v>
      </c>
      <c r="G165">
        <v>13433</v>
      </c>
      <c r="H165">
        <v>5929</v>
      </c>
      <c r="I165">
        <v>7504</v>
      </c>
    </row>
    <row r="166" spans="1:9" ht="13.8" x14ac:dyDescent="0.25">
      <c r="A166" t="s">
        <v>131</v>
      </c>
      <c r="B166" t="s">
        <v>13</v>
      </c>
      <c r="C166" s="3" t="s">
        <v>15</v>
      </c>
      <c r="D166" s="4">
        <v>42953</v>
      </c>
      <c r="E166" s="4" t="s">
        <v>115</v>
      </c>
      <c r="F166">
        <v>800</v>
      </c>
      <c r="G166">
        <v>15288</v>
      </c>
      <c r="H166">
        <v>6776</v>
      </c>
      <c r="I166">
        <v>8512</v>
      </c>
    </row>
    <row r="167" spans="1:9" ht="13.8" x14ac:dyDescent="0.25">
      <c r="A167" t="s">
        <v>130</v>
      </c>
      <c r="B167" t="s">
        <v>9</v>
      </c>
      <c r="C167" s="3" t="s">
        <v>10</v>
      </c>
      <c r="D167" s="4">
        <v>42953</v>
      </c>
      <c r="E167" s="4" t="s">
        <v>105</v>
      </c>
      <c r="F167">
        <v>900</v>
      </c>
      <c r="G167">
        <v>19584</v>
      </c>
      <c r="H167">
        <v>9198</v>
      </c>
      <c r="I167">
        <v>10386</v>
      </c>
    </row>
    <row r="168" spans="1:9" ht="13.8" x14ac:dyDescent="0.25">
      <c r="A168" t="s">
        <v>126</v>
      </c>
      <c r="B168" t="s">
        <v>11</v>
      </c>
      <c r="C168" s="3" t="s">
        <v>10</v>
      </c>
      <c r="D168" s="4">
        <v>42954</v>
      </c>
      <c r="E168" s="4" t="s">
        <v>128</v>
      </c>
      <c r="F168">
        <v>100</v>
      </c>
      <c r="G168">
        <v>2320</v>
      </c>
      <c r="H168">
        <v>1022</v>
      </c>
      <c r="I168">
        <v>1298</v>
      </c>
    </row>
    <row r="169" spans="1:9" ht="13.8" x14ac:dyDescent="0.25">
      <c r="A169" t="s">
        <v>126</v>
      </c>
      <c r="B169" t="s">
        <v>13</v>
      </c>
      <c r="C169" s="3" t="s">
        <v>12</v>
      </c>
      <c r="D169" s="4">
        <v>42959</v>
      </c>
      <c r="E169" s="4" t="s">
        <v>108</v>
      </c>
      <c r="F169">
        <v>800</v>
      </c>
      <c r="G169">
        <v>16936</v>
      </c>
      <c r="H169">
        <v>7872</v>
      </c>
      <c r="I169">
        <v>9064</v>
      </c>
    </row>
    <row r="170" spans="1:9" ht="13.8" x14ac:dyDescent="0.25">
      <c r="A170" t="s">
        <v>126</v>
      </c>
      <c r="B170" t="s">
        <v>9</v>
      </c>
      <c r="C170" s="3" t="s">
        <v>15</v>
      </c>
      <c r="D170" s="4">
        <v>42961</v>
      </c>
      <c r="E170" s="4" t="s">
        <v>100</v>
      </c>
      <c r="F170">
        <v>300</v>
      </c>
      <c r="G170">
        <v>6138</v>
      </c>
      <c r="H170">
        <v>2541</v>
      </c>
      <c r="I170">
        <v>3597</v>
      </c>
    </row>
    <row r="171" spans="1:9" ht="13.8" x14ac:dyDescent="0.25">
      <c r="A171" t="s">
        <v>126</v>
      </c>
      <c r="B171" t="s">
        <v>11</v>
      </c>
      <c r="C171" s="3" t="s">
        <v>12</v>
      </c>
      <c r="D171" s="4">
        <v>42961</v>
      </c>
      <c r="E171" s="4" t="s">
        <v>107</v>
      </c>
      <c r="F171">
        <v>600</v>
      </c>
      <c r="G171">
        <v>12030</v>
      </c>
      <c r="H171">
        <v>5904</v>
      </c>
      <c r="I171">
        <v>6126</v>
      </c>
    </row>
    <row r="172" spans="1:9" ht="13.8" x14ac:dyDescent="0.25">
      <c r="A172" t="s">
        <v>131</v>
      </c>
      <c r="B172" t="s">
        <v>13</v>
      </c>
      <c r="C172" s="3" t="s">
        <v>10</v>
      </c>
      <c r="D172" s="4">
        <v>42963</v>
      </c>
      <c r="E172" s="4" t="s">
        <v>115</v>
      </c>
      <c r="F172">
        <v>400</v>
      </c>
      <c r="G172">
        <v>9384</v>
      </c>
      <c r="H172">
        <v>4088</v>
      </c>
      <c r="I172">
        <v>5296</v>
      </c>
    </row>
    <row r="173" spans="1:9" ht="13.8" x14ac:dyDescent="0.25">
      <c r="A173" t="s">
        <v>16</v>
      </c>
      <c r="B173" t="s">
        <v>13</v>
      </c>
      <c r="C173" s="3" t="s">
        <v>15</v>
      </c>
      <c r="D173" s="4">
        <v>42964</v>
      </c>
      <c r="E173" s="4" t="s">
        <v>112</v>
      </c>
      <c r="F173">
        <v>300</v>
      </c>
      <c r="G173">
        <v>5904</v>
      </c>
      <c r="H173">
        <v>2541</v>
      </c>
      <c r="I173">
        <v>3363</v>
      </c>
    </row>
    <row r="174" spans="1:9" ht="13.8" x14ac:dyDescent="0.25">
      <c r="A174" t="s">
        <v>16</v>
      </c>
      <c r="B174" t="s">
        <v>13</v>
      </c>
      <c r="C174" s="3" t="s">
        <v>15</v>
      </c>
      <c r="D174" s="4">
        <v>42966</v>
      </c>
      <c r="E174" s="4" t="s">
        <v>112</v>
      </c>
      <c r="F174">
        <v>1000</v>
      </c>
      <c r="G174">
        <v>21120</v>
      </c>
      <c r="H174">
        <v>8470</v>
      </c>
      <c r="I174">
        <v>12650</v>
      </c>
    </row>
    <row r="175" spans="1:9" ht="13.8" x14ac:dyDescent="0.25">
      <c r="A175" t="s">
        <v>131</v>
      </c>
      <c r="B175" t="s">
        <v>13</v>
      </c>
      <c r="C175" s="3" t="s">
        <v>10</v>
      </c>
      <c r="D175" s="4">
        <v>42967</v>
      </c>
      <c r="E175" s="4" t="s">
        <v>115</v>
      </c>
      <c r="F175">
        <v>900</v>
      </c>
      <c r="G175">
        <v>18684</v>
      </c>
      <c r="H175">
        <v>9198</v>
      </c>
      <c r="I175">
        <v>9486</v>
      </c>
    </row>
    <row r="176" spans="1:9" ht="13.8" x14ac:dyDescent="0.25">
      <c r="A176" t="s">
        <v>126</v>
      </c>
      <c r="B176" t="s">
        <v>9</v>
      </c>
      <c r="C176" s="3" t="s">
        <v>15</v>
      </c>
      <c r="D176" s="4">
        <v>42967</v>
      </c>
      <c r="E176" s="4" t="s">
        <v>100</v>
      </c>
      <c r="F176">
        <v>100</v>
      </c>
      <c r="G176">
        <v>1836</v>
      </c>
      <c r="H176">
        <v>847</v>
      </c>
      <c r="I176">
        <v>989</v>
      </c>
    </row>
    <row r="177" spans="1:9" ht="13.8" x14ac:dyDescent="0.25">
      <c r="A177" t="s">
        <v>126</v>
      </c>
      <c r="B177" t="s">
        <v>13</v>
      </c>
      <c r="C177" s="3" t="s">
        <v>10</v>
      </c>
      <c r="D177" s="4">
        <v>42969</v>
      </c>
      <c r="E177" s="4" t="s">
        <v>108</v>
      </c>
      <c r="F177">
        <v>600</v>
      </c>
      <c r="G177">
        <v>15006</v>
      </c>
      <c r="H177">
        <v>6132</v>
      </c>
      <c r="I177">
        <v>8874</v>
      </c>
    </row>
    <row r="178" spans="1:9" ht="13.8" x14ac:dyDescent="0.25">
      <c r="A178" t="s">
        <v>126</v>
      </c>
      <c r="B178" t="s">
        <v>11</v>
      </c>
      <c r="C178" s="3" t="s">
        <v>12</v>
      </c>
      <c r="D178" s="4">
        <v>42969</v>
      </c>
      <c r="E178" s="4" t="s">
        <v>109</v>
      </c>
      <c r="F178">
        <v>900</v>
      </c>
      <c r="G178">
        <v>19989</v>
      </c>
      <c r="H178">
        <v>8856</v>
      </c>
      <c r="I178">
        <v>11133</v>
      </c>
    </row>
    <row r="179" spans="1:9" ht="13.8" x14ac:dyDescent="0.25">
      <c r="A179" t="s">
        <v>16</v>
      </c>
      <c r="B179" t="s">
        <v>14</v>
      </c>
      <c r="C179" s="3" t="s">
        <v>17</v>
      </c>
      <c r="D179" s="4">
        <v>42972</v>
      </c>
      <c r="E179" s="4" t="s">
        <v>116</v>
      </c>
      <c r="F179">
        <v>800</v>
      </c>
      <c r="G179">
        <v>17856</v>
      </c>
      <c r="H179">
        <v>8176</v>
      </c>
      <c r="I179">
        <v>9680</v>
      </c>
    </row>
    <row r="180" spans="1:9" ht="13.8" x14ac:dyDescent="0.25">
      <c r="A180" t="s">
        <v>126</v>
      </c>
      <c r="B180" t="s">
        <v>9</v>
      </c>
      <c r="C180" s="3" t="s">
        <v>15</v>
      </c>
      <c r="D180" s="4">
        <v>42972</v>
      </c>
      <c r="E180" s="4" t="s">
        <v>100</v>
      </c>
      <c r="F180">
        <v>100</v>
      </c>
      <c r="G180">
        <v>1913</v>
      </c>
      <c r="H180">
        <v>847</v>
      </c>
      <c r="I180">
        <v>1066</v>
      </c>
    </row>
    <row r="181" spans="1:9" ht="13.8" x14ac:dyDescent="0.25">
      <c r="A181" t="s">
        <v>126</v>
      </c>
      <c r="B181" t="s">
        <v>11</v>
      </c>
      <c r="C181" s="3" t="s">
        <v>10</v>
      </c>
      <c r="D181" s="4">
        <v>42972</v>
      </c>
      <c r="E181" s="4" t="s">
        <v>128</v>
      </c>
      <c r="F181">
        <v>400</v>
      </c>
      <c r="G181">
        <v>8744</v>
      </c>
      <c r="H181">
        <v>4088</v>
      </c>
      <c r="I181">
        <v>4656</v>
      </c>
    </row>
    <row r="182" spans="1:9" ht="13.8" x14ac:dyDescent="0.25">
      <c r="A182" t="s">
        <v>126</v>
      </c>
      <c r="B182" t="s">
        <v>11</v>
      </c>
      <c r="C182" s="3" t="s">
        <v>10</v>
      </c>
      <c r="D182" s="4">
        <v>42973</v>
      </c>
      <c r="E182" s="4" t="s">
        <v>109</v>
      </c>
      <c r="F182">
        <v>900</v>
      </c>
      <c r="G182">
        <v>19368</v>
      </c>
      <c r="H182">
        <v>9198</v>
      </c>
      <c r="I182">
        <v>10170</v>
      </c>
    </row>
    <row r="183" spans="1:9" ht="13.8" x14ac:dyDescent="0.25">
      <c r="A183" t="s">
        <v>129</v>
      </c>
      <c r="B183" t="s">
        <v>9</v>
      </c>
      <c r="C183" s="3" t="s">
        <v>15</v>
      </c>
      <c r="D183" s="4">
        <v>42974</v>
      </c>
      <c r="E183" s="4" t="s">
        <v>118</v>
      </c>
      <c r="F183">
        <v>100</v>
      </c>
      <c r="G183">
        <v>1819</v>
      </c>
      <c r="H183">
        <v>847</v>
      </c>
      <c r="I183">
        <v>972</v>
      </c>
    </row>
    <row r="184" spans="1:9" ht="13.8" x14ac:dyDescent="0.25">
      <c r="A184" t="s">
        <v>126</v>
      </c>
      <c r="B184" t="s">
        <v>13</v>
      </c>
      <c r="C184" s="3" t="s">
        <v>10</v>
      </c>
      <c r="D184" s="4">
        <v>42975</v>
      </c>
      <c r="E184" s="4" t="s">
        <v>108</v>
      </c>
      <c r="F184">
        <v>500</v>
      </c>
      <c r="G184">
        <v>10990</v>
      </c>
      <c r="H184">
        <v>5110</v>
      </c>
      <c r="I184">
        <v>5880</v>
      </c>
    </row>
    <row r="185" spans="1:9" ht="13.8" x14ac:dyDescent="0.25">
      <c r="A185" t="s">
        <v>126</v>
      </c>
      <c r="B185" t="s">
        <v>13</v>
      </c>
      <c r="C185" s="3" t="s">
        <v>10</v>
      </c>
      <c r="D185" s="4">
        <v>42975</v>
      </c>
      <c r="E185" s="4" t="s">
        <v>108</v>
      </c>
      <c r="F185">
        <v>200</v>
      </c>
      <c r="G185">
        <v>4440</v>
      </c>
      <c r="H185">
        <v>2044</v>
      </c>
      <c r="I185">
        <v>2396</v>
      </c>
    </row>
    <row r="186" spans="1:9" ht="13.8" x14ac:dyDescent="0.25">
      <c r="A186" t="s">
        <v>130</v>
      </c>
      <c r="B186" t="s">
        <v>11</v>
      </c>
      <c r="C186" s="3" t="s">
        <v>15</v>
      </c>
      <c r="D186" s="4">
        <v>42976</v>
      </c>
      <c r="E186" s="4" t="s">
        <v>106</v>
      </c>
      <c r="F186">
        <v>300</v>
      </c>
      <c r="G186">
        <v>6309</v>
      </c>
      <c r="H186">
        <v>2541</v>
      </c>
      <c r="I186">
        <v>3768</v>
      </c>
    </row>
    <row r="187" spans="1:9" ht="13.8" x14ac:dyDescent="0.25">
      <c r="A187" t="s">
        <v>131</v>
      </c>
      <c r="B187" t="s">
        <v>13</v>
      </c>
      <c r="C187" s="3" t="s">
        <v>12</v>
      </c>
      <c r="D187" s="4">
        <v>42977</v>
      </c>
      <c r="E187" s="4" t="s">
        <v>115</v>
      </c>
      <c r="F187">
        <v>800</v>
      </c>
      <c r="G187">
        <v>18904</v>
      </c>
      <c r="H187">
        <v>7872</v>
      </c>
      <c r="I187">
        <v>11032</v>
      </c>
    </row>
    <row r="188" spans="1:9" ht="13.8" x14ac:dyDescent="0.25">
      <c r="A188" t="s">
        <v>127</v>
      </c>
      <c r="B188" t="s">
        <v>11</v>
      </c>
      <c r="C188" s="3" t="s">
        <v>10</v>
      </c>
      <c r="D188" s="4">
        <v>42979</v>
      </c>
      <c r="E188" s="4" t="s">
        <v>123</v>
      </c>
      <c r="F188">
        <v>800</v>
      </c>
      <c r="G188">
        <v>18072</v>
      </c>
      <c r="H188">
        <v>8176</v>
      </c>
      <c r="I188">
        <v>9896</v>
      </c>
    </row>
    <row r="189" spans="1:9" ht="13.8" x14ac:dyDescent="0.25">
      <c r="A189" t="s">
        <v>129</v>
      </c>
      <c r="B189" t="s">
        <v>13</v>
      </c>
      <c r="C189" s="3" t="s">
        <v>15</v>
      </c>
      <c r="D189" s="4">
        <v>42979</v>
      </c>
      <c r="E189" s="4" t="s">
        <v>101</v>
      </c>
      <c r="F189">
        <v>100</v>
      </c>
      <c r="G189">
        <v>2012</v>
      </c>
      <c r="H189">
        <v>847</v>
      </c>
      <c r="I189">
        <v>1165</v>
      </c>
    </row>
    <row r="190" spans="1:9" ht="13.8" x14ac:dyDescent="0.25">
      <c r="A190" t="s">
        <v>126</v>
      </c>
      <c r="B190" t="s">
        <v>9</v>
      </c>
      <c r="C190" s="3" t="s">
        <v>15</v>
      </c>
      <c r="D190" s="4">
        <v>42982</v>
      </c>
      <c r="E190" s="4" t="s">
        <v>100</v>
      </c>
      <c r="F190">
        <v>500</v>
      </c>
      <c r="G190">
        <v>10295</v>
      </c>
      <c r="H190">
        <v>4235</v>
      </c>
      <c r="I190">
        <v>6060</v>
      </c>
    </row>
    <row r="191" spans="1:9" ht="13.8" x14ac:dyDescent="0.25">
      <c r="A191" t="s">
        <v>126</v>
      </c>
      <c r="B191" t="s">
        <v>9</v>
      </c>
      <c r="C191" s="3" t="s">
        <v>15</v>
      </c>
      <c r="D191" s="4">
        <v>42983</v>
      </c>
      <c r="E191" s="4" t="s">
        <v>100</v>
      </c>
      <c r="F191">
        <v>400</v>
      </c>
      <c r="G191">
        <v>7944</v>
      </c>
      <c r="H191">
        <v>3388</v>
      </c>
      <c r="I191">
        <v>4556</v>
      </c>
    </row>
    <row r="192" spans="1:9" ht="13.8" x14ac:dyDescent="0.25">
      <c r="A192" t="s">
        <v>126</v>
      </c>
      <c r="B192" t="s">
        <v>11</v>
      </c>
      <c r="C192" s="3" t="s">
        <v>15</v>
      </c>
      <c r="D192" s="4">
        <v>42984</v>
      </c>
      <c r="E192" s="4" t="s">
        <v>107</v>
      </c>
      <c r="F192">
        <v>100</v>
      </c>
      <c r="G192">
        <v>1957</v>
      </c>
      <c r="H192">
        <v>847</v>
      </c>
      <c r="I192">
        <v>1110</v>
      </c>
    </row>
    <row r="193" spans="1:9" ht="13.8" x14ac:dyDescent="0.25">
      <c r="A193" t="s">
        <v>130</v>
      </c>
      <c r="B193" t="s">
        <v>11</v>
      </c>
      <c r="C193" s="3" t="s">
        <v>12</v>
      </c>
      <c r="D193" s="4">
        <v>42988</v>
      </c>
      <c r="E193" s="4" t="s">
        <v>106</v>
      </c>
      <c r="F193">
        <v>700</v>
      </c>
      <c r="G193">
        <v>15680</v>
      </c>
      <c r="H193">
        <v>6888</v>
      </c>
      <c r="I193">
        <v>8792</v>
      </c>
    </row>
    <row r="194" spans="1:9" ht="13.8" x14ac:dyDescent="0.25">
      <c r="A194" t="s">
        <v>126</v>
      </c>
      <c r="B194" t="s">
        <v>13</v>
      </c>
      <c r="C194" s="3" t="s">
        <v>12</v>
      </c>
      <c r="D194" s="4">
        <v>42988</v>
      </c>
      <c r="E194" s="4" t="s">
        <v>108</v>
      </c>
      <c r="F194">
        <v>600</v>
      </c>
      <c r="G194">
        <v>12756</v>
      </c>
      <c r="H194">
        <v>5904</v>
      </c>
      <c r="I194">
        <v>6852</v>
      </c>
    </row>
    <row r="195" spans="1:9" ht="13.8" x14ac:dyDescent="0.25">
      <c r="A195" t="s">
        <v>16</v>
      </c>
      <c r="B195" t="s">
        <v>13</v>
      </c>
      <c r="C195" s="3" t="s">
        <v>15</v>
      </c>
      <c r="D195" s="4">
        <v>42989</v>
      </c>
      <c r="E195" s="4" t="s">
        <v>112</v>
      </c>
      <c r="F195">
        <v>300</v>
      </c>
      <c r="G195">
        <v>5826</v>
      </c>
      <c r="H195">
        <v>2541</v>
      </c>
      <c r="I195">
        <v>3285</v>
      </c>
    </row>
    <row r="196" spans="1:9" ht="13.8" x14ac:dyDescent="0.25">
      <c r="A196" t="s">
        <v>126</v>
      </c>
      <c r="B196" t="s">
        <v>11</v>
      </c>
      <c r="C196" s="3" t="s">
        <v>10</v>
      </c>
      <c r="D196" s="4">
        <v>42991</v>
      </c>
      <c r="E196" s="4" t="s">
        <v>109</v>
      </c>
      <c r="F196">
        <v>800</v>
      </c>
      <c r="G196">
        <v>20008</v>
      </c>
      <c r="H196">
        <v>8176</v>
      </c>
      <c r="I196">
        <v>11832</v>
      </c>
    </row>
    <row r="197" spans="1:9" ht="13.8" x14ac:dyDescent="0.25">
      <c r="A197" t="s">
        <v>126</v>
      </c>
      <c r="B197" t="s">
        <v>11</v>
      </c>
      <c r="C197" s="3" t="s">
        <v>15</v>
      </c>
      <c r="D197" s="4">
        <v>42992</v>
      </c>
      <c r="E197" s="4" t="s">
        <v>109</v>
      </c>
      <c r="F197">
        <v>300</v>
      </c>
      <c r="G197">
        <v>5457</v>
      </c>
      <c r="H197">
        <v>2541</v>
      </c>
      <c r="I197">
        <v>2916</v>
      </c>
    </row>
    <row r="198" spans="1:9" ht="13.8" x14ac:dyDescent="0.25">
      <c r="A198" t="s">
        <v>16</v>
      </c>
      <c r="B198" t="s">
        <v>13</v>
      </c>
      <c r="C198" s="3" t="s">
        <v>15</v>
      </c>
      <c r="D198" s="4">
        <v>42993</v>
      </c>
      <c r="E198" s="4" t="s">
        <v>112</v>
      </c>
      <c r="F198">
        <v>600</v>
      </c>
      <c r="G198">
        <v>12330</v>
      </c>
      <c r="H198">
        <v>5082</v>
      </c>
      <c r="I198">
        <v>7248</v>
      </c>
    </row>
    <row r="199" spans="1:9" ht="13.8" x14ac:dyDescent="0.25">
      <c r="A199" t="s">
        <v>126</v>
      </c>
      <c r="B199" t="s">
        <v>13</v>
      </c>
      <c r="C199" s="3" t="s">
        <v>12</v>
      </c>
      <c r="D199" s="4">
        <v>42996</v>
      </c>
      <c r="E199" s="4" t="s">
        <v>108</v>
      </c>
      <c r="F199">
        <v>500</v>
      </c>
      <c r="G199">
        <v>11845</v>
      </c>
      <c r="H199">
        <v>4920</v>
      </c>
      <c r="I199">
        <v>6925</v>
      </c>
    </row>
    <row r="200" spans="1:9" ht="13.8" x14ac:dyDescent="0.25">
      <c r="A200" t="s">
        <v>129</v>
      </c>
      <c r="B200" t="s">
        <v>13</v>
      </c>
      <c r="C200" s="3" t="s">
        <v>12</v>
      </c>
      <c r="D200" s="4">
        <v>42997</v>
      </c>
      <c r="E200" s="4" t="s">
        <v>117</v>
      </c>
      <c r="F200">
        <v>800</v>
      </c>
      <c r="G200">
        <v>16784</v>
      </c>
      <c r="H200">
        <v>7872</v>
      </c>
      <c r="I200">
        <v>8912</v>
      </c>
    </row>
    <row r="201" spans="1:9" ht="13.8" x14ac:dyDescent="0.25">
      <c r="A201" t="s">
        <v>130</v>
      </c>
      <c r="B201" t="s">
        <v>9</v>
      </c>
      <c r="C201" s="3" t="s">
        <v>15</v>
      </c>
      <c r="D201" s="4">
        <v>43000</v>
      </c>
      <c r="E201" s="4" t="s">
        <v>105</v>
      </c>
      <c r="F201">
        <v>1000</v>
      </c>
      <c r="G201">
        <v>17200</v>
      </c>
      <c r="H201">
        <v>8470</v>
      </c>
      <c r="I201">
        <v>8730</v>
      </c>
    </row>
    <row r="202" spans="1:9" ht="13.8" x14ac:dyDescent="0.25">
      <c r="A202" t="s">
        <v>126</v>
      </c>
      <c r="B202" t="s">
        <v>11</v>
      </c>
      <c r="C202" s="3" t="s">
        <v>15</v>
      </c>
      <c r="D202" s="4">
        <v>43001</v>
      </c>
      <c r="E202" s="4" t="s">
        <v>109</v>
      </c>
      <c r="F202">
        <v>600</v>
      </c>
      <c r="G202">
        <v>10602</v>
      </c>
      <c r="H202">
        <v>5082</v>
      </c>
      <c r="I202">
        <v>5520</v>
      </c>
    </row>
    <row r="203" spans="1:9" ht="13.8" x14ac:dyDescent="0.25">
      <c r="A203" t="s">
        <v>126</v>
      </c>
      <c r="B203" t="s">
        <v>13</v>
      </c>
      <c r="C203" s="3" t="s">
        <v>15</v>
      </c>
      <c r="D203" s="4">
        <v>43003</v>
      </c>
      <c r="E203" s="4" t="s">
        <v>108</v>
      </c>
      <c r="F203">
        <v>500</v>
      </c>
      <c r="G203">
        <v>9350</v>
      </c>
      <c r="H203">
        <v>4235</v>
      </c>
      <c r="I203">
        <v>5115</v>
      </c>
    </row>
    <row r="204" spans="1:9" ht="13.8" x14ac:dyDescent="0.25">
      <c r="A204" t="s">
        <v>130</v>
      </c>
      <c r="B204" t="s">
        <v>9</v>
      </c>
      <c r="C204" s="3" t="s">
        <v>10</v>
      </c>
      <c r="D204" s="4">
        <v>43003</v>
      </c>
      <c r="E204" s="4" t="s">
        <v>105</v>
      </c>
      <c r="F204">
        <v>100</v>
      </c>
      <c r="G204">
        <v>2095</v>
      </c>
      <c r="H204">
        <v>1022</v>
      </c>
      <c r="I204">
        <v>1073</v>
      </c>
    </row>
    <row r="205" spans="1:9" ht="13.8" x14ac:dyDescent="0.25">
      <c r="A205" t="s">
        <v>130</v>
      </c>
      <c r="B205" t="s">
        <v>9</v>
      </c>
      <c r="C205" s="3" t="s">
        <v>12</v>
      </c>
      <c r="D205" s="4">
        <v>43004</v>
      </c>
      <c r="E205" s="4" t="s">
        <v>105</v>
      </c>
      <c r="F205">
        <v>600</v>
      </c>
      <c r="G205">
        <v>13728</v>
      </c>
      <c r="H205">
        <v>5904</v>
      </c>
      <c r="I205">
        <v>7824</v>
      </c>
    </row>
    <row r="206" spans="1:9" ht="13.8" x14ac:dyDescent="0.25">
      <c r="A206" t="s">
        <v>126</v>
      </c>
      <c r="B206" t="s">
        <v>11</v>
      </c>
      <c r="C206" s="3" t="s">
        <v>15</v>
      </c>
      <c r="D206" s="4">
        <v>43005</v>
      </c>
      <c r="E206" s="4" t="s">
        <v>128</v>
      </c>
      <c r="F206">
        <v>900</v>
      </c>
      <c r="G206">
        <v>17712</v>
      </c>
      <c r="H206">
        <v>7623</v>
      </c>
      <c r="I206">
        <v>10089</v>
      </c>
    </row>
    <row r="207" spans="1:9" ht="13.8" x14ac:dyDescent="0.25">
      <c r="A207" t="s">
        <v>129</v>
      </c>
      <c r="B207" t="s">
        <v>13</v>
      </c>
      <c r="C207" s="3" t="s">
        <v>12</v>
      </c>
      <c r="D207" s="4">
        <v>43005</v>
      </c>
      <c r="E207" s="4" t="s">
        <v>101</v>
      </c>
      <c r="F207">
        <v>1000</v>
      </c>
      <c r="G207">
        <v>23080</v>
      </c>
      <c r="H207">
        <v>9840</v>
      </c>
      <c r="I207">
        <v>13240</v>
      </c>
    </row>
    <row r="208" spans="1:9" ht="13.8" x14ac:dyDescent="0.25">
      <c r="A208" t="s">
        <v>129</v>
      </c>
      <c r="B208" t="s">
        <v>13</v>
      </c>
      <c r="C208" s="3" t="s">
        <v>15</v>
      </c>
      <c r="D208" s="4">
        <v>43006</v>
      </c>
      <c r="E208" s="4" t="s">
        <v>101</v>
      </c>
      <c r="F208">
        <v>800</v>
      </c>
      <c r="G208">
        <v>13552</v>
      </c>
      <c r="H208">
        <v>6776</v>
      </c>
      <c r="I208">
        <v>6776</v>
      </c>
    </row>
    <row r="209" spans="1:9" ht="13.8" x14ac:dyDescent="0.25">
      <c r="A209" t="s">
        <v>130</v>
      </c>
      <c r="B209" t="s">
        <v>9</v>
      </c>
      <c r="C209" s="3" t="s">
        <v>10</v>
      </c>
      <c r="D209" s="4">
        <v>43007</v>
      </c>
      <c r="E209" s="4" t="s">
        <v>105</v>
      </c>
      <c r="F209">
        <v>600</v>
      </c>
      <c r="G209">
        <v>12480</v>
      </c>
      <c r="H209">
        <v>6132</v>
      </c>
      <c r="I209">
        <v>6348</v>
      </c>
    </row>
    <row r="210" spans="1:9" ht="13.8" x14ac:dyDescent="0.25">
      <c r="A210" t="s">
        <v>126</v>
      </c>
      <c r="B210" t="s">
        <v>11</v>
      </c>
      <c r="C210" s="3" t="s">
        <v>15</v>
      </c>
      <c r="D210" s="4">
        <v>43008</v>
      </c>
      <c r="E210" s="4" t="s">
        <v>109</v>
      </c>
      <c r="F210">
        <v>900</v>
      </c>
      <c r="G210">
        <v>15759</v>
      </c>
      <c r="H210">
        <v>7623</v>
      </c>
      <c r="I210">
        <v>8136</v>
      </c>
    </row>
    <row r="211" spans="1:9" ht="13.8" x14ac:dyDescent="0.25">
      <c r="A211" t="s">
        <v>126</v>
      </c>
      <c r="B211" t="s">
        <v>11</v>
      </c>
      <c r="C211" s="3" t="s">
        <v>12</v>
      </c>
      <c r="D211" s="4">
        <v>43010</v>
      </c>
      <c r="E211" s="4" t="s">
        <v>128</v>
      </c>
      <c r="F211">
        <v>200</v>
      </c>
      <c r="G211">
        <v>4866</v>
      </c>
      <c r="H211">
        <v>1968</v>
      </c>
      <c r="I211">
        <v>2898</v>
      </c>
    </row>
    <row r="212" spans="1:9" ht="13.8" x14ac:dyDescent="0.25">
      <c r="A212" t="s">
        <v>126</v>
      </c>
      <c r="B212" t="s">
        <v>9</v>
      </c>
      <c r="C212" s="3" t="s">
        <v>15</v>
      </c>
      <c r="D212" s="4">
        <v>43011</v>
      </c>
      <c r="E212" s="4" t="s">
        <v>100</v>
      </c>
      <c r="F212">
        <v>100</v>
      </c>
      <c r="G212">
        <v>1877</v>
      </c>
      <c r="H212">
        <v>847</v>
      </c>
      <c r="I212">
        <v>1030</v>
      </c>
    </row>
    <row r="213" spans="1:9" ht="13.8" x14ac:dyDescent="0.25">
      <c r="A213" t="s">
        <v>129</v>
      </c>
      <c r="B213" t="s">
        <v>13</v>
      </c>
      <c r="C213" s="3" t="s">
        <v>10</v>
      </c>
      <c r="D213" s="4">
        <v>43014</v>
      </c>
      <c r="E213" s="4" t="s">
        <v>117</v>
      </c>
      <c r="F213">
        <v>800</v>
      </c>
      <c r="G213">
        <v>16936</v>
      </c>
      <c r="H213">
        <v>8176</v>
      </c>
      <c r="I213">
        <v>8760</v>
      </c>
    </row>
    <row r="214" spans="1:9" ht="13.8" x14ac:dyDescent="0.25">
      <c r="A214" t="s">
        <v>129</v>
      </c>
      <c r="B214" t="s">
        <v>13</v>
      </c>
      <c r="C214" s="3" t="s">
        <v>10</v>
      </c>
      <c r="D214" s="4">
        <v>43015</v>
      </c>
      <c r="E214" s="4" t="s">
        <v>101</v>
      </c>
      <c r="F214">
        <v>700</v>
      </c>
      <c r="G214">
        <v>15715</v>
      </c>
      <c r="H214">
        <v>7154</v>
      </c>
      <c r="I214">
        <v>8561</v>
      </c>
    </row>
    <row r="215" spans="1:9" ht="13.8" x14ac:dyDescent="0.25">
      <c r="A215" t="s">
        <v>126</v>
      </c>
      <c r="B215" t="s">
        <v>11</v>
      </c>
      <c r="C215" s="3" t="s">
        <v>10</v>
      </c>
      <c r="D215" s="4">
        <v>43016</v>
      </c>
      <c r="E215" s="4" t="s">
        <v>109</v>
      </c>
      <c r="F215">
        <v>800</v>
      </c>
      <c r="G215">
        <v>18208</v>
      </c>
      <c r="H215">
        <v>8176</v>
      </c>
      <c r="I215">
        <v>10032</v>
      </c>
    </row>
    <row r="216" spans="1:9" ht="13.8" x14ac:dyDescent="0.25">
      <c r="A216" t="s">
        <v>16</v>
      </c>
      <c r="B216" t="s">
        <v>14</v>
      </c>
      <c r="C216" s="3" t="s">
        <v>12</v>
      </c>
      <c r="D216" s="4">
        <v>43016</v>
      </c>
      <c r="E216" s="4" t="s">
        <v>116</v>
      </c>
      <c r="F216">
        <v>100</v>
      </c>
      <c r="G216">
        <v>2358</v>
      </c>
      <c r="H216">
        <v>984</v>
      </c>
      <c r="I216">
        <v>1374</v>
      </c>
    </row>
    <row r="217" spans="1:9" ht="13.8" x14ac:dyDescent="0.25">
      <c r="A217" t="s">
        <v>126</v>
      </c>
      <c r="B217" t="s">
        <v>11</v>
      </c>
      <c r="C217" s="3" t="s">
        <v>10</v>
      </c>
      <c r="D217" s="4">
        <v>43018</v>
      </c>
      <c r="E217" s="4" t="s">
        <v>107</v>
      </c>
      <c r="F217">
        <v>400</v>
      </c>
      <c r="G217">
        <v>8560</v>
      </c>
      <c r="H217">
        <v>4088</v>
      </c>
      <c r="I217">
        <v>4472</v>
      </c>
    </row>
    <row r="218" spans="1:9" ht="13.8" x14ac:dyDescent="0.25">
      <c r="A218" t="s">
        <v>126</v>
      </c>
      <c r="B218" t="s">
        <v>11</v>
      </c>
      <c r="C218" s="3" t="s">
        <v>12</v>
      </c>
      <c r="D218" s="4">
        <v>43020</v>
      </c>
      <c r="E218" s="4" t="s">
        <v>107</v>
      </c>
      <c r="F218">
        <v>1000</v>
      </c>
      <c r="G218">
        <v>20190</v>
      </c>
      <c r="H218">
        <v>9840</v>
      </c>
      <c r="I218">
        <v>10350</v>
      </c>
    </row>
    <row r="219" spans="1:9" ht="13.8" x14ac:dyDescent="0.25">
      <c r="A219" t="s">
        <v>126</v>
      </c>
      <c r="B219" t="s">
        <v>14</v>
      </c>
      <c r="C219" s="3" t="s">
        <v>10</v>
      </c>
      <c r="D219" s="4">
        <v>43021</v>
      </c>
      <c r="E219" s="4" t="s">
        <v>113</v>
      </c>
      <c r="F219">
        <v>300</v>
      </c>
      <c r="G219">
        <v>7032</v>
      </c>
      <c r="H219">
        <v>3066</v>
      </c>
      <c r="I219">
        <v>3966</v>
      </c>
    </row>
    <row r="220" spans="1:9" ht="13.8" x14ac:dyDescent="0.25">
      <c r="A220" t="s">
        <v>126</v>
      </c>
      <c r="B220" t="s">
        <v>11</v>
      </c>
      <c r="C220" s="3" t="s">
        <v>10</v>
      </c>
      <c r="D220" s="4">
        <v>43023</v>
      </c>
      <c r="E220" s="4" t="s">
        <v>109</v>
      </c>
      <c r="F220">
        <v>100</v>
      </c>
      <c r="G220">
        <v>2517</v>
      </c>
      <c r="H220">
        <v>1022</v>
      </c>
      <c r="I220">
        <v>1495</v>
      </c>
    </row>
    <row r="221" spans="1:9" ht="13.8" x14ac:dyDescent="0.25">
      <c r="A221" t="s">
        <v>16</v>
      </c>
      <c r="B221" t="s">
        <v>13</v>
      </c>
      <c r="C221" s="3" t="s">
        <v>10</v>
      </c>
      <c r="D221" s="4">
        <v>43024</v>
      </c>
      <c r="E221" s="4" t="s">
        <v>112</v>
      </c>
      <c r="F221">
        <v>500</v>
      </c>
      <c r="G221">
        <v>10550</v>
      </c>
      <c r="H221">
        <v>5110</v>
      </c>
      <c r="I221">
        <v>5440</v>
      </c>
    </row>
    <row r="222" spans="1:9" ht="13.8" x14ac:dyDescent="0.25">
      <c r="A222" t="s">
        <v>131</v>
      </c>
      <c r="B222" t="s">
        <v>13</v>
      </c>
      <c r="C222" s="3" t="s">
        <v>15</v>
      </c>
      <c r="D222" s="4">
        <v>43024</v>
      </c>
      <c r="E222" s="4" t="s">
        <v>115</v>
      </c>
      <c r="F222">
        <v>700</v>
      </c>
      <c r="G222">
        <v>14133</v>
      </c>
      <c r="H222">
        <v>5929</v>
      </c>
      <c r="I222">
        <v>8204</v>
      </c>
    </row>
    <row r="223" spans="1:9" ht="13.8" x14ac:dyDescent="0.25">
      <c r="A223" t="s">
        <v>16</v>
      </c>
      <c r="B223" t="s">
        <v>13</v>
      </c>
      <c r="C223" s="3" t="s">
        <v>10</v>
      </c>
      <c r="D223" s="4">
        <v>43025</v>
      </c>
      <c r="E223" s="4" t="s">
        <v>112</v>
      </c>
      <c r="F223">
        <v>300</v>
      </c>
      <c r="G223">
        <v>6495</v>
      </c>
      <c r="H223">
        <v>3066</v>
      </c>
      <c r="I223">
        <v>3429</v>
      </c>
    </row>
    <row r="224" spans="1:9" ht="13.8" x14ac:dyDescent="0.25">
      <c r="A224" t="s">
        <v>126</v>
      </c>
      <c r="B224" t="s">
        <v>11</v>
      </c>
      <c r="C224" s="3" t="s">
        <v>15</v>
      </c>
      <c r="D224" s="4">
        <v>43026</v>
      </c>
      <c r="E224" s="4" t="s">
        <v>109</v>
      </c>
      <c r="F224">
        <v>400</v>
      </c>
      <c r="G224">
        <v>7520</v>
      </c>
      <c r="H224">
        <v>3388</v>
      </c>
      <c r="I224">
        <v>4132</v>
      </c>
    </row>
    <row r="225" spans="1:9" ht="13.8" x14ac:dyDescent="0.25">
      <c r="A225" t="s">
        <v>126</v>
      </c>
      <c r="B225" t="s">
        <v>13</v>
      </c>
      <c r="C225" s="3" t="s">
        <v>10</v>
      </c>
      <c r="D225" s="4">
        <v>43028</v>
      </c>
      <c r="E225" s="4" t="s">
        <v>108</v>
      </c>
      <c r="F225">
        <v>900</v>
      </c>
      <c r="G225">
        <v>21834</v>
      </c>
      <c r="H225">
        <v>9198</v>
      </c>
      <c r="I225">
        <v>12636</v>
      </c>
    </row>
    <row r="226" spans="1:9" ht="13.8" x14ac:dyDescent="0.25">
      <c r="A226" t="s">
        <v>126</v>
      </c>
      <c r="B226" t="s">
        <v>11</v>
      </c>
      <c r="C226" s="3" t="s">
        <v>15</v>
      </c>
      <c r="D226" s="4">
        <v>43028</v>
      </c>
      <c r="E226" s="4" t="s">
        <v>109</v>
      </c>
      <c r="F226">
        <v>800</v>
      </c>
      <c r="G226">
        <v>14136</v>
      </c>
      <c r="H226">
        <v>6776</v>
      </c>
      <c r="I226">
        <v>7360</v>
      </c>
    </row>
    <row r="227" spans="1:9" ht="13.8" x14ac:dyDescent="0.25">
      <c r="A227" t="s">
        <v>130</v>
      </c>
      <c r="B227" t="s">
        <v>9</v>
      </c>
      <c r="C227" s="3" t="s">
        <v>15</v>
      </c>
      <c r="D227" s="4">
        <v>43030</v>
      </c>
      <c r="E227" s="4" t="s">
        <v>105</v>
      </c>
      <c r="F227">
        <v>800</v>
      </c>
      <c r="G227">
        <v>16008</v>
      </c>
      <c r="H227">
        <v>6776</v>
      </c>
      <c r="I227">
        <v>9232</v>
      </c>
    </row>
    <row r="228" spans="1:9" ht="13.8" x14ac:dyDescent="0.25">
      <c r="A228" t="s">
        <v>131</v>
      </c>
      <c r="B228" t="s">
        <v>13</v>
      </c>
      <c r="C228" s="3" t="s">
        <v>12</v>
      </c>
      <c r="D228" s="4">
        <v>43030</v>
      </c>
      <c r="E228" s="4" t="s">
        <v>122</v>
      </c>
      <c r="F228">
        <v>500</v>
      </c>
      <c r="G228">
        <v>11220</v>
      </c>
      <c r="H228">
        <v>4920</v>
      </c>
      <c r="I228">
        <v>6300</v>
      </c>
    </row>
    <row r="229" spans="1:9" ht="13.8" x14ac:dyDescent="0.25">
      <c r="A229" t="s">
        <v>129</v>
      </c>
      <c r="B229" t="s">
        <v>13</v>
      </c>
      <c r="C229" s="3" t="s">
        <v>12</v>
      </c>
      <c r="D229" s="4">
        <v>43031</v>
      </c>
      <c r="E229" s="4" t="s">
        <v>101</v>
      </c>
      <c r="F229">
        <v>1000</v>
      </c>
      <c r="G229">
        <v>23040</v>
      </c>
      <c r="H229">
        <v>9840</v>
      </c>
      <c r="I229">
        <v>13200</v>
      </c>
    </row>
    <row r="230" spans="1:9" ht="13.8" x14ac:dyDescent="0.25">
      <c r="A230" t="s">
        <v>16</v>
      </c>
      <c r="B230" t="s">
        <v>13</v>
      </c>
      <c r="C230" s="3" t="s">
        <v>12</v>
      </c>
      <c r="D230" s="4">
        <v>43033</v>
      </c>
      <c r="E230" s="4" t="s">
        <v>112</v>
      </c>
      <c r="F230">
        <v>500</v>
      </c>
      <c r="G230">
        <v>10955</v>
      </c>
      <c r="H230">
        <v>4920</v>
      </c>
      <c r="I230">
        <v>6035</v>
      </c>
    </row>
    <row r="231" spans="1:9" ht="13.8" x14ac:dyDescent="0.25">
      <c r="A231" t="s">
        <v>16</v>
      </c>
      <c r="B231" t="s">
        <v>13</v>
      </c>
      <c r="C231" s="3" t="s">
        <v>10</v>
      </c>
      <c r="D231" s="4">
        <v>43033</v>
      </c>
      <c r="E231" s="4" t="s">
        <v>112</v>
      </c>
      <c r="F231">
        <v>900</v>
      </c>
      <c r="G231">
        <v>21762</v>
      </c>
      <c r="H231">
        <v>9198</v>
      </c>
      <c r="I231">
        <v>12564</v>
      </c>
    </row>
    <row r="232" spans="1:9" ht="13.8" x14ac:dyDescent="0.25">
      <c r="A232" t="s">
        <v>16</v>
      </c>
      <c r="B232" t="s">
        <v>13</v>
      </c>
      <c r="C232" s="3" t="s">
        <v>15</v>
      </c>
      <c r="D232" s="4">
        <v>43035</v>
      </c>
      <c r="E232" s="4" t="s">
        <v>112</v>
      </c>
      <c r="F232">
        <v>800</v>
      </c>
      <c r="G232">
        <v>15976</v>
      </c>
      <c r="H232">
        <v>6776</v>
      </c>
      <c r="I232">
        <v>9200</v>
      </c>
    </row>
    <row r="233" spans="1:9" ht="13.8" x14ac:dyDescent="0.25">
      <c r="A233" t="s">
        <v>126</v>
      </c>
      <c r="B233" t="s">
        <v>11</v>
      </c>
      <c r="C233" s="3" t="s">
        <v>12</v>
      </c>
      <c r="D233" s="4">
        <v>43038</v>
      </c>
      <c r="E233" s="4" t="s">
        <v>109</v>
      </c>
      <c r="F233">
        <v>1000</v>
      </c>
      <c r="G233">
        <v>20540</v>
      </c>
      <c r="H233">
        <v>9840</v>
      </c>
      <c r="I233">
        <v>10700</v>
      </c>
    </row>
    <row r="234" spans="1:9" ht="13.8" x14ac:dyDescent="0.25">
      <c r="A234" t="s">
        <v>126</v>
      </c>
      <c r="B234" t="s">
        <v>11</v>
      </c>
      <c r="C234" s="3" t="s">
        <v>15</v>
      </c>
      <c r="D234" s="4">
        <v>43039</v>
      </c>
      <c r="E234" s="4" t="s">
        <v>128</v>
      </c>
      <c r="F234">
        <v>500</v>
      </c>
      <c r="G234">
        <v>9475</v>
      </c>
      <c r="H234">
        <v>4235</v>
      </c>
      <c r="I234">
        <v>5240</v>
      </c>
    </row>
    <row r="235" spans="1:9" ht="13.8" x14ac:dyDescent="0.25">
      <c r="A235" t="s">
        <v>130</v>
      </c>
      <c r="B235" t="s">
        <v>9</v>
      </c>
      <c r="C235" s="3" t="s">
        <v>10</v>
      </c>
      <c r="D235" s="4">
        <v>43040</v>
      </c>
      <c r="E235" s="4" t="s">
        <v>105</v>
      </c>
      <c r="F235">
        <v>100</v>
      </c>
      <c r="G235">
        <v>2343</v>
      </c>
      <c r="H235">
        <v>1022</v>
      </c>
      <c r="I235">
        <v>1321</v>
      </c>
    </row>
    <row r="236" spans="1:9" ht="13.8" x14ac:dyDescent="0.25">
      <c r="A236" t="s">
        <v>126</v>
      </c>
      <c r="B236" t="s">
        <v>11</v>
      </c>
      <c r="C236" s="3" t="s">
        <v>10</v>
      </c>
      <c r="D236" s="4">
        <v>43043</v>
      </c>
      <c r="E236" s="4" t="s">
        <v>128</v>
      </c>
      <c r="F236">
        <v>500</v>
      </c>
      <c r="G236">
        <v>10645</v>
      </c>
      <c r="H236">
        <v>5110</v>
      </c>
      <c r="I236">
        <v>5535</v>
      </c>
    </row>
    <row r="237" spans="1:9" ht="13.8" x14ac:dyDescent="0.25">
      <c r="A237" t="s">
        <v>126</v>
      </c>
      <c r="B237" t="s">
        <v>11</v>
      </c>
      <c r="C237" s="3" t="s">
        <v>15</v>
      </c>
      <c r="D237" s="4">
        <v>43044</v>
      </c>
      <c r="E237" s="4" t="s">
        <v>128</v>
      </c>
      <c r="F237">
        <v>400</v>
      </c>
      <c r="G237">
        <v>8468</v>
      </c>
      <c r="H237">
        <v>3388</v>
      </c>
      <c r="I237">
        <v>5080</v>
      </c>
    </row>
    <row r="238" spans="1:9" ht="13.8" x14ac:dyDescent="0.25">
      <c r="A238" t="s">
        <v>126</v>
      </c>
      <c r="B238" t="s">
        <v>11</v>
      </c>
      <c r="C238" s="3" t="s">
        <v>15</v>
      </c>
      <c r="D238" s="4">
        <v>43047</v>
      </c>
      <c r="E238" s="4" t="s">
        <v>109</v>
      </c>
      <c r="F238">
        <v>400</v>
      </c>
      <c r="G238">
        <v>8196</v>
      </c>
      <c r="H238">
        <v>3388</v>
      </c>
      <c r="I238">
        <v>4808</v>
      </c>
    </row>
    <row r="239" spans="1:9" ht="13.8" x14ac:dyDescent="0.25">
      <c r="A239" t="s">
        <v>126</v>
      </c>
      <c r="B239" t="s">
        <v>11</v>
      </c>
      <c r="C239" s="3" t="s">
        <v>12</v>
      </c>
      <c r="D239" s="4">
        <v>43050</v>
      </c>
      <c r="E239" s="4" t="s">
        <v>109</v>
      </c>
      <c r="F239">
        <v>500</v>
      </c>
      <c r="G239">
        <v>11295</v>
      </c>
      <c r="H239">
        <v>4920</v>
      </c>
      <c r="I239">
        <v>6375</v>
      </c>
    </row>
    <row r="240" spans="1:9" ht="13.8" x14ac:dyDescent="0.25">
      <c r="A240" t="s">
        <v>130</v>
      </c>
      <c r="B240" t="s">
        <v>11</v>
      </c>
      <c r="C240" s="3" t="s">
        <v>10</v>
      </c>
      <c r="D240" s="4">
        <v>43052</v>
      </c>
      <c r="E240" s="4" t="s">
        <v>106</v>
      </c>
      <c r="F240">
        <v>800</v>
      </c>
      <c r="G240">
        <v>19376</v>
      </c>
      <c r="H240">
        <v>8176</v>
      </c>
      <c r="I240">
        <v>11200</v>
      </c>
    </row>
    <row r="241" spans="1:9" ht="13.8" x14ac:dyDescent="0.25">
      <c r="A241" t="s">
        <v>126</v>
      </c>
      <c r="B241" t="s">
        <v>11</v>
      </c>
      <c r="C241" s="3" t="s">
        <v>12</v>
      </c>
      <c r="D241" s="4">
        <v>43052</v>
      </c>
      <c r="E241" s="4" t="s">
        <v>128</v>
      </c>
      <c r="F241">
        <v>600</v>
      </c>
      <c r="G241">
        <v>14466</v>
      </c>
      <c r="H241">
        <v>5904</v>
      </c>
      <c r="I241">
        <v>8562</v>
      </c>
    </row>
    <row r="242" spans="1:9" ht="13.8" x14ac:dyDescent="0.25">
      <c r="A242" t="s">
        <v>126</v>
      </c>
      <c r="B242" t="s">
        <v>13</v>
      </c>
      <c r="C242" s="3" t="s">
        <v>15</v>
      </c>
      <c r="D242" s="4">
        <v>43054</v>
      </c>
      <c r="E242" s="4" t="s">
        <v>108</v>
      </c>
      <c r="F242">
        <v>900</v>
      </c>
      <c r="G242">
        <v>15255</v>
      </c>
      <c r="H242">
        <v>7623</v>
      </c>
      <c r="I242">
        <v>7632</v>
      </c>
    </row>
    <row r="243" spans="1:9" ht="13.8" x14ac:dyDescent="0.25">
      <c r="A243" t="s">
        <v>131</v>
      </c>
      <c r="B243" t="s">
        <v>13</v>
      </c>
      <c r="C243" s="3" t="s">
        <v>12</v>
      </c>
      <c r="D243" s="4">
        <v>43054</v>
      </c>
      <c r="E243" s="4" t="s">
        <v>115</v>
      </c>
      <c r="F243">
        <v>900</v>
      </c>
      <c r="G243">
        <v>21033</v>
      </c>
      <c r="H243">
        <v>8856</v>
      </c>
      <c r="I243">
        <v>12177</v>
      </c>
    </row>
    <row r="244" spans="1:9" ht="13.8" x14ac:dyDescent="0.25">
      <c r="A244" t="s">
        <v>131</v>
      </c>
      <c r="B244" t="s">
        <v>14</v>
      </c>
      <c r="C244" s="3" t="s">
        <v>15</v>
      </c>
      <c r="D244" s="4">
        <v>43055</v>
      </c>
      <c r="E244" s="4" t="s">
        <v>124</v>
      </c>
      <c r="F244">
        <v>1000</v>
      </c>
      <c r="G244">
        <v>17250</v>
      </c>
      <c r="H244">
        <v>8470</v>
      </c>
      <c r="I244">
        <v>8780</v>
      </c>
    </row>
    <row r="245" spans="1:9" ht="13.8" x14ac:dyDescent="0.25">
      <c r="A245" t="s">
        <v>130</v>
      </c>
      <c r="B245" t="s">
        <v>9</v>
      </c>
      <c r="C245" s="3" t="s">
        <v>12</v>
      </c>
      <c r="D245" s="4">
        <v>43056</v>
      </c>
      <c r="E245" s="4" t="s">
        <v>105</v>
      </c>
      <c r="F245">
        <v>600</v>
      </c>
      <c r="G245">
        <v>13200</v>
      </c>
      <c r="H245">
        <v>5904</v>
      </c>
      <c r="I245">
        <v>7296</v>
      </c>
    </row>
    <row r="246" spans="1:9" ht="13.8" x14ac:dyDescent="0.25">
      <c r="A246" t="s">
        <v>130</v>
      </c>
      <c r="B246" t="s">
        <v>11</v>
      </c>
      <c r="C246" s="3" t="s">
        <v>17</v>
      </c>
      <c r="D246" s="4">
        <v>43059</v>
      </c>
      <c r="E246" s="4" t="s">
        <v>110</v>
      </c>
      <c r="F246">
        <v>1000</v>
      </c>
      <c r="G246">
        <v>24420</v>
      </c>
      <c r="H246">
        <v>10220</v>
      </c>
      <c r="I246">
        <v>14200</v>
      </c>
    </row>
    <row r="247" spans="1:9" ht="13.8" x14ac:dyDescent="0.25">
      <c r="A247" t="s">
        <v>126</v>
      </c>
      <c r="B247" t="s">
        <v>11</v>
      </c>
      <c r="C247" s="3" t="s">
        <v>15</v>
      </c>
      <c r="D247" s="4">
        <v>43059</v>
      </c>
      <c r="E247" s="4" t="s">
        <v>128</v>
      </c>
      <c r="F247">
        <v>200</v>
      </c>
      <c r="G247">
        <v>3672</v>
      </c>
      <c r="H247">
        <v>1694</v>
      </c>
      <c r="I247">
        <v>1978</v>
      </c>
    </row>
    <row r="248" spans="1:9" ht="13.8" x14ac:dyDescent="0.25">
      <c r="A248" t="s">
        <v>126</v>
      </c>
      <c r="B248" t="s">
        <v>11</v>
      </c>
      <c r="C248" s="3" t="s">
        <v>12</v>
      </c>
      <c r="D248" s="4">
        <v>43060</v>
      </c>
      <c r="E248" s="4" t="s">
        <v>109</v>
      </c>
      <c r="F248">
        <v>300</v>
      </c>
      <c r="G248">
        <v>7053</v>
      </c>
      <c r="H248">
        <v>2952</v>
      </c>
      <c r="I248">
        <v>4101</v>
      </c>
    </row>
    <row r="249" spans="1:9" ht="13.8" x14ac:dyDescent="0.25">
      <c r="A249" t="s">
        <v>130</v>
      </c>
      <c r="B249" t="s">
        <v>11</v>
      </c>
      <c r="C249" s="3" t="s">
        <v>15</v>
      </c>
      <c r="D249" s="4">
        <v>43062</v>
      </c>
      <c r="E249" s="4" t="s">
        <v>106</v>
      </c>
      <c r="F249">
        <v>900</v>
      </c>
      <c r="G249">
        <v>17136</v>
      </c>
      <c r="H249">
        <v>7623</v>
      </c>
      <c r="I249">
        <v>9513</v>
      </c>
    </row>
    <row r="250" spans="1:9" ht="13.8" x14ac:dyDescent="0.25">
      <c r="A250" t="s">
        <v>126</v>
      </c>
      <c r="B250" t="s">
        <v>11</v>
      </c>
      <c r="C250" s="3" t="s">
        <v>12</v>
      </c>
      <c r="D250" s="4">
        <v>43062</v>
      </c>
      <c r="E250" s="4" t="s">
        <v>109</v>
      </c>
      <c r="F250">
        <v>100</v>
      </c>
      <c r="G250">
        <v>2410</v>
      </c>
      <c r="H250">
        <v>984</v>
      </c>
      <c r="I250">
        <v>1426</v>
      </c>
    </row>
    <row r="251" spans="1:9" ht="13.8" x14ac:dyDescent="0.25">
      <c r="A251" t="s">
        <v>130</v>
      </c>
      <c r="B251" t="s">
        <v>11</v>
      </c>
      <c r="C251" s="3" t="s">
        <v>12</v>
      </c>
      <c r="D251" s="4">
        <v>43063</v>
      </c>
      <c r="E251" s="4" t="s">
        <v>106</v>
      </c>
      <c r="F251">
        <v>300</v>
      </c>
      <c r="G251">
        <v>6462</v>
      </c>
      <c r="H251">
        <v>2952</v>
      </c>
      <c r="I251">
        <v>3510</v>
      </c>
    </row>
    <row r="252" spans="1:9" ht="13.8" x14ac:dyDescent="0.25">
      <c r="A252" t="s">
        <v>129</v>
      </c>
      <c r="B252" t="s">
        <v>9</v>
      </c>
      <c r="C252" s="3" t="s">
        <v>10</v>
      </c>
      <c r="D252" s="4">
        <v>43064</v>
      </c>
      <c r="E252" s="4" t="s">
        <v>118</v>
      </c>
      <c r="F252">
        <v>100</v>
      </c>
      <c r="G252">
        <v>2538</v>
      </c>
      <c r="H252">
        <v>1022</v>
      </c>
      <c r="I252">
        <v>1516</v>
      </c>
    </row>
    <row r="253" spans="1:9" ht="13.8" x14ac:dyDescent="0.25">
      <c r="A253" t="s">
        <v>126</v>
      </c>
      <c r="B253" t="s">
        <v>11</v>
      </c>
      <c r="C253" s="3" t="s">
        <v>12</v>
      </c>
      <c r="D253" s="4">
        <v>43067</v>
      </c>
      <c r="E253" s="4" t="s">
        <v>128</v>
      </c>
      <c r="F253">
        <v>500</v>
      </c>
      <c r="G253">
        <v>9890</v>
      </c>
      <c r="H253">
        <v>4920</v>
      </c>
      <c r="I253">
        <v>4970</v>
      </c>
    </row>
    <row r="254" spans="1:9" ht="13.8" x14ac:dyDescent="0.25">
      <c r="A254" t="s">
        <v>130</v>
      </c>
      <c r="B254" t="s">
        <v>9</v>
      </c>
      <c r="C254" s="3" t="s">
        <v>12</v>
      </c>
      <c r="D254" s="4">
        <v>43067</v>
      </c>
      <c r="E254" s="4" t="s">
        <v>105</v>
      </c>
      <c r="F254">
        <v>100</v>
      </c>
      <c r="G254">
        <v>2004</v>
      </c>
      <c r="H254">
        <v>984</v>
      </c>
      <c r="I254">
        <v>1020</v>
      </c>
    </row>
    <row r="255" spans="1:9" ht="13.8" x14ac:dyDescent="0.25">
      <c r="A255" t="s">
        <v>126</v>
      </c>
      <c r="B255" t="s">
        <v>11</v>
      </c>
      <c r="C255" s="3" t="s">
        <v>10</v>
      </c>
      <c r="D255" s="4">
        <v>43068</v>
      </c>
      <c r="E255" s="4" t="s">
        <v>128</v>
      </c>
      <c r="F255">
        <v>300</v>
      </c>
      <c r="G255">
        <v>7569</v>
      </c>
      <c r="H255">
        <v>3066</v>
      </c>
      <c r="I255">
        <v>4503</v>
      </c>
    </row>
    <row r="256" spans="1:9" ht="13.8" x14ac:dyDescent="0.25">
      <c r="A256" t="s">
        <v>130</v>
      </c>
      <c r="B256" t="s">
        <v>11</v>
      </c>
      <c r="C256" s="3" t="s">
        <v>15</v>
      </c>
      <c r="D256" s="4">
        <v>43069</v>
      </c>
      <c r="E256" s="4" t="s">
        <v>106</v>
      </c>
      <c r="F256">
        <v>300</v>
      </c>
      <c r="G256">
        <v>5592</v>
      </c>
      <c r="H256">
        <v>2541</v>
      </c>
      <c r="I256">
        <v>3051</v>
      </c>
    </row>
    <row r="257" spans="1:9" ht="13.8" x14ac:dyDescent="0.25">
      <c r="A257" t="s">
        <v>126</v>
      </c>
      <c r="B257" t="s">
        <v>11</v>
      </c>
      <c r="C257" s="3" t="s">
        <v>12</v>
      </c>
      <c r="D257" s="4">
        <v>43070</v>
      </c>
      <c r="E257" s="4" t="s">
        <v>107</v>
      </c>
      <c r="F257">
        <v>200</v>
      </c>
      <c r="G257">
        <v>3942</v>
      </c>
      <c r="H257">
        <v>1968</v>
      </c>
      <c r="I257">
        <v>1974</v>
      </c>
    </row>
    <row r="258" spans="1:9" ht="13.8" x14ac:dyDescent="0.25">
      <c r="A258" t="s">
        <v>16</v>
      </c>
      <c r="B258" t="s">
        <v>9</v>
      </c>
      <c r="C258" s="3" t="s">
        <v>12</v>
      </c>
      <c r="D258" s="4">
        <v>43071</v>
      </c>
      <c r="E258" s="4" t="s">
        <v>125</v>
      </c>
      <c r="F258">
        <v>800</v>
      </c>
      <c r="G258">
        <v>19344</v>
      </c>
      <c r="H258">
        <v>7872</v>
      </c>
      <c r="I258">
        <v>11472</v>
      </c>
    </row>
    <row r="259" spans="1:9" ht="13.8" x14ac:dyDescent="0.25">
      <c r="A259" t="s">
        <v>126</v>
      </c>
      <c r="B259" t="s">
        <v>13</v>
      </c>
      <c r="C259" s="3" t="s">
        <v>12</v>
      </c>
      <c r="D259" s="4">
        <v>43073</v>
      </c>
      <c r="E259" s="4" t="s">
        <v>108</v>
      </c>
      <c r="F259">
        <v>900</v>
      </c>
      <c r="G259">
        <v>21546</v>
      </c>
      <c r="H259">
        <v>8856</v>
      </c>
      <c r="I259">
        <v>12690</v>
      </c>
    </row>
    <row r="260" spans="1:9" ht="13.8" x14ac:dyDescent="0.25">
      <c r="A260" t="s">
        <v>16</v>
      </c>
      <c r="B260" t="s">
        <v>9</v>
      </c>
      <c r="C260" s="3" t="s">
        <v>12</v>
      </c>
      <c r="D260" s="4">
        <v>43074</v>
      </c>
      <c r="E260" s="4" t="s">
        <v>125</v>
      </c>
      <c r="F260">
        <v>500</v>
      </c>
      <c r="G260">
        <v>10760</v>
      </c>
      <c r="H260">
        <v>4920</v>
      </c>
      <c r="I260">
        <v>5840</v>
      </c>
    </row>
    <row r="261" spans="1:9" ht="13.8" x14ac:dyDescent="0.25">
      <c r="A261" t="s">
        <v>129</v>
      </c>
      <c r="B261" t="s">
        <v>13</v>
      </c>
      <c r="C261" s="3" t="s">
        <v>15</v>
      </c>
      <c r="D261" s="4">
        <v>43074</v>
      </c>
      <c r="E261" s="4" t="s">
        <v>101</v>
      </c>
      <c r="F261">
        <v>900</v>
      </c>
      <c r="G261">
        <v>18243</v>
      </c>
      <c r="H261">
        <v>7623</v>
      </c>
      <c r="I261">
        <v>10620</v>
      </c>
    </row>
    <row r="262" spans="1:9" ht="13.8" x14ac:dyDescent="0.25">
      <c r="A262" t="s">
        <v>126</v>
      </c>
      <c r="B262" t="s">
        <v>9</v>
      </c>
      <c r="C262" s="3" t="s">
        <v>15</v>
      </c>
      <c r="D262" s="4">
        <v>43075</v>
      </c>
      <c r="E262" s="4" t="s">
        <v>100</v>
      </c>
      <c r="F262">
        <v>800</v>
      </c>
      <c r="G262">
        <v>16856</v>
      </c>
      <c r="H262">
        <v>6776</v>
      </c>
      <c r="I262">
        <v>10080</v>
      </c>
    </row>
    <row r="263" spans="1:9" ht="13.8" x14ac:dyDescent="0.25">
      <c r="A263" t="s">
        <v>16</v>
      </c>
      <c r="B263" t="s">
        <v>13</v>
      </c>
      <c r="C263" s="3" t="s">
        <v>15</v>
      </c>
      <c r="D263" s="4">
        <v>43077</v>
      </c>
      <c r="E263" s="4" t="s">
        <v>112</v>
      </c>
      <c r="F263">
        <v>700</v>
      </c>
      <c r="G263">
        <v>14105</v>
      </c>
      <c r="H263">
        <v>5929</v>
      </c>
      <c r="I263">
        <v>8176</v>
      </c>
    </row>
    <row r="264" spans="1:9" ht="13.8" x14ac:dyDescent="0.25">
      <c r="A264" t="s">
        <v>126</v>
      </c>
      <c r="B264" t="s">
        <v>11</v>
      </c>
      <c r="C264" s="3" t="s">
        <v>15</v>
      </c>
      <c r="D264" s="4">
        <v>43077</v>
      </c>
      <c r="E264" s="4" t="s">
        <v>107</v>
      </c>
      <c r="F264">
        <v>100</v>
      </c>
      <c r="G264">
        <v>2111</v>
      </c>
      <c r="H264">
        <v>847</v>
      </c>
      <c r="I264">
        <v>1264</v>
      </c>
    </row>
    <row r="265" spans="1:9" ht="13.8" x14ac:dyDescent="0.25">
      <c r="A265" t="s">
        <v>126</v>
      </c>
      <c r="B265" t="s">
        <v>9</v>
      </c>
      <c r="C265" s="3" t="s">
        <v>10</v>
      </c>
      <c r="D265" s="4">
        <v>43078</v>
      </c>
      <c r="E265" s="4" t="s">
        <v>114</v>
      </c>
      <c r="F265">
        <v>400</v>
      </c>
      <c r="G265">
        <v>9660</v>
      </c>
      <c r="H265">
        <v>4088</v>
      </c>
      <c r="I265">
        <v>5572</v>
      </c>
    </row>
    <row r="266" spans="1:9" ht="13.8" x14ac:dyDescent="0.25">
      <c r="A266" t="s">
        <v>16</v>
      </c>
      <c r="B266" t="s">
        <v>13</v>
      </c>
      <c r="C266" s="3" t="s">
        <v>15</v>
      </c>
      <c r="D266" s="4">
        <v>43079</v>
      </c>
      <c r="E266" s="4" t="s">
        <v>112</v>
      </c>
      <c r="F266">
        <v>100</v>
      </c>
      <c r="G266">
        <v>1878</v>
      </c>
      <c r="H266">
        <v>847</v>
      </c>
      <c r="I266">
        <v>1031</v>
      </c>
    </row>
    <row r="267" spans="1:9" ht="13.8" x14ac:dyDescent="0.25">
      <c r="A267" t="s">
        <v>126</v>
      </c>
      <c r="B267" t="s">
        <v>11</v>
      </c>
      <c r="C267" s="3" t="s">
        <v>12</v>
      </c>
      <c r="D267" s="4">
        <v>43079</v>
      </c>
      <c r="E267" s="4" t="s">
        <v>128</v>
      </c>
      <c r="F267">
        <v>600</v>
      </c>
      <c r="G267">
        <v>12888</v>
      </c>
      <c r="H267">
        <v>5904</v>
      </c>
      <c r="I267">
        <v>6984</v>
      </c>
    </row>
    <row r="268" spans="1:9" ht="13.8" x14ac:dyDescent="0.25">
      <c r="A268" t="s">
        <v>126</v>
      </c>
      <c r="B268" t="s">
        <v>11</v>
      </c>
      <c r="C268" s="3" t="s">
        <v>15</v>
      </c>
      <c r="D268" s="4">
        <v>43081</v>
      </c>
      <c r="E268" s="4" t="s">
        <v>107</v>
      </c>
      <c r="F268">
        <v>100</v>
      </c>
      <c r="G268">
        <v>2108</v>
      </c>
      <c r="H268">
        <v>847</v>
      </c>
      <c r="I268">
        <v>1261</v>
      </c>
    </row>
    <row r="269" spans="1:9" ht="13.8" x14ac:dyDescent="0.25">
      <c r="A269" t="s">
        <v>16</v>
      </c>
      <c r="B269" t="s">
        <v>13</v>
      </c>
      <c r="C269" s="3" t="s">
        <v>15</v>
      </c>
      <c r="D269" s="4">
        <v>43083</v>
      </c>
      <c r="E269" s="4" t="s">
        <v>112</v>
      </c>
      <c r="F269">
        <v>600</v>
      </c>
      <c r="G269">
        <v>11964</v>
      </c>
      <c r="H269">
        <v>5082</v>
      </c>
      <c r="I269">
        <v>6882</v>
      </c>
    </row>
    <row r="270" spans="1:9" ht="13.8" x14ac:dyDescent="0.25">
      <c r="A270" t="s">
        <v>16</v>
      </c>
      <c r="B270" t="s">
        <v>13</v>
      </c>
      <c r="C270" s="3" t="s">
        <v>10</v>
      </c>
      <c r="D270" s="4">
        <v>43084</v>
      </c>
      <c r="E270" s="4" t="s">
        <v>112</v>
      </c>
      <c r="F270">
        <v>900</v>
      </c>
      <c r="G270">
        <v>20664</v>
      </c>
      <c r="H270">
        <v>9198</v>
      </c>
      <c r="I270">
        <v>11466</v>
      </c>
    </row>
    <row r="271" spans="1:9" ht="13.8" x14ac:dyDescent="0.25">
      <c r="A271" t="s">
        <v>126</v>
      </c>
      <c r="B271" t="s">
        <v>11</v>
      </c>
      <c r="C271" s="3" t="s">
        <v>10</v>
      </c>
      <c r="D271" s="4">
        <v>43084</v>
      </c>
      <c r="E271" s="4" t="s">
        <v>107</v>
      </c>
      <c r="F271">
        <v>300</v>
      </c>
      <c r="G271">
        <v>6732</v>
      </c>
      <c r="H271">
        <v>3066</v>
      </c>
      <c r="I271">
        <v>3666</v>
      </c>
    </row>
    <row r="272" spans="1:9" ht="13.8" x14ac:dyDescent="0.25">
      <c r="A272" t="s">
        <v>16</v>
      </c>
      <c r="B272" t="s">
        <v>13</v>
      </c>
      <c r="C272" s="3" t="s">
        <v>15</v>
      </c>
      <c r="D272" s="4">
        <v>43087</v>
      </c>
      <c r="E272" s="4" t="s">
        <v>112</v>
      </c>
      <c r="F272">
        <v>900</v>
      </c>
      <c r="G272">
        <v>15651</v>
      </c>
      <c r="H272">
        <v>7623</v>
      </c>
      <c r="I272">
        <v>8028</v>
      </c>
    </row>
    <row r="273" spans="1:9" ht="13.8" x14ac:dyDescent="0.25">
      <c r="A273" t="s">
        <v>131</v>
      </c>
      <c r="B273" t="s">
        <v>13</v>
      </c>
      <c r="C273" s="3" t="s">
        <v>15</v>
      </c>
      <c r="D273" s="4">
        <v>43088</v>
      </c>
      <c r="E273" s="4" t="s">
        <v>115</v>
      </c>
      <c r="F273">
        <v>600</v>
      </c>
      <c r="G273">
        <v>11274</v>
      </c>
      <c r="H273">
        <v>5082</v>
      </c>
      <c r="I273">
        <v>6192</v>
      </c>
    </row>
    <row r="274" spans="1:9" ht="13.8" x14ac:dyDescent="0.25">
      <c r="A274" t="s">
        <v>126</v>
      </c>
      <c r="B274" t="s">
        <v>9</v>
      </c>
      <c r="C274" s="3" t="s">
        <v>15</v>
      </c>
      <c r="D274" s="4">
        <v>43089</v>
      </c>
      <c r="E274" s="4" t="s">
        <v>100</v>
      </c>
      <c r="F274">
        <v>800</v>
      </c>
      <c r="G274">
        <v>14408</v>
      </c>
      <c r="H274">
        <v>6776</v>
      </c>
      <c r="I274">
        <v>7632</v>
      </c>
    </row>
    <row r="275" spans="1:9" ht="13.8" x14ac:dyDescent="0.25">
      <c r="A275" t="s">
        <v>126</v>
      </c>
      <c r="B275" t="s">
        <v>11</v>
      </c>
      <c r="C275" s="3" t="s">
        <v>10</v>
      </c>
      <c r="D275" s="4">
        <v>43090</v>
      </c>
      <c r="E275" s="4" t="s">
        <v>107</v>
      </c>
      <c r="F275">
        <v>100</v>
      </c>
      <c r="G275">
        <v>2213</v>
      </c>
      <c r="H275">
        <v>1022</v>
      </c>
      <c r="I275">
        <v>1191</v>
      </c>
    </row>
    <row r="276" spans="1:9" ht="13.8" x14ac:dyDescent="0.25">
      <c r="A276" t="s">
        <v>126</v>
      </c>
      <c r="B276" t="s">
        <v>11</v>
      </c>
      <c r="C276" s="3" t="s">
        <v>15</v>
      </c>
      <c r="D276" s="4">
        <v>43091</v>
      </c>
      <c r="E276" s="4" t="s">
        <v>107</v>
      </c>
      <c r="F276">
        <v>500</v>
      </c>
      <c r="G276">
        <v>8725</v>
      </c>
      <c r="H276">
        <v>4235</v>
      </c>
      <c r="I276">
        <v>4490</v>
      </c>
    </row>
    <row r="277" spans="1:9" ht="13.8" x14ac:dyDescent="0.25">
      <c r="A277" t="s">
        <v>130</v>
      </c>
      <c r="B277" t="s">
        <v>11</v>
      </c>
      <c r="C277" s="3" t="s">
        <v>10</v>
      </c>
      <c r="D277" s="4">
        <v>43093</v>
      </c>
      <c r="E277" s="4" t="s">
        <v>106</v>
      </c>
      <c r="F277">
        <v>900</v>
      </c>
      <c r="G277">
        <v>18666</v>
      </c>
      <c r="H277">
        <v>9198</v>
      </c>
      <c r="I277">
        <v>9468</v>
      </c>
    </row>
    <row r="278" spans="1:9" ht="13.8" x14ac:dyDescent="0.25">
      <c r="A278" t="s">
        <v>130</v>
      </c>
      <c r="B278" t="s">
        <v>11</v>
      </c>
      <c r="C278" s="3" t="s">
        <v>15</v>
      </c>
      <c r="D278" s="4">
        <v>43094</v>
      </c>
      <c r="E278" s="4" t="s">
        <v>106</v>
      </c>
      <c r="F278">
        <v>100</v>
      </c>
      <c r="G278">
        <v>2055</v>
      </c>
      <c r="H278">
        <v>847</v>
      </c>
      <c r="I278">
        <v>1208</v>
      </c>
    </row>
    <row r="279" spans="1:9" ht="13.8" x14ac:dyDescent="0.25">
      <c r="A279" t="s">
        <v>126</v>
      </c>
      <c r="B279" t="s">
        <v>11</v>
      </c>
      <c r="C279" s="3" t="s">
        <v>12</v>
      </c>
      <c r="D279" s="4">
        <v>43094</v>
      </c>
      <c r="E279" s="4" t="s">
        <v>128</v>
      </c>
      <c r="F279">
        <v>500</v>
      </c>
      <c r="G279">
        <v>10475</v>
      </c>
      <c r="H279">
        <v>4920</v>
      </c>
      <c r="I279">
        <v>5555</v>
      </c>
    </row>
    <row r="280" spans="1:9" ht="13.8" x14ac:dyDescent="0.25">
      <c r="A280" t="s">
        <v>16</v>
      </c>
      <c r="B280" t="s">
        <v>13</v>
      </c>
      <c r="C280" s="3" t="s">
        <v>10</v>
      </c>
      <c r="D280" s="4">
        <v>43096</v>
      </c>
      <c r="E280" s="4" t="s">
        <v>112</v>
      </c>
      <c r="F280">
        <v>600</v>
      </c>
      <c r="G280">
        <v>14178</v>
      </c>
      <c r="H280">
        <v>6132</v>
      </c>
      <c r="I280">
        <v>8046</v>
      </c>
    </row>
    <row r="281" spans="1:9" ht="13.8" x14ac:dyDescent="0.25">
      <c r="A281" t="s">
        <v>126</v>
      </c>
      <c r="B281" t="s">
        <v>11</v>
      </c>
      <c r="C281" s="3" t="s">
        <v>15</v>
      </c>
      <c r="D281" s="4">
        <v>43096</v>
      </c>
      <c r="E281" s="4" t="s">
        <v>128</v>
      </c>
      <c r="F281">
        <v>100</v>
      </c>
      <c r="G281">
        <v>1861</v>
      </c>
      <c r="H281">
        <v>847</v>
      </c>
      <c r="I281">
        <v>1014</v>
      </c>
    </row>
    <row r="282" spans="1:9" ht="13.8" x14ac:dyDescent="0.25">
      <c r="A282" t="s">
        <v>126</v>
      </c>
      <c r="B282" t="s">
        <v>13</v>
      </c>
      <c r="C282" s="3" t="s">
        <v>15</v>
      </c>
      <c r="D282" s="4">
        <v>43097</v>
      </c>
      <c r="E282" s="4" t="s">
        <v>108</v>
      </c>
      <c r="F282">
        <v>500</v>
      </c>
      <c r="G282">
        <v>9460</v>
      </c>
      <c r="H282">
        <v>4235</v>
      </c>
      <c r="I282">
        <v>5225</v>
      </c>
    </row>
    <row r="283" spans="1:9" ht="13.8" x14ac:dyDescent="0.25">
      <c r="A283" t="s">
        <v>130</v>
      </c>
      <c r="B283" t="s">
        <v>9</v>
      </c>
      <c r="C283" s="3" t="s">
        <v>15</v>
      </c>
      <c r="D283" s="4">
        <v>43098</v>
      </c>
      <c r="E283" s="4" t="s">
        <v>105</v>
      </c>
      <c r="F283">
        <v>600</v>
      </c>
      <c r="G283">
        <v>10290</v>
      </c>
      <c r="H283">
        <v>5082</v>
      </c>
      <c r="I283">
        <v>5208</v>
      </c>
    </row>
    <row r="284" spans="1:9" ht="13.8" x14ac:dyDescent="0.25">
      <c r="A284" t="s">
        <v>130</v>
      </c>
      <c r="B284" t="s">
        <v>11</v>
      </c>
      <c r="C284" s="3" t="s">
        <v>15</v>
      </c>
      <c r="D284" s="4">
        <v>43102</v>
      </c>
      <c r="E284" s="4" t="s">
        <v>106</v>
      </c>
      <c r="F284">
        <v>500</v>
      </c>
      <c r="G284">
        <v>10245</v>
      </c>
      <c r="H284">
        <v>4235</v>
      </c>
      <c r="I284">
        <v>6010</v>
      </c>
    </row>
    <row r="285" spans="1:9" ht="13.8" x14ac:dyDescent="0.25">
      <c r="A285" t="s">
        <v>126</v>
      </c>
      <c r="B285" t="s">
        <v>11</v>
      </c>
      <c r="C285" s="3" t="s">
        <v>10</v>
      </c>
      <c r="D285" s="4">
        <v>43103</v>
      </c>
      <c r="E285" s="4" t="s">
        <v>128</v>
      </c>
      <c r="F285">
        <v>500</v>
      </c>
      <c r="G285">
        <v>11240</v>
      </c>
      <c r="H285">
        <v>5110</v>
      </c>
      <c r="I285">
        <v>6130</v>
      </c>
    </row>
    <row r="286" spans="1:9" ht="13.8" x14ac:dyDescent="0.25">
      <c r="A286" t="s">
        <v>126</v>
      </c>
      <c r="B286" t="s">
        <v>11</v>
      </c>
      <c r="C286" s="3" t="s">
        <v>10</v>
      </c>
      <c r="D286" s="4">
        <v>43104</v>
      </c>
      <c r="E286" s="4" t="s">
        <v>128</v>
      </c>
      <c r="F286">
        <v>400</v>
      </c>
      <c r="G286">
        <v>9204</v>
      </c>
      <c r="H286">
        <v>4088</v>
      </c>
      <c r="I286">
        <v>5116</v>
      </c>
    </row>
    <row r="287" spans="1:9" ht="13.8" x14ac:dyDescent="0.25">
      <c r="A287" t="s">
        <v>126</v>
      </c>
      <c r="B287" t="s">
        <v>11</v>
      </c>
      <c r="C287" s="3" t="s">
        <v>15</v>
      </c>
      <c r="D287" s="4">
        <v>43105</v>
      </c>
      <c r="E287" s="4" t="s">
        <v>107</v>
      </c>
      <c r="F287">
        <v>400</v>
      </c>
      <c r="G287">
        <v>6860</v>
      </c>
      <c r="H287">
        <v>3388</v>
      </c>
      <c r="I287">
        <v>3472</v>
      </c>
    </row>
    <row r="288" spans="1:9" ht="13.8" x14ac:dyDescent="0.25">
      <c r="A288" t="s">
        <v>127</v>
      </c>
      <c r="B288" t="s">
        <v>13</v>
      </c>
      <c r="C288" s="3" t="s">
        <v>10</v>
      </c>
      <c r="D288" s="4">
        <v>43107</v>
      </c>
      <c r="E288" s="4" t="s">
        <v>102</v>
      </c>
      <c r="F288">
        <v>600</v>
      </c>
      <c r="G288">
        <v>13806</v>
      </c>
      <c r="H288">
        <v>6132</v>
      </c>
      <c r="I288">
        <v>7674</v>
      </c>
    </row>
    <row r="289" spans="1:9" ht="13.8" x14ac:dyDescent="0.25">
      <c r="A289" t="s">
        <v>129</v>
      </c>
      <c r="B289" t="s">
        <v>14</v>
      </c>
      <c r="C289" s="3" t="s">
        <v>10</v>
      </c>
      <c r="D289" s="4">
        <v>43109</v>
      </c>
      <c r="E289" s="4" t="s">
        <v>119</v>
      </c>
      <c r="F289">
        <v>900</v>
      </c>
      <c r="G289">
        <v>21015</v>
      </c>
      <c r="H289">
        <v>9198</v>
      </c>
      <c r="I289">
        <v>11817</v>
      </c>
    </row>
    <row r="290" spans="1:9" ht="13.8" x14ac:dyDescent="0.25">
      <c r="A290" t="s">
        <v>126</v>
      </c>
      <c r="B290" t="s">
        <v>11</v>
      </c>
      <c r="C290" s="3" t="s">
        <v>10</v>
      </c>
      <c r="D290" s="4">
        <v>43110</v>
      </c>
      <c r="E290" s="4" t="s">
        <v>128</v>
      </c>
      <c r="F290">
        <v>900</v>
      </c>
      <c r="G290">
        <v>21465</v>
      </c>
      <c r="H290">
        <v>9198</v>
      </c>
      <c r="I290">
        <v>12267</v>
      </c>
    </row>
    <row r="291" spans="1:9" ht="13.8" x14ac:dyDescent="0.25">
      <c r="A291" t="s">
        <v>126</v>
      </c>
      <c r="B291" t="s">
        <v>11</v>
      </c>
      <c r="C291" s="3" t="s">
        <v>10</v>
      </c>
      <c r="D291" s="4">
        <v>43112</v>
      </c>
      <c r="E291" s="4" t="s">
        <v>128</v>
      </c>
      <c r="F291">
        <v>400</v>
      </c>
      <c r="G291">
        <v>9144</v>
      </c>
      <c r="H291">
        <v>4088</v>
      </c>
      <c r="I291">
        <v>5056</v>
      </c>
    </row>
    <row r="292" spans="1:9" ht="13.8" x14ac:dyDescent="0.25">
      <c r="A292" t="s">
        <v>126</v>
      </c>
      <c r="B292" t="s">
        <v>13</v>
      </c>
      <c r="C292" s="3" t="s">
        <v>15</v>
      </c>
      <c r="D292" s="4">
        <v>43114</v>
      </c>
      <c r="E292" s="4" t="s">
        <v>108</v>
      </c>
      <c r="F292">
        <v>100</v>
      </c>
      <c r="G292">
        <v>1740</v>
      </c>
      <c r="H292">
        <v>847</v>
      </c>
      <c r="I292">
        <v>893</v>
      </c>
    </row>
    <row r="293" spans="1:9" ht="13.8" x14ac:dyDescent="0.25">
      <c r="A293" t="s">
        <v>129</v>
      </c>
      <c r="B293" t="s">
        <v>13</v>
      </c>
      <c r="C293" s="3" t="s">
        <v>15</v>
      </c>
      <c r="D293" s="4">
        <v>43114</v>
      </c>
      <c r="E293" s="4" t="s">
        <v>101</v>
      </c>
      <c r="F293">
        <v>1000</v>
      </c>
      <c r="G293">
        <v>19110</v>
      </c>
      <c r="H293">
        <v>8470</v>
      </c>
      <c r="I293">
        <v>10640</v>
      </c>
    </row>
    <row r="294" spans="1:9" ht="13.8" x14ac:dyDescent="0.25">
      <c r="A294" t="s">
        <v>129</v>
      </c>
      <c r="B294" t="s">
        <v>13</v>
      </c>
      <c r="C294" s="3" t="s">
        <v>10</v>
      </c>
      <c r="D294" s="4">
        <v>43116</v>
      </c>
      <c r="E294" s="4" t="s">
        <v>101</v>
      </c>
      <c r="F294">
        <v>900</v>
      </c>
      <c r="G294">
        <v>21888</v>
      </c>
      <c r="H294">
        <v>9198</v>
      </c>
      <c r="I294">
        <v>12690</v>
      </c>
    </row>
    <row r="295" spans="1:9" ht="13.8" x14ac:dyDescent="0.25">
      <c r="A295" t="s">
        <v>16</v>
      </c>
      <c r="B295" t="s">
        <v>13</v>
      </c>
      <c r="C295" s="3" t="s">
        <v>12</v>
      </c>
      <c r="D295" s="4">
        <v>43117</v>
      </c>
      <c r="E295" s="4" t="s">
        <v>112</v>
      </c>
      <c r="F295">
        <v>300</v>
      </c>
      <c r="G295">
        <v>5961</v>
      </c>
      <c r="H295">
        <v>2952</v>
      </c>
      <c r="I295">
        <v>3009</v>
      </c>
    </row>
    <row r="296" spans="1:9" ht="13.8" x14ac:dyDescent="0.25">
      <c r="A296" t="s">
        <v>126</v>
      </c>
      <c r="B296" t="s">
        <v>11</v>
      </c>
      <c r="C296" s="3" t="s">
        <v>15</v>
      </c>
      <c r="D296" s="4">
        <v>43120</v>
      </c>
      <c r="E296" s="4" t="s">
        <v>109</v>
      </c>
      <c r="F296">
        <v>900</v>
      </c>
      <c r="G296">
        <v>17505</v>
      </c>
      <c r="H296">
        <v>7623</v>
      </c>
      <c r="I296">
        <v>9882</v>
      </c>
    </row>
    <row r="297" spans="1:9" ht="13.8" x14ac:dyDescent="0.25">
      <c r="A297" t="s">
        <v>16</v>
      </c>
      <c r="B297" t="s">
        <v>13</v>
      </c>
      <c r="C297" s="3" t="s">
        <v>12</v>
      </c>
      <c r="D297" s="4">
        <v>43121</v>
      </c>
      <c r="E297" s="4" t="s">
        <v>112</v>
      </c>
      <c r="F297">
        <v>300</v>
      </c>
      <c r="G297">
        <v>7032</v>
      </c>
      <c r="H297">
        <v>2952</v>
      </c>
      <c r="I297">
        <v>4080</v>
      </c>
    </row>
    <row r="298" spans="1:9" ht="13.8" x14ac:dyDescent="0.25">
      <c r="A298" t="s">
        <v>16</v>
      </c>
      <c r="B298" t="s">
        <v>13</v>
      </c>
      <c r="C298" s="3" t="s">
        <v>12</v>
      </c>
      <c r="D298" s="4">
        <v>43122</v>
      </c>
      <c r="E298" s="4" t="s">
        <v>112</v>
      </c>
      <c r="F298">
        <v>300</v>
      </c>
      <c r="G298">
        <v>6735</v>
      </c>
      <c r="H298">
        <v>2952</v>
      </c>
      <c r="I298">
        <v>3783</v>
      </c>
    </row>
    <row r="299" spans="1:9" ht="13.8" x14ac:dyDescent="0.25">
      <c r="A299" t="s">
        <v>16</v>
      </c>
      <c r="B299" t="s">
        <v>13</v>
      </c>
      <c r="C299" s="3" t="s">
        <v>15</v>
      </c>
      <c r="D299" s="4">
        <v>43123</v>
      </c>
      <c r="E299" s="4" t="s">
        <v>112</v>
      </c>
      <c r="F299">
        <v>400</v>
      </c>
      <c r="G299">
        <v>8164</v>
      </c>
      <c r="H299">
        <v>3388</v>
      </c>
      <c r="I299">
        <v>4776</v>
      </c>
    </row>
    <row r="300" spans="1:9" ht="13.8" x14ac:dyDescent="0.25">
      <c r="A300" t="s">
        <v>129</v>
      </c>
      <c r="B300" t="s">
        <v>13</v>
      </c>
      <c r="C300" s="3" t="s">
        <v>15</v>
      </c>
      <c r="D300" s="4">
        <v>43124</v>
      </c>
      <c r="E300" s="4" t="s">
        <v>101</v>
      </c>
      <c r="F300">
        <v>300</v>
      </c>
      <c r="G300">
        <v>6207</v>
      </c>
      <c r="H300">
        <v>2541</v>
      </c>
      <c r="I300">
        <v>3666</v>
      </c>
    </row>
    <row r="301" spans="1:9" ht="13.8" x14ac:dyDescent="0.25">
      <c r="A301" t="s">
        <v>16</v>
      </c>
      <c r="B301" t="s">
        <v>13</v>
      </c>
      <c r="C301" s="3" t="s">
        <v>12</v>
      </c>
      <c r="D301" s="4">
        <v>43125</v>
      </c>
      <c r="E301" s="4" t="s">
        <v>112</v>
      </c>
      <c r="F301">
        <v>300</v>
      </c>
      <c r="G301">
        <v>6240</v>
      </c>
      <c r="H301">
        <v>2952</v>
      </c>
      <c r="I301">
        <v>3288</v>
      </c>
    </row>
    <row r="302" spans="1:9" ht="13.8" x14ac:dyDescent="0.25">
      <c r="A302" t="s">
        <v>126</v>
      </c>
      <c r="B302" t="s">
        <v>11</v>
      </c>
      <c r="C302" s="3" t="s">
        <v>15</v>
      </c>
      <c r="D302" s="4">
        <v>43127</v>
      </c>
      <c r="E302" s="4" t="s">
        <v>128</v>
      </c>
      <c r="F302">
        <v>500</v>
      </c>
      <c r="G302">
        <v>10445</v>
      </c>
      <c r="H302">
        <v>4235</v>
      </c>
      <c r="I302">
        <v>6210</v>
      </c>
    </row>
    <row r="303" spans="1:9" ht="13.8" x14ac:dyDescent="0.25">
      <c r="A303" t="s">
        <v>129</v>
      </c>
      <c r="B303" t="s">
        <v>13</v>
      </c>
      <c r="C303" s="3" t="s">
        <v>15</v>
      </c>
      <c r="D303" s="4">
        <v>43129</v>
      </c>
      <c r="E303" s="4" t="s">
        <v>101</v>
      </c>
      <c r="F303">
        <v>800</v>
      </c>
      <c r="G303">
        <v>14224</v>
      </c>
      <c r="H303">
        <v>6776</v>
      </c>
      <c r="I303">
        <v>7448</v>
      </c>
    </row>
    <row r="304" spans="1:9" ht="13.8" x14ac:dyDescent="0.25">
      <c r="A304" t="s">
        <v>126</v>
      </c>
      <c r="B304" t="s">
        <v>13</v>
      </c>
      <c r="C304" s="3" t="s">
        <v>10</v>
      </c>
      <c r="D304" s="4">
        <v>43130</v>
      </c>
      <c r="E304" s="4" t="s">
        <v>108</v>
      </c>
      <c r="F304">
        <v>400</v>
      </c>
      <c r="G304">
        <v>10044</v>
      </c>
      <c r="H304">
        <v>4088</v>
      </c>
      <c r="I304">
        <v>5956</v>
      </c>
    </row>
    <row r="305" spans="1:9" ht="13.8" x14ac:dyDescent="0.25">
      <c r="A305" t="s">
        <v>126</v>
      </c>
      <c r="B305" t="s">
        <v>11</v>
      </c>
      <c r="C305" s="3" t="s">
        <v>15</v>
      </c>
      <c r="D305" s="4">
        <v>43131</v>
      </c>
      <c r="E305" s="4" t="s">
        <v>109</v>
      </c>
      <c r="F305">
        <v>1000</v>
      </c>
      <c r="G305">
        <v>19250</v>
      </c>
      <c r="H305">
        <v>8470</v>
      </c>
      <c r="I305">
        <v>10780</v>
      </c>
    </row>
    <row r="306" spans="1:9" ht="13.8" x14ac:dyDescent="0.25">
      <c r="A306" t="s">
        <v>16</v>
      </c>
      <c r="B306" t="s">
        <v>13</v>
      </c>
      <c r="C306" s="3" t="s">
        <v>12</v>
      </c>
      <c r="D306" s="4">
        <v>43132</v>
      </c>
      <c r="E306" s="4" t="s">
        <v>112</v>
      </c>
      <c r="F306">
        <v>200</v>
      </c>
      <c r="G306">
        <v>4740</v>
      </c>
      <c r="H306">
        <v>1968</v>
      </c>
      <c r="I306">
        <v>2772</v>
      </c>
    </row>
    <row r="307" spans="1:9" ht="13.8" x14ac:dyDescent="0.25">
      <c r="A307" t="s">
        <v>130</v>
      </c>
      <c r="B307" t="s">
        <v>9</v>
      </c>
      <c r="C307" s="3" t="s">
        <v>12</v>
      </c>
      <c r="D307" s="4">
        <v>43132</v>
      </c>
      <c r="E307" s="4" t="s">
        <v>105</v>
      </c>
      <c r="F307">
        <v>600</v>
      </c>
      <c r="G307">
        <v>12672</v>
      </c>
      <c r="H307">
        <v>5904</v>
      </c>
      <c r="I307">
        <v>6768</v>
      </c>
    </row>
    <row r="308" spans="1:9" ht="13.8" x14ac:dyDescent="0.25">
      <c r="A308" t="s">
        <v>16</v>
      </c>
      <c r="B308" t="s">
        <v>13</v>
      </c>
      <c r="C308" s="3" t="s">
        <v>15</v>
      </c>
      <c r="D308" s="4">
        <v>43136</v>
      </c>
      <c r="E308" s="4" t="s">
        <v>112</v>
      </c>
      <c r="F308">
        <v>700</v>
      </c>
      <c r="G308">
        <v>13314</v>
      </c>
      <c r="H308">
        <v>5929</v>
      </c>
      <c r="I308">
        <v>7385</v>
      </c>
    </row>
    <row r="309" spans="1:9" ht="13.8" x14ac:dyDescent="0.25">
      <c r="A309" t="s">
        <v>126</v>
      </c>
      <c r="B309" t="s">
        <v>11</v>
      </c>
      <c r="C309" s="3" t="s">
        <v>12</v>
      </c>
      <c r="D309" s="4">
        <v>43137</v>
      </c>
      <c r="E309" s="4" t="s">
        <v>128</v>
      </c>
      <c r="F309">
        <v>200</v>
      </c>
      <c r="G309">
        <v>4280</v>
      </c>
      <c r="H309">
        <v>1968</v>
      </c>
      <c r="I309">
        <v>2312</v>
      </c>
    </row>
    <row r="310" spans="1:9" ht="13.8" x14ac:dyDescent="0.25">
      <c r="A310" t="s">
        <v>130</v>
      </c>
      <c r="B310" t="s">
        <v>11</v>
      </c>
      <c r="C310" s="3" t="s">
        <v>15</v>
      </c>
      <c r="D310" s="4">
        <v>43139</v>
      </c>
      <c r="E310" s="4" t="s">
        <v>106</v>
      </c>
      <c r="F310">
        <v>300</v>
      </c>
      <c r="G310">
        <v>6045</v>
      </c>
      <c r="H310">
        <v>2541</v>
      </c>
      <c r="I310">
        <v>3504</v>
      </c>
    </row>
    <row r="311" spans="1:9" ht="13.8" x14ac:dyDescent="0.25">
      <c r="A311" t="s">
        <v>129</v>
      </c>
      <c r="B311" t="s">
        <v>13</v>
      </c>
      <c r="C311" s="3" t="s">
        <v>15</v>
      </c>
      <c r="D311" s="4">
        <v>43140</v>
      </c>
      <c r="E311" s="4" t="s">
        <v>101</v>
      </c>
      <c r="F311">
        <v>400</v>
      </c>
      <c r="G311">
        <v>7180</v>
      </c>
      <c r="H311">
        <v>3388</v>
      </c>
      <c r="I311">
        <v>3792</v>
      </c>
    </row>
    <row r="312" spans="1:9" ht="13.8" x14ac:dyDescent="0.25">
      <c r="A312" t="s">
        <v>126</v>
      </c>
      <c r="B312" t="s">
        <v>11</v>
      </c>
      <c r="C312" s="3" t="s">
        <v>12</v>
      </c>
      <c r="D312" s="4">
        <v>43144</v>
      </c>
      <c r="E312" s="4" t="s">
        <v>109</v>
      </c>
      <c r="F312">
        <v>600</v>
      </c>
      <c r="G312">
        <v>12798</v>
      </c>
      <c r="H312">
        <v>5904</v>
      </c>
      <c r="I312">
        <v>6894</v>
      </c>
    </row>
    <row r="313" spans="1:9" ht="13.8" x14ac:dyDescent="0.25">
      <c r="A313" t="s">
        <v>129</v>
      </c>
      <c r="B313" t="s">
        <v>13</v>
      </c>
      <c r="C313" s="3" t="s">
        <v>15</v>
      </c>
      <c r="D313" s="4">
        <v>43146</v>
      </c>
      <c r="E313" s="4" t="s">
        <v>101</v>
      </c>
      <c r="F313">
        <v>100</v>
      </c>
      <c r="G313">
        <v>2066</v>
      </c>
      <c r="H313">
        <v>847</v>
      </c>
      <c r="I313">
        <v>1219</v>
      </c>
    </row>
    <row r="314" spans="1:9" ht="13.8" x14ac:dyDescent="0.25">
      <c r="A314" t="s">
        <v>126</v>
      </c>
      <c r="B314" t="s">
        <v>9</v>
      </c>
      <c r="C314" s="3" t="s">
        <v>12</v>
      </c>
      <c r="D314" s="4">
        <v>43147</v>
      </c>
      <c r="E314" s="4" t="s">
        <v>100</v>
      </c>
      <c r="F314">
        <v>200</v>
      </c>
      <c r="G314">
        <v>4742</v>
      </c>
      <c r="H314">
        <v>1968</v>
      </c>
      <c r="I314">
        <v>2774</v>
      </c>
    </row>
    <row r="315" spans="1:9" ht="13.8" x14ac:dyDescent="0.25">
      <c r="A315" t="s">
        <v>130</v>
      </c>
      <c r="B315" t="s">
        <v>9</v>
      </c>
      <c r="C315" s="3" t="s">
        <v>15</v>
      </c>
      <c r="D315" s="4">
        <v>43148</v>
      </c>
      <c r="E315" s="4" t="s">
        <v>105</v>
      </c>
      <c r="F315">
        <v>200</v>
      </c>
      <c r="G315">
        <v>3876</v>
      </c>
      <c r="H315">
        <v>1694</v>
      </c>
      <c r="I315">
        <v>2182</v>
      </c>
    </row>
    <row r="316" spans="1:9" ht="13.8" x14ac:dyDescent="0.25">
      <c r="A316" t="s">
        <v>126</v>
      </c>
      <c r="B316" t="s">
        <v>11</v>
      </c>
      <c r="C316" s="3" t="s">
        <v>12</v>
      </c>
      <c r="D316" s="4">
        <v>43150</v>
      </c>
      <c r="E316" s="4" t="s">
        <v>107</v>
      </c>
      <c r="F316">
        <v>400</v>
      </c>
      <c r="G316">
        <v>9088</v>
      </c>
      <c r="H316">
        <v>3936</v>
      </c>
      <c r="I316">
        <v>5152</v>
      </c>
    </row>
    <row r="317" spans="1:9" ht="13.8" x14ac:dyDescent="0.25">
      <c r="A317" t="s">
        <v>130</v>
      </c>
      <c r="B317" t="s">
        <v>9</v>
      </c>
      <c r="C317" s="3" t="s">
        <v>10</v>
      </c>
      <c r="D317" s="4">
        <v>43150</v>
      </c>
      <c r="E317" s="4" t="s">
        <v>105</v>
      </c>
      <c r="F317">
        <v>1000</v>
      </c>
      <c r="G317">
        <v>25080</v>
      </c>
      <c r="H317">
        <v>10220</v>
      </c>
      <c r="I317">
        <v>14860</v>
      </c>
    </row>
    <row r="318" spans="1:9" ht="13.8" x14ac:dyDescent="0.25">
      <c r="A318" t="s">
        <v>131</v>
      </c>
      <c r="B318" t="s">
        <v>13</v>
      </c>
      <c r="C318" s="3" t="s">
        <v>15</v>
      </c>
      <c r="D318" s="4">
        <v>43151</v>
      </c>
      <c r="E318" s="4" t="s">
        <v>115</v>
      </c>
      <c r="F318">
        <v>400</v>
      </c>
      <c r="G318">
        <v>7152</v>
      </c>
      <c r="H318">
        <v>3388</v>
      </c>
      <c r="I318">
        <v>3764</v>
      </c>
    </row>
    <row r="319" spans="1:9" ht="13.8" x14ac:dyDescent="0.25">
      <c r="A319" t="s">
        <v>126</v>
      </c>
      <c r="B319" t="s">
        <v>11</v>
      </c>
      <c r="C319" s="3" t="s">
        <v>12</v>
      </c>
      <c r="D319" s="4">
        <v>43151</v>
      </c>
      <c r="E319" s="4" t="s">
        <v>128</v>
      </c>
      <c r="F319">
        <v>800</v>
      </c>
      <c r="G319">
        <v>18504</v>
      </c>
      <c r="H319">
        <v>7872</v>
      </c>
      <c r="I319">
        <v>10632</v>
      </c>
    </row>
    <row r="320" spans="1:9" ht="13.8" x14ac:dyDescent="0.25">
      <c r="A320" t="s">
        <v>126</v>
      </c>
      <c r="B320" t="s">
        <v>9</v>
      </c>
      <c r="C320" s="3" t="s">
        <v>12</v>
      </c>
      <c r="D320" s="4">
        <v>43153</v>
      </c>
      <c r="E320" s="4" t="s">
        <v>100</v>
      </c>
      <c r="F320">
        <v>600</v>
      </c>
      <c r="G320">
        <v>12282</v>
      </c>
      <c r="H320">
        <v>5904</v>
      </c>
      <c r="I320">
        <v>6378</v>
      </c>
    </row>
    <row r="321" spans="1:9" ht="13.8" x14ac:dyDescent="0.25">
      <c r="A321" t="s">
        <v>126</v>
      </c>
      <c r="B321" t="s">
        <v>11</v>
      </c>
      <c r="C321" s="3" t="s">
        <v>10</v>
      </c>
      <c r="D321" s="4">
        <v>43155</v>
      </c>
      <c r="E321" s="4" t="s">
        <v>128</v>
      </c>
      <c r="F321">
        <v>1000</v>
      </c>
      <c r="G321">
        <v>20940</v>
      </c>
      <c r="H321">
        <v>10220</v>
      </c>
      <c r="I321">
        <v>10720</v>
      </c>
    </row>
    <row r="322" spans="1:9" ht="13.8" x14ac:dyDescent="0.25">
      <c r="A322" t="s">
        <v>130</v>
      </c>
      <c r="B322" t="s">
        <v>9</v>
      </c>
      <c r="C322" s="3" t="s">
        <v>15</v>
      </c>
      <c r="D322" s="4">
        <v>43157</v>
      </c>
      <c r="E322" s="4" t="s">
        <v>105</v>
      </c>
      <c r="F322">
        <v>700</v>
      </c>
      <c r="G322">
        <v>12145</v>
      </c>
      <c r="H322">
        <v>5929</v>
      </c>
      <c r="I322">
        <v>6216</v>
      </c>
    </row>
    <row r="323" spans="1:9" ht="13.8" x14ac:dyDescent="0.25">
      <c r="A323" t="s">
        <v>126</v>
      </c>
      <c r="B323" t="s">
        <v>9</v>
      </c>
      <c r="C323" s="3" t="s">
        <v>10</v>
      </c>
      <c r="D323" s="4">
        <v>43157</v>
      </c>
      <c r="E323" s="4" t="s">
        <v>100</v>
      </c>
      <c r="F323">
        <v>1000</v>
      </c>
      <c r="G323">
        <v>22680</v>
      </c>
      <c r="H323">
        <v>10220</v>
      </c>
      <c r="I323">
        <v>12460</v>
      </c>
    </row>
    <row r="324" spans="1:9" ht="13.8" x14ac:dyDescent="0.25">
      <c r="A324" t="s">
        <v>126</v>
      </c>
      <c r="B324" t="s">
        <v>11</v>
      </c>
      <c r="C324" s="3" t="s">
        <v>10</v>
      </c>
      <c r="D324" s="4">
        <v>43157</v>
      </c>
      <c r="E324" s="4" t="s">
        <v>107</v>
      </c>
      <c r="F324">
        <v>700</v>
      </c>
      <c r="G324">
        <v>17367</v>
      </c>
      <c r="H324">
        <v>7154</v>
      </c>
      <c r="I324">
        <v>10213</v>
      </c>
    </row>
    <row r="325" spans="1:9" ht="13.8" x14ac:dyDescent="0.25">
      <c r="A325" t="s">
        <v>130</v>
      </c>
      <c r="B325" t="s">
        <v>11</v>
      </c>
      <c r="C325" s="3" t="s">
        <v>15</v>
      </c>
      <c r="D325" s="4">
        <v>43158</v>
      </c>
      <c r="E325" s="4" t="s">
        <v>106</v>
      </c>
      <c r="F325">
        <v>600</v>
      </c>
      <c r="G325">
        <v>11922</v>
      </c>
      <c r="H325">
        <v>5082</v>
      </c>
      <c r="I325">
        <v>6840</v>
      </c>
    </row>
    <row r="326" spans="1:9" ht="13.8" x14ac:dyDescent="0.25">
      <c r="A326" t="s">
        <v>16</v>
      </c>
      <c r="B326" t="s">
        <v>9</v>
      </c>
      <c r="C326" s="3" t="s">
        <v>10</v>
      </c>
      <c r="D326" s="4">
        <v>43158</v>
      </c>
      <c r="E326" s="4" t="s">
        <v>125</v>
      </c>
      <c r="F326">
        <v>200</v>
      </c>
      <c r="G326">
        <v>4614</v>
      </c>
      <c r="H326">
        <v>2044</v>
      </c>
      <c r="I326">
        <v>2570</v>
      </c>
    </row>
    <row r="327" spans="1:9" ht="13.8" x14ac:dyDescent="0.25">
      <c r="A327" t="s">
        <v>130</v>
      </c>
      <c r="B327" t="s">
        <v>11</v>
      </c>
      <c r="C327" s="3" t="s">
        <v>10</v>
      </c>
      <c r="D327" s="4">
        <v>43159</v>
      </c>
      <c r="E327" s="4" t="s">
        <v>106</v>
      </c>
      <c r="F327">
        <v>1000</v>
      </c>
      <c r="G327">
        <v>20490</v>
      </c>
      <c r="H327">
        <v>10220</v>
      </c>
      <c r="I327">
        <v>10270</v>
      </c>
    </row>
    <row r="328" spans="1:9" ht="13.8" x14ac:dyDescent="0.25">
      <c r="A328" t="s">
        <v>126</v>
      </c>
      <c r="B328" t="s">
        <v>11</v>
      </c>
      <c r="C328" s="3" t="s">
        <v>10</v>
      </c>
      <c r="D328" s="4">
        <v>43162</v>
      </c>
      <c r="E328" s="4" t="s">
        <v>128</v>
      </c>
      <c r="F328">
        <v>400</v>
      </c>
      <c r="G328">
        <v>8620</v>
      </c>
      <c r="H328">
        <v>4088</v>
      </c>
      <c r="I328">
        <v>4532</v>
      </c>
    </row>
    <row r="329" spans="1:9" ht="13.8" x14ac:dyDescent="0.25">
      <c r="A329" t="s">
        <v>126</v>
      </c>
      <c r="B329" t="s">
        <v>11</v>
      </c>
      <c r="C329" s="3" t="s">
        <v>12</v>
      </c>
      <c r="D329" s="4">
        <v>43163</v>
      </c>
      <c r="E329" s="4" t="s">
        <v>107</v>
      </c>
      <c r="F329">
        <v>500</v>
      </c>
      <c r="G329">
        <v>11860</v>
      </c>
      <c r="H329">
        <v>4920</v>
      </c>
      <c r="I329">
        <v>6940</v>
      </c>
    </row>
    <row r="330" spans="1:9" ht="13.8" x14ac:dyDescent="0.25">
      <c r="A330" t="s">
        <v>131</v>
      </c>
      <c r="B330" t="s">
        <v>13</v>
      </c>
      <c r="C330" s="3" t="s">
        <v>15</v>
      </c>
      <c r="D330" s="4">
        <v>43165</v>
      </c>
      <c r="E330" s="4" t="s">
        <v>115</v>
      </c>
      <c r="F330">
        <v>800</v>
      </c>
      <c r="G330">
        <v>14984</v>
      </c>
      <c r="H330">
        <v>6776</v>
      </c>
      <c r="I330">
        <v>8208</v>
      </c>
    </row>
    <row r="331" spans="1:9" ht="13.8" x14ac:dyDescent="0.25">
      <c r="A331" t="s">
        <v>126</v>
      </c>
      <c r="B331" t="s">
        <v>9</v>
      </c>
      <c r="C331" s="3" t="s">
        <v>15</v>
      </c>
      <c r="D331" s="4">
        <v>43165</v>
      </c>
      <c r="E331" s="4" t="s">
        <v>100</v>
      </c>
      <c r="F331">
        <v>200</v>
      </c>
      <c r="G331">
        <v>4010</v>
      </c>
      <c r="H331">
        <v>1694</v>
      </c>
      <c r="I331">
        <v>2316</v>
      </c>
    </row>
    <row r="332" spans="1:9" ht="13.8" x14ac:dyDescent="0.25">
      <c r="A332" t="s">
        <v>130</v>
      </c>
      <c r="B332" t="s">
        <v>9</v>
      </c>
      <c r="C332" s="3" t="s">
        <v>10</v>
      </c>
      <c r="D332" s="4">
        <v>43168</v>
      </c>
      <c r="E332" s="4" t="s">
        <v>105</v>
      </c>
      <c r="F332">
        <v>500</v>
      </c>
      <c r="G332">
        <v>12505</v>
      </c>
      <c r="H332">
        <v>5110</v>
      </c>
      <c r="I332">
        <v>7395</v>
      </c>
    </row>
    <row r="333" spans="1:9" ht="13.8" x14ac:dyDescent="0.25">
      <c r="A333" t="s">
        <v>130</v>
      </c>
      <c r="B333" t="s">
        <v>9</v>
      </c>
      <c r="C333" s="3" t="s">
        <v>15</v>
      </c>
      <c r="D333" s="4">
        <v>43172</v>
      </c>
      <c r="E333" s="4" t="s">
        <v>105</v>
      </c>
      <c r="F333">
        <v>100</v>
      </c>
      <c r="G333">
        <v>1704</v>
      </c>
      <c r="H333">
        <v>847</v>
      </c>
      <c r="I333">
        <v>857</v>
      </c>
    </row>
    <row r="334" spans="1:9" ht="13.8" x14ac:dyDescent="0.25">
      <c r="A334" t="s">
        <v>126</v>
      </c>
      <c r="B334" t="s">
        <v>11</v>
      </c>
      <c r="C334" s="3" t="s">
        <v>10</v>
      </c>
      <c r="D334" s="4">
        <v>43172</v>
      </c>
      <c r="E334" s="4" t="s">
        <v>107</v>
      </c>
      <c r="F334">
        <v>300</v>
      </c>
      <c r="G334">
        <v>7305</v>
      </c>
      <c r="H334">
        <v>3066</v>
      </c>
      <c r="I334">
        <v>4239</v>
      </c>
    </row>
    <row r="335" spans="1:9" ht="13.8" x14ac:dyDescent="0.25">
      <c r="A335" t="s">
        <v>126</v>
      </c>
      <c r="B335" t="s">
        <v>11</v>
      </c>
      <c r="C335" s="3" t="s">
        <v>10</v>
      </c>
      <c r="D335" s="4">
        <v>43173</v>
      </c>
      <c r="E335" s="4" t="s">
        <v>107</v>
      </c>
      <c r="F335">
        <v>500</v>
      </c>
      <c r="G335">
        <v>11965</v>
      </c>
      <c r="H335">
        <v>5110</v>
      </c>
      <c r="I335">
        <v>6855</v>
      </c>
    </row>
    <row r="336" spans="1:9" ht="13.8" x14ac:dyDescent="0.25">
      <c r="A336" t="s">
        <v>131</v>
      </c>
      <c r="B336" t="s">
        <v>13</v>
      </c>
      <c r="C336" s="3" t="s">
        <v>10</v>
      </c>
      <c r="D336" s="4">
        <v>43175</v>
      </c>
      <c r="E336" s="4" t="s">
        <v>115</v>
      </c>
      <c r="F336">
        <v>400</v>
      </c>
      <c r="G336">
        <v>9240</v>
      </c>
      <c r="H336">
        <v>4088</v>
      </c>
      <c r="I336">
        <v>5152</v>
      </c>
    </row>
    <row r="337" spans="1:9" ht="13.8" x14ac:dyDescent="0.25">
      <c r="A337" t="s">
        <v>126</v>
      </c>
      <c r="B337" t="s">
        <v>9</v>
      </c>
      <c r="C337" s="3" t="s">
        <v>12</v>
      </c>
      <c r="D337" s="4">
        <v>43175</v>
      </c>
      <c r="E337" s="4" t="s">
        <v>100</v>
      </c>
      <c r="F337">
        <v>200</v>
      </c>
      <c r="G337">
        <v>4526</v>
      </c>
      <c r="H337">
        <v>1968</v>
      </c>
      <c r="I337">
        <v>2558</v>
      </c>
    </row>
    <row r="338" spans="1:9" ht="13.8" x14ac:dyDescent="0.25">
      <c r="A338" t="s">
        <v>126</v>
      </c>
      <c r="B338" t="s">
        <v>11</v>
      </c>
      <c r="C338" s="3" t="s">
        <v>12</v>
      </c>
      <c r="D338" s="4">
        <v>43177</v>
      </c>
      <c r="E338" s="4" t="s">
        <v>107</v>
      </c>
      <c r="F338">
        <v>500</v>
      </c>
      <c r="G338">
        <v>11695</v>
      </c>
      <c r="H338">
        <v>4920</v>
      </c>
      <c r="I338">
        <v>6775</v>
      </c>
    </row>
    <row r="339" spans="1:9" ht="13.8" x14ac:dyDescent="0.25">
      <c r="A339" t="s">
        <v>16</v>
      </c>
      <c r="B339" t="s">
        <v>13</v>
      </c>
      <c r="C339" s="3" t="s">
        <v>12</v>
      </c>
      <c r="D339" s="4">
        <v>43178</v>
      </c>
      <c r="E339" s="4" t="s">
        <v>112</v>
      </c>
      <c r="F339">
        <v>100</v>
      </c>
      <c r="G339">
        <v>2272</v>
      </c>
      <c r="H339">
        <v>984</v>
      </c>
      <c r="I339">
        <v>1288</v>
      </c>
    </row>
    <row r="340" spans="1:9" ht="13.8" x14ac:dyDescent="0.25">
      <c r="A340" t="s">
        <v>126</v>
      </c>
      <c r="B340" t="s">
        <v>9</v>
      </c>
      <c r="C340" s="3" t="s">
        <v>12</v>
      </c>
      <c r="D340" s="4">
        <v>43179</v>
      </c>
      <c r="E340" s="4" t="s">
        <v>100</v>
      </c>
      <c r="F340">
        <v>100</v>
      </c>
      <c r="G340">
        <v>2157</v>
      </c>
      <c r="H340">
        <v>984</v>
      </c>
      <c r="I340">
        <v>1173</v>
      </c>
    </row>
    <row r="341" spans="1:9" ht="13.8" x14ac:dyDescent="0.25">
      <c r="A341" t="s">
        <v>130</v>
      </c>
      <c r="B341" t="s">
        <v>11</v>
      </c>
      <c r="C341" s="3" t="s">
        <v>10</v>
      </c>
      <c r="D341" s="4">
        <v>43181</v>
      </c>
      <c r="E341" s="4" t="s">
        <v>106</v>
      </c>
      <c r="F341">
        <v>400</v>
      </c>
      <c r="G341">
        <v>8732</v>
      </c>
      <c r="H341">
        <v>4088</v>
      </c>
      <c r="I341">
        <v>4644</v>
      </c>
    </row>
    <row r="342" spans="1:9" ht="13.8" x14ac:dyDescent="0.25">
      <c r="A342" t="s">
        <v>126</v>
      </c>
      <c r="B342" t="s">
        <v>11</v>
      </c>
      <c r="C342" s="3" t="s">
        <v>12</v>
      </c>
      <c r="D342" s="4">
        <v>43182</v>
      </c>
      <c r="E342" s="4" t="s">
        <v>109</v>
      </c>
      <c r="F342">
        <v>800</v>
      </c>
      <c r="G342">
        <v>15856</v>
      </c>
      <c r="H342">
        <v>7872</v>
      </c>
      <c r="I342">
        <v>7984</v>
      </c>
    </row>
    <row r="343" spans="1:9" ht="13.8" x14ac:dyDescent="0.25">
      <c r="A343" t="s">
        <v>129</v>
      </c>
      <c r="B343" t="s">
        <v>9</v>
      </c>
      <c r="C343" s="3" t="s">
        <v>17</v>
      </c>
      <c r="D343" s="4">
        <v>43183</v>
      </c>
      <c r="E343" s="4" t="s">
        <v>103</v>
      </c>
      <c r="F343">
        <v>100</v>
      </c>
      <c r="G343">
        <v>2484</v>
      </c>
      <c r="H343">
        <v>1022</v>
      </c>
      <c r="I343">
        <v>1462</v>
      </c>
    </row>
    <row r="344" spans="1:9" ht="13.8" x14ac:dyDescent="0.25">
      <c r="A344" t="s">
        <v>129</v>
      </c>
      <c r="B344" t="s">
        <v>13</v>
      </c>
      <c r="C344" s="3" t="s">
        <v>12</v>
      </c>
      <c r="D344" s="4">
        <v>43183</v>
      </c>
      <c r="E344" s="4" t="s">
        <v>101</v>
      </c>
      <c r="F344">
        <v>1000</v>
      </c>
      <c r="G344">
        <v>23820</v>
      </c>
      <c r="H344">
        <v>9840</v>
      </c>
      <c r="I344">
        <v>13980</v>
      </c>
    </row>
    <row r="345" spans="1:9" ht="13.8" x14ac:dyDescent="0.25">
      <c r="A345" t="s">
        <v>126</v>
      </c>
      <c r="B345" t="s">
        <v>11</v>
      </c>
      <c r="C345" s="3" t="s">
        <v>12</v>
      </c>
      <c r="D345" s="4">
        <v>43184</v>
      </c>
      <c r="E345" s="4" t="s">
        <v>128</v>
      </c>
      <c r="F345">
        <v>200</v>
      </c>
      <c r="G345">
        <v>4472</v>
      </c>
      <c r="H345">
        <v>1968</v>
      </c>
      <c r="I345">
        <v>2504</v>
      </c>
    </row>
    <row r="346" spans="1:9" ht="13.8" x14ac:dyDescent="0.25">
      <c r="A346" t="s">
        <v>130</v>
      </c>
      <c r="B346" t="s">
        <v>9</v>
      </c>
      <c r="C346" s="3" t="s">
        <v>15</v>
      </c>
      <c r="D346" s="4">
        <v>43185</v>
      </c>
      <c r="E346" s="4" t="s">
        <v>105</v>
      </c>
      <c r="F346">
        <v>700</v>
      </c>
      <c r="G346">
        <v>11858</v>
      </c>
      <c r="H346">
        <v>5929</v>
      </c>
      <c r="I346">
        <v>5929</v>
      </c>
    </row>
    <row r="347" spans="1:9" ht="13.8" x14ac:dyDescent="0.25">
      <c r="A347" t="s">
        <v>130</v>
      </c>
      <c r="B347" t="s">
        <v>9</v>
      </c>
      <c r="C347" s="3" t="s">
        <v>15</v>
      </c>
      <c r="D347" s="4">
        <v>43187</v>
      </c>
      <c r="E347" s="4" t="s">
        <v>105</v>
      </c>
      <c r="F347">
        <v>500</v>
      </c>
      <c r="G347">
        <v>9855</v>
      </c>
      <c r="H347">
        <v>4235</v>
      </c>
      <c r="I347">
        <v>5620</v>
      </c>
    </row>
    <row r="348" spans="1:9" ht="13.8" x14ac:dyDescent="0.25">
      <c r="A348" t="s">
        <v>129</v>
      </c>
      <c r="B348" t="s">
        <v>13</v>
      </c>
      <c r="C348" s="3" t="s">
        <v>12</v>
      </c>
      <c r="D348" s="4">
        <v>43189</v>
      </c>
      <c r="E348" s="4" t="s">
        <v>101</v>
      </c>
      <c r="F348">
        <v>800</v>
      </c>
      <c r="G348">
        <v>17240</v>
      </c>
      <c r="H348">
        <v>7872</v>
      </c>
      <c r="I348">
        <v>9368</v>
      </c>
    </row>
    <row r="349" spans="1:9" ht="13.8" x14ac:dyDescent="0.25">
      <c r="A349" t="s">
        <v>126</v>
      </c>
      <c r="B349" t="s">
        <v>9</v>
      </c>
      <c r="C349" s="3" t="s">
        <v>10</v>
      </c>
      <c r="D349" s="4">
        <v>43190</v>
      </c>
      <c r="E349" s="4" t="s">
        <v>100</v>
      </c>
      <c r="F349">
        <v>600</v>
      </c>
      <c r="G349">
        <v>13542</v>
      </c>
      <c r="H349">
        <v>6132</v>
      </c>
      <c r="I349">
        <v>7410</v>
      </c>
    </row>
    <row r="350" spans="1:9" ht="13.8" x14ac:dyDescent="0.25">
      <c r="A350" t="s">
        <v>16</v>
      </c>
      <c r="B350" t="s">
        <v>14</v>
      </c>
      <c r="C350" s="3" t="s">
        <v>17</v>
      </c>
      <c r="D350" s="4">
        <v>43191</v>
      </c>
      <c r="E350" s="4" t="s">
        <v>116</v>
      </c>
      <c r="F350">
        <v>300</v>
      </c>
      <c r="G350">
        <v>5859</v>
      </c>
      <c r="H350">
        <v>2541</v>
      </c>
      <c r="I350">
        <v>3318</v>
      </c>
    </row>
    <row r="351" spans="1:9" ht="13.8" x14ac:dyDescent="0.25">
      <c r="A351" t="s">
        <v>16</v>
      </c>
      <c r="B351" t="s">
        <v>13</v>
      </c>
      <c r="C351" s="3" t="s">
        <v>12</v>
      </c>
      <c r="D351" s="4">
        <v>43193</v>
      </c>
      <c r="E351" s="4" t="s">
        <v>112</v>
      </c>
      <c r="F351">
        <v>300</v>
      </c>
      <c r="G351">
        <v>7233</v>
      </c>
      <c r="H351">
        <v>2952</v>
      </c>
      <c r="I351">
        <v>4281</v>
      </c>
    </row>
    <row r="352" spans="1:9" ht="13.8" x14ac:dyDescent="0.25">
      <c r="A352" t="s">
        <v>126</v>
      </c>
      <c r="B352" t="s">
        <v>9</v>
      </c>
      <c r="C352" s="3" t="s">
        <v>15</v>
      </c>
      <c r="D352" s="4">
        <v>43194</v>
      </c>
      <c r="E352" s="4" t="s">
        <v>100</v>
      </c>
      <c r="F352">
        <v>400</v>
      </c>
      <c r="G352">
        <v>7752</v>
      </c>
      <c r="H352">
        <v>3388</v>
      </c>
      <c r="I352">
        <v>4364</v>
      </c>
    </row>
    <row r="353" spans="1:9" ht="13.8" x14ac:dyDescent="0.25">
      <c r="A353" t="s">
        <v>130</v>
      </c>
      <c r="B353" t="s">
        <v>9</v>
      </c>
      <c r="C353" s="3" t="s">
        <v>10</v>
      </c>
      <c r="D353" s="4">
        <v>43194</v>
      </c>
      <c r="E353" s="4" t="s">
        <v>105</v>
      </c>
      <c r="F353">
        <v>700</v>
      </c>
      <c r="G353">
        <v>15435</v>
      </c>
      <c r="H353">
        <v>7154</v>
      </c>
      <c r="I353">
        <v>8281</v>
      </c>
    </row>
    <row r="354" spans="1:9" ht="13.8" x14ac:dyDescent="0.25">
      <c r="A354" t="s">
        <v>16</v>
      </c>
      <c r="B354" t="s">
        <v>13</v>
      </c>
      <c r="C354" s="3" t="s">
        <v>10</v>
      </c>
      <c r="D354" s="4">
        <v>43195</v>
      </c>
      <c r="E354" s="4" t="s">
        <v>112</v>
      </c>
      <c r="F354">
        <v>100</v>
      </c>
      <c r="G354">
        <v>2178</v>
      </c>
      <c r="H354">
        <v>1022</v>
      </c>
      <c r="I354">
        <v>1156</v>
      </c>
    </row>
    <row r="355" spans="1:9" ht="13.8" x14ac:dyDescent="0.25">
      <c r="A355" t="s">
        <v>126</v>
      </c>
      <c r="B355" t="s">
        <v>11</v>
      </c>
      <c r="C355" s="3" t="s">
        <v>15</v>
      </c>
      <c r="D355" s="4">
        <v>43195</v>
      </c>
      <c r="E355" s="4" t="s">
        <v>109</v>
      </c>
      <c r="F355">
        <v>500</v>
      </c>
      <c r="G355">
        <v>9575</v>
      </c>
      <c r="H355">
        <v>4235</v>
      </c>
      <c r="I355">
        <v>5340</v>
      </c>
    </row>
    <row r="356" spans="1:9" ht="13.8" x14ac:dyDescent="0.25">
      <c r="A356" t="s">
        <v>126</v>
      </c>
      <c r="B356" t="s">
        <v>9</v>
      </c>
      <c r="C356" s="3" t="s">
        <v>15</v>
      </c>
      <c r="D356" s="4">
        <v>43197</v>
      </c>
      <c r="E356" s="4" t="s">
        <v>100</v>
      </c>
      <c r="F356">
        <v>500</v>
      </c>
      <c r="G356">
        <v>10460</v>
      </c>
      <c r="H356">
        <v>4235</v>
      </c>
      <c r="I356">
        <v>6225</v>
      </c>
    </row>
    <row r="357" spans="1:9" ht="13.8" x14ac:dyDescent="0.25">
      <c r="A357" t="s">
        <v>130</v>
      </c>
      <c r="B357" t="s">
        <v>9</v>
      </c>
      <c r="C357" s="3" t="s">
        <v>15</v>
      </c>
      <c r="D357" s="4">
        <v>43200</v>
      </c>
      <c r="E357" s="4" t="s">
        <v>105</v>
      </c>
      <c r="F357">
        <v>400</v>
      </c>
      <c r="G357">
        <v>8132</v>
      </c>
      <c r="H357">
        <v>3388</v>
      </c>
      <c r="I357">
        <v>4744</v>
      </c>
    </row>
    <row r="358" spans="1:9" ht="13.8" x14ac:dyDescent="0.25">
      <c r="A358" t="s">
        <v>126</v>
      </c>
      <c r="B358" t="s">
        <v>9</v>
      </c>
      <c r="C358" s="3" t="s">
        <v>10</v>
      </c>
      <c r="D358" s="4">
        <v>43200</v>
      </c>
      <c r="E358" s="4" t="s">
        <v>100</v>
      </c>
      <c r="F358">
        <v>800</v>
      </c>
      <c r="G358">
        <v>18344</v>
      </c>
      <c r="H358">
        <v>8176</v>
      </c>
      <c r="I358">
        <v>10168</v>
      </c>
    </row>
    <row r="359" spans="1:9" ht="13.8" x14ac:dyDescent="0.25">
      <c r="A359" t="s">
        <v>126</v>
      </c>
      <c r="B359" t="s">
        <v>11</v>
      </c>
      <c r="C359" s="3" t="s">
        <v>12</v>
      </c>
      <c r="D359" s="4">
        <v>43202</v>
      </c>
      <c r="E359" s="4" t="s">
        <v>128</v>
      </c>
      <c r="F359">
        <v>400</v>
      </c>
      <c r="G359">
        <v>8776</v>
      </c>
      <c r="H359">
        <v>3936</v>
      </c>
      <c r="I359">
        <v>4840</v>
      </c>
    </row>
    <row r="360" spans="1:9" ht="13.8" x14ac:dyDescent="0.25">
      <c r="A360" t="s">
        <v>129</v>
      </c>
      <c r="B360" t="s">
        <v>13</v>
      </c>
      <c r="C360" s="3" t="s">
        <v>12</v>
      </c>
      <c r="D360" s="4">
        <v>43203</v>
      </c>
      <c r="E360" s="4" t="s">
        <v>101</v>
      </c>
      <c r="F360">
        <v>900</v>
      </c>
      <c r="G360">
        <v>20403</v>
      </c>
      <c r="H360">
        <v>8856</v>
      </c>
      <c r="I360">
        <v>11547</v>
      </c>
    </row>
    <row r="361" spans="1:9" ht="13.8" x14ac:dyDescent="0.25">
      <c r="A361" t="s">
        <v>127</v>
      </c>
      <c r="B361" t="s">
        <v>11</v>
      </c>
      <c r="C361" s="3" t="s">
        <v>12</v>
      </c>
      <c r="D361" s="4">
        <v>43204</v>
      </c>
      <c r="E361" s="4" t="s">
        <v>123</v>
      </c>
      <c r="F361">
        <v>600</v>
      </c>
      <c r="G361">
        <v>14004</v>
      </c>
      <c r="H361">
        <v>5904</v>
      </c>
      <c r="I361">
        <v>8100</v>
      </c>
    </row>
    <row r="362" spans="1:9" ht="13.8" x14ac:dyDescent="0.25">
      <c r="A362" t="s">
        <v>126</v>
      </c>
      <c r="B362" t="s">
        <v>9</v>
      </c>
      <c r="C362" s="3" t="s">
        <v>15</v>
      </c>
      <c r="D362" s="4">
        <v>43205</v>
      </c>
      <c r="E362" s="4" t="s">
        <v>100</v>
      </c>
      <c r="F362">
        <v>800</v>
      </c>
      <c r="G362">
        <v>14216</v>
      </c>
      <c r="H362">
        <v>6776</v>
      </c>
      <c r="I362">
        <v>7440</v>
      </c>
    </row>
    <row r="363" spans="1:9" ht="13.8" x14ac:dyDescent="0.25">
      <c r="A363" t="s">
        <v>130</v>
      </c>
      <c r="B363" t="s">
        <v>9</v>
      </c>
      <c r="C363" s="3" t="s">
        <v>15</v>
      </c>
      <c r="D363" s="4">
        <v>43210</v>
      </c>
      <c r="E363" s="4" t="s">
        <v>105</v>
      </c>
      <c r="F363">
        <v>900</v>
      </c>
      <c r="G363">
        <v>17172</v>
      </c>
      <c r="H363">
        <v>7623</v>
      </c>
      <c r="I363">
        <v>9549</v>
      </c>
    </row>
    <row r="364" spans="1:9" ht="13.8" x14ac:dyDescent="0.25">
      <c r="A364" t="s">
        <v>130</v>
      </c>
      <c r="B364" t="s">
        <v>9</v>
      </c>
      <c r="C364" s="3" t="s">
        <v>10</v>
      </c>
      <c r="D364" s="4">
        <v>43211</v>
      </c>
      <c r="E364" s="4" t="s">
        <v>105</v>
      </c>
      <c r="F364">
        <v>1000</v>
      </c>
      <c r="G364">
        <v>20670</v>
      </c>
      <c r="H364">
        <v>10220</v>
      </c>
      <c r="I364">
        <v>10450</v>
      </c>
    </row>
    <row r="365" spans="1:9" ht="13.8" x14ac:dyDescent="0.25">
      <c r="A365" t="s">
        <v>129</v>
      </c>
      <c r="B365" t="s">
        <v>13</v>
      </c>
      <c r="C365" s="3" t="s">
        <v>15</v>
      </c>
      <c r="D365" s="4">
        <v>43212</v>
      </c>
      <c r="E365" s="4" t="s">
        <v>101</v>
      </c>
      <c r="F365">
        <v>400</v>
      </c>
      <c r="G365">
        <v>7376</v>
      </c>
      <c r="H365">
        <v>3388</v>
      </c>
      <c r="I365">
        <v>3988</v>
      </c>
    </row>
    <row r="366" spans="1:9" ht="13.8" x14ac:dyDescent="0.25">
      <c r="A366" t="s">
        <v>129</v>
      </c>
      <c r="B366" t="s">
        <v>9</v>
      </c>
      <c r="C366" s="3" t="s">
        <v>10</v>
      </c>
      <c r="D366" s="4">
        <v>43214</v>
      </c>
      <c r="E366" s="4" t="s">
        <v>103</v>
      </c>
      <c r="F366">
        <v>800</v>
      </c>
      <c r="G366">
        <v>17728</v>
      </c>
      <c r="H366">
        <v>8176</v>
      </c>
      <c r="I366">
        <v>9552</v>
      </c>
    </row>
    <row r="367" spans="1:9" ht="13.8" x14ac:dyDescent="0.25">
      <c r="A367" t="s">
        <v>126</v>
      </c>
      <c r="B367" t="s">
        <v>9</v>
      </c>
      <c r="C367" s="3" t="s">
        <v>12</v>
      </c>
      <c r="D367" s="4">
        <v>43215</v>
      </c>
      <c r="E367" s="4" t="s">
        <v>111</v>
      </c>
      <c r="F367">
        <v>1000</v>
      </c>
      <c r="G367">
        <v>20950</v>
      </c>
      <c r="H367">
        <v>9840</v>
      </c>
      <c r="I367">
        <v>11110</v>
      </c>
    </row>
    <row r="368" spans="1:9" ht="13.8" x14ac:dyDescent="0.25">
      <c r="A368" t="s">
        <v>126</v>
      </c>
      <c r="B368" t="s">
        <v>9</v>
      </c>
      <c r="C368" s="3" t="s">
        <v>15</v>
      </c>
      <c r="D368" s="4">
        <v>43216</v>
      </c>
      <c r="E368" s="4" t="s">
        <v>100</v>
      </c>
      <c r="F368">
        <v>400</v>
      </c>
      <c r="G368">
        <v>7852</v>
      </c>
      <c r="H368">
        <v>3388</v>
      </c>
      <c r="I368">
        <v>4464</v>
      </c>
    </row>
    <row r="369" spans="1:9" ht="13.8" x14ac:dyDescent="0.25">
      <c r="A369" t="s">
        <v>129</v>
      </c>
      <c r="B369" t="s">
        <v>13</v>
      </c>
      <c r="C369" s="3" t="s">
        <v>15</v>
      </c>
      <c r="D369" s="4">
        <v>43217</v>
      </c>
      <c r="E369" s="4" t="s">
        <v>101</v>
      </c>
      <c r="F369">
        <v>600</v>
      </c>
      <c r="G369">
        <v>12360</v>
      </c>
      <c r="H369">
        <v>5082</v>
      </c>
      <c r="I369">
        <v>7278</v>
      </c>
    </row>
    <row r="370" spans="1:9" ht="13.8" x14ac:dyDescent="0.25">
      <c r="A370" t="s">
        <v>126</v>
      </c>
      <c r="B370" t="s">
        <v>11</v>
      </c>
      <c r="C370" s="3" t="s">
        <v>15</v>
      </c>
      <c r="D370" s="4">
        <v>43219</v>
      </c>
      <c r="E370" s="4" t="s">
        <v>128</v>
      </c>
      <c r="F370">
        <v>300</v>
      </c>
      <c r="G370">
        <v>6069</v>
      </c>
      <c r="H370">
        <v>2541</v>
      </c>
      <c r="I370">
        <v>3528</v>
      </c>
    </row>
    <row r="371" spans="1:9" ht="13.8" x14ac:dyDescent="0.25">
      <c r="A371" t="s">
        <v>126</v>
      </c>
      <c r="B371" t="s">
        <v>9</v>
      </c>
      <c r="C371" s="3" t="s">
        <v>12</v>
      </c>
      <c r="D371" s="4">
        <v>43219</v>
      </c>
      <c r="E371" s="4" t="s">
        <v>100</v>
      </c>
      <c r="F371">
        <v>900</v>
      </c>
      <c r="G371">
        <v>18990</v>
      </c>
      <c r="H371">
        <v>8856</v>
      </c>
      <c r="I371">
        <v>10134</v>
      </c>
    </row>
    <row r="372" spans="1:9" ht="13.8" x14ac:dyDescent="0.25">
      <c r="A372" t="s">
        <v>126</v>
      </c>
      <c r="B372" t="s">
        <v>13</v>
      </c>
      <c r="C372" s="3" t="s">
        <v>15</v>
      </c>
      <c r="D372" s="4">
        <v>43221</v>
      </c>
      <c r="E372" s="4" t="s">
        <v>108</v>
      </c>
      <c r="F372">
        <v>1000</v>
      </c>
      <c r="G372">
        <v>20310</v>
      </c>
      <c r="H372">
        <v>8470</v>
      </c>
      <c r="I372">
        <v>11840</v>
      </c>
    </row>
    <row r="373" spans="1:9" ht="13.8" x14ac:dyDescent="0.25">
      <c r="A373" t="s">
        <v>126</v>
      </c>
      <c r="B373" t="s">
        <v>13</v>
      </c>
      <c r="C373" s="3" t="s">
        <v>12</v>
      </c>
      <c r="D373" s="4">
        <v>43221</v>
      </c>
      <c r="E373" s="4" t="s">
        <v>108</v>
      </c>
      <c r="F373">
        <v>300</v>
      </c>
      <c r="G373">
        <v>6018</v>
      </c>
      <c r="H373">
        <v>2952</v>
      </c>
      <c r="I373">
        <v>3066</v>
      </c>
    </row>
    <row r="374" spans="1:9" ht="13.8" x14ac:dyDescent="0.25">
      <c r="A374" t="s">
        <v>126</v>
      </c>
      <c r="B374" t="s">
        <v>13</v>
      </c>
      <c r="C374" s="3" t="s">
        <v>10</v>
      </c>
      <c r="D374" s="4">
        <v>43222</v>
      </c>
      <c r="E374" s="4" t="s">
        <v>108</v>
      </c>
      <c r="F374">
        <v>1000</v>
      </c>
      <c r="G374">
        <v>25310</v>
      </c>
      <c r="H374">
        <v>10220</v>
      </c>
      <c r="I374">
        <v>15090</v>
      </c>
    </row>
    <row r="375" spans="1:9" ht="13.8" x14ac:dyDescent="0.25">
      <c r="A375" t="s">
        <v>130</v>
      </c>
      <c r="B375" t="s">
        <v>11</v>
      </c>
      <c r="C375" s="3" t="s">
        <v>12</v>
      </c>
      <c r="D375" s="4">
        <v>43223</v>
      </c>
      <c r="E375" s="4" t="s">
        <v>106</v>
      </c>
      <c r="F375">
        <v>200</v>
      </c>
      <c r="G375">
        <v>4378</v>
      </c>
      <c r="H375">
        <v>1968</v>
      </c>
      <c r="I375">
        <v>2410</v>
      </c>
    </row>
    <row r="376" spans="1:9" ht="13.8" x14ac:dyDescent="0.25">
      <c r="A376" t="s">
        <v>130</v>
      </c>
      <c r="B376" t="s">
        <v>9</v>
      </c>
      <c r="C376" s="3" t="s">
        <v>12</v>
      </c>
      <c r="D376" s="4">
        <v>43225</v>
      </c>
      <c r="E376" s="4" t="s">
        <v>105</v>
      </c>
      <c r="F376">
        <v>700</v>
      </c>
      <c r="G376">
        <v>15407</v>
      </c>
      <c r="H376">
        <v>6888</v>
      </c>
      <c r="I376">
        <v>8519</v>
      </c>
    </row>
    <row r="377" spans="1:9" ht="13.8" x14ac:dyDescent="0.25">
      <c r="A377" t="s">
        <v>129</v>
      </c>
      <c r="B377" t="s">
        <v>13</v>
      </c>
      <c r="C377" s="3" t="s">
        <v>15</v>
      </c>
      <c r="D377" s="4">
        <v>43226</v>
      </c>
      <c r="E377" s="4" t="s">
        <v>101</v>
      </c>
      <c r="F377">
        <v>1000</v>
      </c>
      <c r="G377">
        <v>18290</v>
      </c>
      <c r="H377">
        <v>8470</v>
      </c>
      <c r="I377">
        <v>9820</v>
      </c>
    </row>
    <row r="378" spans="1:9" ht="13.8" x14ac:dyDescent="0.25">
      <c r="A378" t="s">
        <v>126</v>
      </c>
      <c r="B378" t="s">
        <v>13</v>
      </c>
      <c r="C378" s="3" t="s">
        <v>15</v>
      </c>
      <c r="D378" s="4">
        <v>43227</v>
      </c>
      <c r="E378" s="4" t="s">
        <v>108</v>
      </c>
      <c r="F378">
        <v>100</v>
      </c>
      <c r="G378">
        <v>1842</v>
      </c>
      <c r="H378">
        <v>847</v>
      </c>
      <c r="I378">
        <v>995</v>
      </c>
    </row>
    <row r="379" spans="1:9" ht="13.8" x14ac:dyDescent="0.25">
      <c r="A379" t="s">
        <v>126</v>
      </c>
      <c r="B379" t="s">
        <v>11</v>
      </c>
      <c r="C379" s="3" t="s">
        <v>10</v>
      </c>
      <c r="D379" s="4">
        <v>43227</v>
      </c>
      <c r="E379" s="4" t="s">
        <v>109</v>
      </c>
      <c r="F379">
        <v>500</v>
      </c>
      <c r="G379">
        <v>10400</v>
      </c>
      <c r="H379">
        <v>5110</v>
      </c>
      <c r="I379">
        <v>5290</v>
      </c>
    </row>
    <row r="380" spans="1:9" ht="13.8" x14ac:dyDescent="0.25">
      <c r="A380" t="s">
        <v>126</v>
      </c>
      <c r="B380" t="s">
        <v>9</v>
      </c>
      <c r="C380" s="3" t="s">
        <v>15</v>
      </c>
      <c r="D380" s="4">
        <v>43228</v>
      </c>
      <c r="E380" s="4" t="s">
        <v>100</v>
      </c>
      <c r="F380">
        <v>100</v>
      </c>
      <c r="G380">
        <v>1982</v>
      </c>
      <c r="H380">
        <v>847</v>
      </c>
      <c r="I380">
        <v>1135</v>
      </c>
    </row>
    <row r="381" spans="1:9" ht="13.8" x14ac:dyDescent="0.25">
      <c r="A381" t="s">
        <v>126</v>
      </c>
      <c r="B381" t="s">
        <v>11</v>
      </c>
      <c r="C381" s="3" t="s">
        <v>10</v>
      </c>
      <c r="D381" s="4">
        <v>43230</v>
      </c>
      <c r="E381" s="4" t="s">
        <v>109</v>
      </c>
      <c r="F381">
        <v>300</v>
      </c>
      <c r="G381">
        <v>6789</v>
      </c>
      <c r="H381">
        <v>3066</v>
      </c>
      <c r="I381">
        <v>3723</v>
      </c>
    </row>
    <row r="382" spans="1:9" ht="13.8" x14ac:dyDescent="0.25">
      <c r="A382" t="s">
        <v>131</v>
      </c>
      <c r="B382" t="s">
        <v>13</v>
      </c>
      <c r="C382" s="3" t="s">
        <v>12</v>
      </c>
      <c r="D382" s="4">
        <v>43231</v>
      </c>
      <c r="E382" s="4" t="s">
        <v>115</v>
      </c>
      <c r="F382">
        <v>300</v>
      </c>
      <c r="G382">
        <v>7245</v>
      </c>
      <c r="H382">
        <v>2952</v>
      </c>
      <c r="I382">
        <v>4293</v>
      </c>
    </row>
    <row r="383" spans="1:9" ht="13.8" x14ac:dyDescent="0.25">
      <c r="A383" t="s">
        <v>16</v>
      </c>
      <c r="B383" t="s">
        <v>13</v>
      </c>
      <c r="C383" s="3" t="s">
        <v>10</v>
      </c>
      <c r="D383" s="4">
        <v>43232</v>
      </c>
      <c r="E383" s="4" t="s">
        <v>112</v>
      </c>
      <c r="F383">
        <v>500</v>
      </c>
      <c r="G383">
        <v>11000</v>
      </c>
      <c r="H383">
        <v>5110</v>
      </c>
      <c r="I383">
        <v>5890</v>
      </c>
    </row>
    <row r="384" spans="1:9" ht="13.8" x14ac:dyDescent="0.25">
      <c r="A384" t="s">
        <v>131</v>
      </c>
      <c r="B384" t="s">
        <v>13</v>
      </c>
      <c r="C384" s="3" t="s">
        <v>15</v>
      </c>
      <c r="D384" s="4">
        <v>43233</v>
      </c>
      <c r="E384" s="4" t="s">
        <v>115</v>
      </c>
      <c r="F384">
        <v>500</v>
      </c>
      <c r="G384">
        <v>9155</v>
      </c>
      <c r="H384">
        <v>4235</v>
      </c>
      <c r="I384">
        <v>4920</v>
      </c>
    </row>
    <row r="385" spans="1:9" ht="13.8" x14ac:dyDescent="0.25">
      <c r="A385" t="s">
        <v>130</v>
      </c>
      <c r="B385" t="s">
        <v>9</v>
      </c>
      <c r="C385" s="3" t="s">
        <v>12</v>
      </c>
      <c r="D385" s="4">
        <v>43233</v>
      </c>
      <c r="E385" s="4" t="s">
        <v>105</v>
      </c>
      <c r="F385">
        <v>400</v>
      </c>
      <c r="G385">
        <v>9760</v>
      </c>
      <c r="H385">
        <v>3936</v>
      </c>
      <c r="I385">
        <v>5824</v>
      </c>
    </row>
    <row r="386" spans="1:9" ht="13.8" x14ac:dyDescent="0.25">
      <c r="A386" t="s">
        <v>126</v>
      </c>
      <c r="B386" t="s">
        <v>9</v>
      </c>
      <c r="C386" s="3" t="s">
        <v>10</v>
      </c>
      <c r="D386" s="4">
        <v>43235</v>
      </c>
      <c r="E386" s="4" t="s">
        <v>100</v>
      </c>
      <c r="F386">
        <v>400</v>
      </c>
      <c r="G386">
        <v>9156</v>
      </c>
      <c r="H386">
        <v>4088</v>
      </c>
      <c r="I386">
        <v>5068</v>
      </c>
    </row>
    <row r="387" spans="1:9" ht="13.8" x14ac:dyDescent="0.25">
      <c r="A387" t="s">
        <v>126</v>
      </c>
      <c r="B387" t="s">
        <v>11</v>
      </c>
      <c r="C387" s="3" t="s">
        <v>10</v>
      </c>
      <c r="D387" s="4">
        <v>43238</v>
      </c>
      <c r="E387" s="4" t="s">
        <v>128</v>
      </c>
      <c r="F387">
        <v>500</v>
      </c>
      <c r="G387">
        <v>10385</v>
      </c>
      <c r="H387">
        <v>5110</v>
      </c>
      <c r="I387">
        <v>5275</v>
      </c>
    </row>
    <row r="388" spans="1:9" ht="13.8" x14ac:dyDescent="0.25">
      <c r="A388" t="s">
        <v>130</v>
      </c>
      <c r="B388" t="s">
        <v>11</v>
      </c>
      <c r="C388" s="3" t="s">
        <v>12</v>
      </c>
      <c r="D388" s="4">
        <v>43240</v>
      </c>
      <c r="E388" s="4" t="s">
        <v>106</v>
      </c>
      <c r="F388">
        <v>700</v>
      </c>
      <c r="G388">
        <v>14203</v>
      </c>
      <c r="H388">
        <v>6888</v>
      </c>
      <c r="I388">
        <v>7315</v>
      </c>
    </row>
    <row r="389" spans="1:9" ht="13.8" x14ac:dyDescent="0.25">
      <c r="A389" t="s">
        <v>126</v>
      </c>
      <c r="B389" t="s">
        <v>11</v>
      </c>
      <c r="C389" s="3" t="s">
        <v>10</v>
      </c>
      <c r="D389" s="4">
        <v>43241</v>
      </c>
      <c r="E389" s="4" t="s">
        <v>109</v>
      </c>
      <c r="F389">
        <v>600</v>
      </c>
      <c r="G389">
        <v>14634</v>
      </c>
      <c r="H389">
        <v>6132</v>
      </c>
      <c r="I389">
        <v>8502</v>
      </c>
    </row>
    <row r="390" spans="1:9" ht="13.8" x14ac:dyDescent="0.25">
      <c r="A390" t="s">
        <v>16</v>
      </c>
      <c r="B390" t="s">
        <v>13</v>
      </c>
      <c r="C390" s="3" t="s">
        <v>10</v>
      </c>
      <c r="D390" s="4">
        <v>43242</v>
      </c>
      <c r="E390" s="4" t="s">
        <v>112</v>
      </c>
      <c r="F390">
        <v>100</v>
      </c>
      <c r="G390">
        <v>2149</v>
      </c>
      <c r="H390">
        <v>1022</v>
      </c>
      <c r="I390">
        <v>1127</v>
      </c>
    </row>
    <row r="391" spans="1:9" ht="13.8" x14ac:dyDescent="0.25">
      <c r="A391" t="s">
        <v>129</v>
      </c>
      <c r="B391" t="s">
        <v>14</v>
      </c>
      <c r="C391" s="3" t="s">
        <v>15</v>
      </c>
      <c r="D391" s="4">
        <v>43242</v>
      </c>
      <c r="E391" s="4" t="s">
        <v>104</v>
      </c>
      <c r="F391">
        <v>700</v>
      </c>
      <c r="G391">
        <v>13853</v>
      </c>
      <c r="H391">
        <v>5929</v>
      </c>
      <c r="I391">
        <v>7924</v>
      </c>
    </row>
    <row r="392" spans="1:9" ht="13.8" x14ac:dyDescent="0.25">
      <c r="A392" t="s">
        <v>126</v>
      </c>
      <c r="B392" t="s">
        <v>9</v>
      </c>
      <c r="C392" s="3" t="s">
        <v>12</v>
      </c>
      <c r="D392" s="4">
        <v>43243</v>
      </c>
      <c r="E392" s="4" t="s">
        <v>100</v>
      </c>
      <c r="F392">
        <v>200</v>
      </c>
      <c r="G392">
        <v>4474</v>
      </c>
      <c r="H392">
        <v>1968</v>
      </c>
      <c r="I392">
        <v>2506</v>
      </c>
    </row>
    <row r="393" spans="1:9" ht="13.8" x14ac:dyDescent="0.25">
      <c r="A393" t="s">
        <v>126</v>
      </c>
      <c r="B393" t="s">
        <v>9</v>
      </c>
      <c r="C393" s="3" t="s">
        <v>10</v>
      </c>
      <c r="D393" s="4">
        <v>43243</v>
      </c>
      <c r="E393" s="4" t="s">
        <v>100</v>
      </c>
      <c r="F393">
        <v>100</v>
      </c>
      <c r="G393">
        <v>2487</v>
      </c>
      <c r="H393">
        <v>1022</v>
      </c>
      <c r="I393">
        <v>1465</v>
      </c>
    </row>
    <row r="394" spans="1:9" ht="13.8" x14ac:dyDescent="0.25">
      <c r="A394" t="s">
        <v>16</v>
      </c>
      <c r="B394" t="s">
        <v>13</v>
      </c>
      <c r="C394" s="3" t="s">
        <v>10</v>
      </c>
      <c r="D394" s="4">
        <v>43244</v>
      </c>
      <c r="E394" s="4" t="s">
        <v>112</v>
      </c>
      <c r="F394">
        <v>200</v>
      </c>
      <c r="G394">
        <v>4388</v>
      </c>
      <c r="H394">
        <v>2044</v>
      </c>
      <c r="I394">
        <v>2344</v>
      </c>
    </row>
    <row r="395" spans="1:9" ht="13.8" x14ac:dyDescent="0.25">
      <c r="A395" t="s">
        <v>126</v>
      </c>
      <c r="B395" t="s">
        <v>11</v>
      </c>
      <c r="C395" s="3" t="s">
        <v>15</v>
      </c>
      <c r="D395" s="4">
        <v>43245</v>
      </c>
      <c r="E395" s="4" t="s">
        <v>128</v>
      </c>
      <c r="F395">
        <v>300</v>
      </c>
      <c r="G395">
        <v>5094</v>
      </c>
      <c r="H395">
        <v>2541</v>
      </c>
      <c r="I395">
        <v>2553</v>
      </c>
    </row>
    <row r="396" spans="1:9" ht="13.8" x14ac:dyDescent="0.25">
      <c r="A396" t="s">
        <v>130</v>
      </c>
      <c r="B396" t="s">
        <v>9</v>
      </c>
      <c r="C396" s="3" t="s">
        <v>15</v>
      </c>
      <c r="D396" s="4">
        <v>43248</v>
      </c>
      <c r="E396" s="4" t="s">
        <v>105</v>
      </c>
      <c r="F396">
        <v>200</v>
      </c>
      <c r="G396">
        <v>3632</v>
      </c>
      <c r="H396">
        <v>1694</v>
      </c>
      <c r="I396">
        <v>1938</v>
      </c>
    </row>
    <row r="397" spans="1:9" ht="13.8" x14ac:dyDescent="0.25">
      <c r="A397" t="s">
        <v>126</v>
      </c>
      <c r="B397" t="s">
        <v>9</v>
      </c>
      <c r="C397" s="3" t="s">
        <v>12</v>
      </c>
      <c r="D397" s="4">
        <v>43248</v>
      </c>
      <c r="E397" s="4" t="s">
        <v>100</v>
      </c>
      <c r="F397">
        <v>800</v>
      </c>
      <c r="G397">
        <v>16264</v>
      </c>
      <c r="H397">
        <v>7872</v>
      </c>
      <c r="I397">
        <v>8392</v>
      </c>
    </row>
    <row r="398" spans="1:9" ht="13.8" x14ac:dyDescent="0.25">
      <c r="A398" t="s">
        <v>130</v>
      </c>
      <c r="B398" t="s">
        <v>9</v>
      </c>
      <c r="C398" s="3" t="s">
        <v>12</v>
      </c>
      <c r="D398" s="4">
        <v>43250</v>
      </c>
      <c r="E398" s="4" t="s">
        <v>105</v>
      </c>
      <c r="F398">
        <v>700</v>
      </c>
      <c r="G398">
        <v>16408</v>
      </c>
      <c r="H398">
        <v>6888</v>
      </c>
      <c r="I398">
        <v>9520</v>
      </c>
    </row>
    <row r="399" spans="1:9" ht="13.8" x14ac:dyDescent="0.25">
      <c r="A399" t="s">
        <v>126</v>
      </c>
      <c r="B399" t="s">
        <v>9</v>
      </c>
      <c r="C399" s="3" t="s">
        <v>10</v>
      </c>
      <c r="D399" s="4">
        <v>43250</v>
      </c>
      <c r="E399" s="4" t="s">
        <v>100</v>
      </c>
      <c r="F399">
        <v>500</v>
      </c>
      <c r="G399">
        <v>12550</v>
      </c>
      <c r="H399">
        <v>5110</v>
      </c>
      <c r="I399">
        <v>7440</v>
      </c>
    </row>
    <row r="400" spans="1:9" ht="13.8" x14ac:dyDescent="0.25">
      <c r="A400" t="s">
        <v>126</v>
      </c>
      <c r="B400" t="s">
        <v>13</v>
      </c>
      <c r="C400" s="3" t="s">
        <v>12</v>
      </c>
      <c r="D400" s="4">
        <v>43251</v>
      </c>
      <c r="E400" s="4" t="s">
        <v>108</v>
      </c>
      <c r="F400">
        <v>800</v>
      </c>
      <c r="G400">
        <v>17056</v>
      </c>
      <c r="H400">
        <v>7872</v>
      </c>
      <c r="I400">
        <v>9184</v>
      </c>
    </row>
    <row r="401" spans="1:9" ht="13.8" x14ac:dyDescent="0.25">
      <c r="A401" t="s">
        <v>129</v>
      </c>
      <c r="B401" t="s">
        <v>13</v>
      </c>
      <c r="C401" s="3" t="s">
        <v>10</v>
      </c>
      <c r="D401" s="4">
        <v>43251</v>
      </c>
      <c r="E401" s="4" t="s">
        <v>101</v>
      </c>
      <c r="F401">
        <v>800</v>
      </c>
      <c r="G401">
        <v>19152</v>
      </c>
      <c r="H401">
        <v>8176</v>
      </c>
      <c r="I401">
        <v>10976</v>
      </c>
    </row>
    <row r="402" spans="1:9" ht="13.8" x14ac:dyDescent="0.25">
      <c r="A402" t="s">
        <v>131</v>
      </c>
      <c r="B402" t="s">
        <v>13</v>
      </c>
      <c r="C402" s="3" t="s">
        <v>10</v>
      </c>
      <c r="D402" s="4">
        <v>43254</v>
      </c>
      <c r="E402" s="4" t="s">
        <v>115</v>
      </c>
      <c r="F402">
        <v>1000</v>
      </c>
      <c r="G402">
        <v>23990</v>
      </c>
      <c r="H402">
        <v>10220</v>
      </c>
      <c r="I402">
        <v>13770</v>
      </c>
    </row>
    <row r="403" spans="1:9" ht="13.8" x14ac:dyDescent="0.25">
      <c r="A403" t="s">
        <v>126</v>
      </c>
      <c r="B403" t="s">
        <v>11</v>
      </c>
      <c r="C403" s="3" t="s">
        <v>10</v>
      </c>
      <c r="D403" s="4">
        <v>43255</v>
      </c>
      <c r="E403" s="4" t="s">
        <v>109</v>
      </c>
      <c r="F403">
        <v>1000</v>
      </c>
      <c r="G403">
        <v>22020</v>
      </c>
      <c r="H403">
        <v>10220</v>
      </c>
      <c r="I403">
        <v>11800</v>
      </c>
    </row>
    <row r="404" spans="1:9" ht="13.8" x14ac:dyDescent="0.25">
      <c r="A404" t="s">
        <v>131</v>
      </c>
      <c r="B404" t="s">
        <v>14</v>
      </c>
      <c r="C404" s="3" t="s">
        <v>10</v>
      </c>
      <c r="D404" s="4">
        <v>43258</v>
      </c>
      <c r="E404" s="4" t="s">
        <v>124</v>
      </c>
      <c r="F404">
        <v>400</v>
      </c>
      <c r="G404">
        <v>9064</v>
      </c>
      <c r="H404">
        <v>4088</v>
      </c>
      <c r="I404">
        <v>4976</v>
      </c>
    </row>
    <row r="405" spans="1:9" ht="13.8" x14ac:dyDescent="0.25">
      <c r="A405" t="s">
        <v>126</v>
      </c>
      <c r="B405" t="s">
        <v>11</v>
      </c>
      <c r="C405" s="3" t="s">
        <v>15</v>
      </c>
      <c r="D405" s="4">
        <v>43259</v>
      </c>
      <c r="E405" s="4" t="s">
        <v>109</v>
      </c>
      <c r="F405">
        <v>900</v>
      </c>
      <c r="G405">
        <v>18072</v>
      </c>
      <c r="H405">
        <v>7623</v>
      </c>
      <c r="I405">
        <v>10449</v>
      </c>
    </row>
    <row r="406" spans="1:9" ht="13.8" x14ac:dyDescent="0.25">
      <c r="A406" t="s">
        <v>126</v>
      </c>
      <c r="B406" t="s">
        <v>13</v>
      </c>
      <c r="C406" s="3" t="s">
        <v>15</v>
      </c>
      <c r="D406" s="4">
        <v>43260</v>
      </c>
      <c r="E406" s="4" t="s">
        <v>108</v>
      </c>
      <c r="F406">
        <v>800</v>
      </c>
      <c r="G406">
        <v>16288</v>
      </c>
      <c r="H406">
        <v>6776</v>
      </c>
      <c r="I406">
        <v>9512</v>
      </c>
    </row>
    <row r="407" spans="1:9" ht="13.8" x14ac:dyDescent="0.25">
      <c r="A407" t="s">
        <v>126</v>
      </c>
      <c r="B407" t="s">
        <v>11</v>
      </c>
      <c r="C407" s="3" t="s">
        <v>12</v>
      </c>
      <c r="D407" s="4">
        <v>43262</v>
      </c>
      <c r="E407" s="4" t="s">
        <v>107</v>
      </c>
      <c r="F407">
        <v>800</v>
      </c>
      <c r="G407">
        <v>17944</v>
      </c>
      <c r="H407">
        <v>7872</v>
      </c>
      <c r="I407">
        <v>10072</v>
      </c>
    </row>
    <row r="408" spans="1:9" ht="13.8" x14ac:dyDescent="0.25">
      <c r="A408" t="s">
        <v>129</v>
      </c>
      <c r="B408" t="s">
        <v>13</v>
      </c>
      <c r="C408" s="3" t="s">
        <v>12</v>
      </c>
      <c r="D408" s="4">
        <v>43263</v>
      </c>
      <c r="E408" s="4" t="s">
        <v>101</v>
      </c>
      <c r="F408">
        <v>300</v>
      </c>
      <c r="G408">
        <v>6477</v>
      </c>
      <c r="H408">
        <v>2952</v>
      </c>
      <c r="I408">
        <v>3525</v>
      </c>
    </row>
    <row r="409" spans="1:9" ht="13.8" x14ac:dyDescent="0.25">
      <c r="A409" t="s">
        <v>16</v>
      </c>
      <c r="B409" t="s">
        <v>13</v>
      </c>
      <c r="C409" s="3" t="s">
        <v>15</v>
      </c>
      <c r="D409" s="4">
        <v>43264</v>
      </c>
      <c r="E409" s="4" t="s">
        <v>112</v>
      </c>
      <c r="F409">
        <v>600</v>
      </c>
      <c r="G409">
        <v>10404</v>
      </c>
      <c r="H409">
        <v>5082</v>
      </c>
      <c r="I409">
        <v>5322</v>
      </c>
    </row>
    <row r="410" spans="1:9" ht="13.8" x14ac:dyDescent="0.25">
      <c r="A410" t="s">
        <v>126</v>
      </c>
      <c r="B410" t="s">
        <v>11</v>
      </c>
      <c r="C410" s="3" t="s">
        <v>15</v>
      </c>
      <c r="D410" s="4">
        <v>43265</v>
      </c>
      <c r="E410" s="4" t="s">
        <v>107</v>
      </c>
      <c r="F410">
        <v>500</v>
      </c>
      <c r="G410">
        <v>8780</v>
      </c>
      <c r="H410">
        <v>4235</v>
      </c>
      <c r="I410">
        <v>4545</v>
      </c>
    </row>
    <row r="411" spans="1:9" ht="13.8" x14ac:dyDescent="0.25">
      <c r="A411" t="s">
        <v>126</v>
      </c>
      <c r="B411" t="s">
        <v>11</v>
      </c>
      <c r="C411" s="3" t="s">
        <v>15</v>
      </c>
      <c r="D411" s="4">
        <v>43269</v>
      </c>
      <c r="E411" s="4" t="s">
        <v>128</v>
      </c>
      <c r="F411">
        <v>700</v>
      </c>
      <c r="G411">
        <v>13874</v>
      </c>
      <c r="H411">
        <v>5929</v>
      </c>
      <c r="I411">
        <v>7945</v>
      </c>
    </row>
    <row r="412" spans="1:9" ht="13.8" x14ac:dyDescent="0.25">
      <c r="A412" t="s">
        <v>130</v>
      </c>
      <c r="B412" t="s">
        <v>11</v>
      </c>
      <c r="C412" s="3" t="s">
        <v>10</v>
      </c>
      <c r="D412" s="4">
        <v>43272</v>
      </c>
      <c r="E412" s="4" t="s">
        <v>106</v>
      </c>
      <c r="F412">
        <v>700</v>
      </c>
      <c r="G412">
        <v>15988</v>
      </c>
      <c r="H412">
        <v>7154</v>
      </c>
      <c r="I412">
        <v>8834</v>
      </c>
    </row>
    <row r="413" spans="1:9" ht="13.8" x14ac:dyDescent="0.25">
      <c r="A413" t="s">
        <v>126</v>
      </c>
      <c r="B413" t="s">
        <v>13</v>
      </c>
      <c r="C413" s="3" t="s">
        <v>12</v>
      </c>
      <c r="D413" s="4">
        <v>43275</v>
      </c>
      <c r="E413" s="4" t="s">
        <v>108</v>
      </c>
      <c r="F413">
        <v>1000</v>
      </c>
      <c r="G413">
        <v>20020</v>
      </c>
      <c r="H413">
        <v>9840</v>
      </c>
      <c r="I413">
        <v>10180</v>
      </c>
    </row>
    <row r="414" spans="1:9" ht="13.8" x14ac:dyDescent="0.25">
      <c r="A414" t="s">
        <v>127</v>
      </c>
      <c r="B414" t="s">
        <v>11</v>
      </c>
      <c r="C414" s="3" t="s">
        <v>12</v>
      </c>
      <c r="D414" s="4">
        <v>43276</v>
      </c>
      <c r="E414" s="4" t="s">
        <v>123</v>
      </c>
      <c r="F414">
        <v>200</v>
      </c>
      <c r="G414">
        <v>4060</v>
      </c>
      <c r="H414">
        <v>1968</v>
      </c>
      <c r="I414">
        <v>2092</v>
      </c>
    </row>
    <row r="415" spans="1:9" ht="13.8" x14ac:dyDescent="0.25">
      <c r="A415" t="s">
        <v>126</v>
      </c>
      <c r="B415" t="s">
        <v>11</v>
      </c>
      <c r="C415" s="3" t="s">
        <v>15</v>
      </c>
      <c r="D415" s="4">
        <v>43277</v>
      </c>
      <c r="E415" s="4" t="s">
        <v>128</v>
      </c>
      <c r="F415">
        <v>800</v>
      </c>
      <c r="G415">
        <v>15400</v>
      </c>
      <c r="H415">
        <v>6776</v>
      </c>
      <c r="I415">
        <v>8624</v>
      </c>
    </row>
    <row r="416" spans="1:9" ht="13.8" x14ac:dyDescent="0.25">
      <c r="A416" t="s">
        <v>126</v>
      </c>
      <c r="B416" t="s">
        <v>9</v>
      </c>
      <c r="C416" s="3" t="s">
        <v>12</v>
      </c>
      <c r="D416" s="4">
        <v>43277</v>
      </c>
      <c r="E416" s="4" t="s">
        <v>100</v>
      </c>
      <c r="F416">
        <v>700</v>
      </c>
      <c r="G416">
        <v>16219</v>
      </c>
      <c r="H416">
        <v>6888</v>
      </c>
      <c r="I416">
        <v>9331</v>
      </c>
    </row>
    <row r="417" spans="1:9" ht="13.8" x14ac:dyDescent="0.25">
      <c r="A417" t="s">
        <v>16</v>
      </c>
      <c r="B417" t="s">
        <v>13</v>
      </c>
      <c r="C417" s="3" t="s">
        <v>10</v>
      </c>
      <c r="D417" s="4">
        <v>43278</v>
      </c>
      <c r="E417" s="4" t="s">
        <v>112</v>
      </c>
      <c r="F417">
        <v>400</v>
      </c>
      <c r="G417">
        <v>8804</v>
      </c>
      <c r="H417">
        <v>4088</v>
      </c>
      <c r="I417">
        <v>4716</v>
      </c>
    </row>
    <row r="418" spans="1:9" ht="13.8" x14ac:dyDescent="0.25">
      <c r="A418" t="s">
        <v>16</v>
      </c>
      <c r="B418" t="s">
        <v>13</v>
      </c>
      <c r="C418" s="3" t="s">
        <v>10</v>
      </c>
      <c r="D418" s="4">
        <v>43281</v>
      </c>
      <c r="E418" s="4" t="s">
        <v>112</v>
      </c>
      <c r="F418">
        <v>500</v>
      </c>
      <c r="G418">
        <v>12425</v>
      </c>
      <c r="H418">
        <v>5110</v>
      </c>
      <c r="I418">
        <v>7315</v>
      </c>
    </row>
    <row r="419" spans="1:9" ht="13.8" x14ac:dyDescent="0.25">
      <c r="A419" t="s">
        <v>130</v>
      </c>
      <c r="B419" t="s">
        <v>11</v>
      </c>
      <c r="C419" s="3" t="s">
        <v>12</v>
      </c>
      <c r="D419" s="4">
        <v>43282</v>
      </c>
      <c r="E419" s="4" t="s">
        <v>106</v>
      </c>
      <c r="F419">
        <v>100</v>
      </c>
      <c r="G419">
        <v>2054</v>
      </c>
      <c r="H419">
        <v>984</v>
      </c>
      <c r="I419">
        <v>1070</v>
      </c>
    </row>
    <row r="420" spans="1:9" ht="13.8" x14ac:dyDescent="0.25">
      <c r="A420" t="s">
        <v>126</v>
      </c>
      <c r="B420" t="s">
        <v>11</v>
      </c>
      <c r="C420" s="3" t="s">
        <v>10</v>
      </c>
      <c r="D420" s="4">
        <v>43283</v>
      </c>
      <c r="E420" s="4" t="s">
        <v>107</v>
      </c>
      <c r="F420">
        <v>400</v>
      </c>
      <c r="G420">
        <v>9816</v>
      </c>
      <c r="H420">
        <v>4088</v>
      </c>
      <c r="I420">
        <v>5728</v>
      </c>
    </row>
    <row r="421" spans="1:9" ht="13.8" x14ac:dyDescent="0.25">
      <c r="A421" t="s">
        <v>126</v>
      </c>
      <c r="B421" t="s">
        <v>13</v>
      </c>
      <c r="C421" s="3" t="s">
        <v>15</v>
      </c>
      <c r="D421" s="4">
        <v>43284</v>
      </c>
      <c r="E421" s="4" t="s">
        <v>108</v>
      </c>
      <c r="F421">
        <v>200</v>
      </c>
      <c r="G421">
        <v>4192</v>
      </c>
      <c r="H421">
        <v>1694</v>
      </c>
      <c r="I421">
        <v>2498</v>
      </c>
    </row>
    <row r="422" spans="1:9" ht="13.8" x14ac:dyDescent="0.25">
      <c r="A422" t="s">
        <v>129</v>
      </c>
      <c r="B422" t="s">
        <v>13</v>
      </c>
      <c r="C422" s="3" t="s">
        <v>12</v>
      </c>
      <c r="D422" s="4">
        <v>43284</v>
      </c>
      <c r="E422" s="4" t="s">
        <v>101</v>
      </c>
      <c r="F422">
        <v>900</v>
      </c>
      <c r="G422">
        <v>18099</v>
      </c>
      <c r="H422">
        <v>8856</v>
      </c>
      <c r="I422">
        <v>9243</v>
      </c>
    </row>
    <row r="423" spans="1:9" ht="13.8" x14ac:dyDescent="0.25">
      <c r="A423" t="s">
        <v>16</v>
      </c>
      <c r="B423" t="s">
        <v>13</v>
      </c>
      <c r="C423" s="3" t="s">
        <v>12</v>
      </c>
      <c r="D423" s="4">
        <v>43286</v>
      </c>
      <c r="E423" s="4" t="s">
        <v>112</v>
      </c>
      <c r="F423">
        <v>700</v>
      </c>
      <c r="G423">
        <v>16303</v>
      </c>
      <c r="H423">
        <v>6888</v>
      </c>
      <c r="I423">
        <v>9415</v>
      </c>
    </row>
    <row r="424" spans="1:9" ht="13.8" x14ac:dyDescent="0.25">
      <c r="A424" t="s">
        <v>129</v>
      </c>
      <c r="B424" t="s">
        <v>13</v>
      </c>
      <c r="C424" s="3" t="s">
        <v>10</v>
      </c>
      <c r="D424" s="4">
        <v>43288</v>
      </c>
      <c r="E424" s="4" t="s">
        <v>101</v>
      </c>
      <c r="F424">
        <v>400</v>
      </c>
      <c r="G424">
        <v>8580</v>
      </c>
      <c r="H424">
        <v>4088</v>
      </c>
      <c r="I424">
        <v>4492</v>
      </c>
    </row>
    <row r="425" spans="1:9" ht="13.8" x14ac:dyDescent="0.25">
      <c r="A425" t="s">
        <v>130</v>
      </c>
      <c r="B425" t="s">
        <v>9</v>
      </c>
      <c r="C425" s="3" t="s">
        <v>12</v>
      </c>
      <c r="D425" s="4">
        <v>43289</v>
      </c>
      <c r="E425" s="4" t="s">
        <v>105</v>
      </c>
      <c r="F425">
        <v>500</v>
      </c>
      <c r="G425">
        <v>12270</v>
      </c>
      <c r="H425">
        <v>4920</v>
      </c>
      <c r="I425">
        <v>7350</v>
      </c>
    </row>
    <row r="426" spans="1:9" ht="13.8" x14ac:dyDescent="0.25">
      <c r="A426" t="s">
        <v>129</v>
      </c>
      <c r="B426" t="s">
        <v>13</v>
      </c>
      <c r="C426" s="3" t="s">
        <v>15</v>
      </c>
      <c r="D426" s="4">
        <v>43292</v>
      </c>
      <c r="E426" s="4" t="s">
        <v>101</v>
      </c>
      <c r="F426">
        <v>900</v>
      </c>
      <c r="G426">
        <v>17883</v>
      </c>
      <c r="H426">
        <v>7623</v>
      </c>
      <c r="I426">
        <v>10260</v>
      </c>
    </row>
    <row r="427" spans="1:9" ht="13.8" x14ac:dyDescent="0.25">
      <c r="A427" t="s">
        <v>126</v>
      </c>
      <c r="B427" t="s">
        <v>11</v>
      </c>
      <c r="C427" s="3" t="s">
        <v>12</v>
      </c>
      <c r="D427" s="4">
        <v>43294</v>
      </c>
      <c r="E427" s="4" t="s">
        <v>107</v>
      </c>
      <c r="F427">
        <v>500</v>
      </c>
      <c r="G427">
        <v>11725</v>
      </c>
      <c r="H427">
        <v>4920</v>
      </c>
      <c r="I427">
        <v>6805</v>
      </c>
    </row>
    <row r="428" spans="1:9" ht="13.8" x14ac:dyDescent="0.25">
      <c r="A428" t="s">
        <v>126</v>
      </c>
      <c r="B428" t="s">
        <v>11</v>
      </c>
      <c r="C428" s="3" t="s">
        <v>10</v>
      </c>
      <c r="D428" s="4">
        <v>43295</v>
      </c>
      <c r="E428" s="4" t="s">
        <v>107</v>
      </c>
      <c r="F428">
        <v>900</v>
      </c>
      <c r="G428">
        <v>21366</v>
      </c>
      <c r="H428">
        <v>9198</v>
      </c>
      <c r="I428">
        <v>12168</v>
      </c>
    </row>
    <row r="429" spans="1:9" ht="13.8" x14ac:dyDescent="0.25">
      <c r="A429" t="s">
        <v>130</v>
      </c>
      <c r="B429" t="s">
        <v>9</v>
      </c>
      <c r="C429" s="3" t="s">
        <v>12</v>
      </c>
      <c r="D429" s="4">
        <v>43296</v>
      </c>
      <c r="E429" s="4" t="s">
        <v>121</v>
      </c>
      <c r="F429">
        <v>700</v>
      </c>
      <c r="G429">
        <v>14497</v>
      </c>
      <c r="H429">
        <v>6888</v>
      </c>
      <c r="I429">
        <v>7609</v>
      </c>
    </row>
    <row r="430" spans="1:9" ht="13.8" x14ac:dyDescent="0.25">
      <c r="A430" t="s">
        <v>126</v>
      </c>
      <c r="B430" t="s">
        <v>9</v>
      </c>
      <c r="C430" s="3" t="s">
        <v>12</v>
      </c>
      <c r="D430" s="4">
        <v>43297</v>
      </c>
      <c r="E430" s="4" t="s">
        <v>100</v>
      </c>
      <c r="F430">
        <v>800</v>
      </c>
      <c r="G430">
        <v>17416</v>
      </c>
      <c r="H430">
        <v>7872</v>
      </c>
      <c r="I430">
        <v>9544</v>
      </c>
    </row>
    <row r="431" spans="1:9" ht="13.8" x14ac:dyDescent="0.25">
      <c r="A431" t="s">
        <v>126</v>
      </c>
      <c r="B431" t="s">
        <v>9</v>
      </c>
      <c r="C431" s="3" t="s">
        <v>15</v>
      </c>
      <c r="D431" s="4">
        <v>43299</v>
      </c>
      <c r="E431" s="4" t="s">
        <v>100</v>
      </c>
      <c r="F431">
        <v>700</v>
      </c>
      <c r="G431">
        <v>13804</v>
      </c>
      <c r="H431">
        <v>5929</v>
      </c>
      <c r="I431">
        <v>7875</v>
      </c>
    </row>
    <row r="432" spans="1:9" ht="13.8" x14ac:dyDescent="0.25">
      <c r="A432" t="s">
        <v>126</v>
      </c>
      <c r="B432" t="s">
        <v>11</v>
      </c>
      <c r="C432" s="3" t="s">
        <v>10</v>
      </c>
      <c r="D432" s="4">
        <v>43299</v>
      </c>
      <c r="E432" s="4" t="s">
        <v>107</v>
      </c>
      <c r="F432">
        <v>200</v>
      </c>
      <c r="G432">
        <v>4902</v>
      </c>
      <c r="H432">
        <v>2044</v>
      </c>
      <c r="I432">
        <v>2858</v>
      </c>
    </row>
    <row r="433" spans="1:9" ht="13.8" x14ac:dyDescent="0.25">
      <c r="A433" t="s">
        <v>129</v>
      </c>
      <c r="B433" t="s">
        <v>13</v>
      </c>
      <c r="C433" s="3" t="s">
        <v>12</v>
      </c>
      <c r="D433" s="4">
        <v>43300</v>
      </c>
      <c r="E433" s="4" t="s">
        <v>101</v>
      </c>
      <c r="F433">
        <v>500</v>
      </c>
      <c r="G433">
        <v>11235</v>
      </c>
      <c r="H433">
        <v>4920</v>
      </c>
      <c r="I433">
        <v>6315</v>
      </c>
    </row>
    <row r="434" spans="1:9" ht="13.8" x14ac:dyDescent="0.25">
      <c r="A434" t="s">
        <v>129</v>
      </c>
      <c r="B434" t="s">
        <v>9</v>
      </c>
      <c r="C434" s="3" t="s">
        <v>10</v>
      </c>
      <c r="D434" s="4">
        <v>43302</v>
      </c>
      <c r="E434" s="4" t="s">
        <v>118</v>
      </c>
      <c r="F434">
        <v>1000</v>
      </c>
      <c r="G434">
        <v>22840</v>
      </c>
      <c r="H434">
        <v>10220</v>
      </c>
      <c r="I434">
        <v>12620</v>
      </c>
    </row>
    <row r="435" spans="1:9" ht="13.8" x14ac:dyDescent="0.25">
      <c r="A435" t="s">
        <v>16</v>
      </c>
      <c r="B435" t="s">
        <v>13</v>
      </c>
      <c r="C435" s="3" t="s">
        <v>15</v>
      </c>
      <c r="D435" s="4">
        <v>43303</v>
      </c>
      <c r="E435" s="4" t="s">
        <v>112</v>
      </c>
      <c r="F435">
        <v>200</v>
      </c>
      <c r="G435">
        <v>3390</v>
      </c>
      <c r="H435">
        <v>1694</v>
      </c>
      <c r="I435">
        <v>1696</v>
      </c>
    </row>
    <row r="436" spans="1:9" ht="13.8" x14ac:dyDescent="0.25">
      <c r="A436" t="s">
        <v>130</v>
      </c>
      <c r="B436" t="s">
        <v>11</v>
      </c>
      <c r="C436" s="3" t="s">
        <v>12</v>
      </c>
      <c r="D436" s="4">
        <v>43304</v>
      </c>
      <c r="E436" s="4" t="s">
        <v>106</v>
      </c>
      <c r="F436">
        <v>300</v>
      </c>
      <c r="G436">
        <v>6228</v>
      </c>
      <c r="H436">
        <v>2952</v>
      </c>
      <c r="I436">
        <v>3276</v>
      </c>
    </row>
    <row r="437" spans="1:9" ht="13.8" x14ac:dyDescent="0.25">
      <c r="A437" t="s">
        <v>126</v>
      </c>
      <c r="B437" t="s">
        <v>9</v>
      </c>
      <c r="C437" s="3" t="s">
        <v>12</v>
      </c>
      <c r="D437" s="4">
        <v>43307</v>
      </c>
      <c r="E437" s="4" t="s">
        <v>100</v>
      </c>
      <c r="F437">
        <v>600</v>
      </c>
      <c r="G437">
        <v>13332</v>
      </c>
      <c r="H437">
        <v>5904</v>
      </c>
      <c r="I437">
        <v>7428</v>
      </c>
    </row>
    <row r="438" spans="1:9" ht="13.8" x14ac:dyDescent="0.25">
      <c r="A438" t="s">
        <v>129</v>
      </c>
      <c r="B438" t="s">
        <v>13</v>
      </c>
      <c r="C438" s="3" t="s">
        <v>12</v>
      </c>
      <c r="D438" s="4">
        <v>43308</v>
      </c>
      <c r="E438" s="4" t="s">
        <v>101</v>
      </c>
      <c r="F438">
        <v>200</v>
      </c>
      <c r="G438">
        <v>4132</v>
      </c>
      <c r="H438">
        <v>1968</v>
      </c>
      <c r="I438">
        <v>2164</v>
      </c>
    </row>
    <row r="439" spans="1:9" ht="13.8" x14ac:dyDescent="0.25">
      <c r="A439" t="s">
        <v>16</v>
      </c>
      <c r="B439" t="s">
        <v>13</v>
      </c>
      <c r="C439" s="3" t="s">
        <v>10</v>
      </c>
      <c r="D439" s="4">
        <v>43309</v>
      </c>
      <c r="E439" s="4" t="s">
        <v>112</v>
      </c>
      <c r="F439">
        <v>200</v>
      </c>
      <c r="G439">
        <v>4722</v>
      </c>
      <c r="H439">
        <v>2044</v>
      </c>
      <c r="I439">
        <v>2678</v>
      </c>
    </row>
    <row r="440" spans="1:9" ht="13.8" x14ac:dyDescent="0.25">
      <c r="A440" t="s">
        <v>130</v>
      </c>
      <c r="B440" t="s">
        <v>9</v>
      </c>
      <c r="C440" s="3" t="s">
        <v>12</v>
      </c>
      <c r="D440" s="4">
        <v>43310</v>
      </c>
      <c r="E440" s="4" t="s">
        <v>105</v>
      </c>
      <c r="F440">
        <v>700</v>
      </c>
      <c r="G440">
        <v>16170</v>
      </c>
      <c r="H440">
        <v>6888</v>
      </c>
      <c r="I440">
        <v>9282</v>
      </c>
    </row>
    <row r="441" spans="1:9" ht="13.8" x14ac:dyDescent="0.25">
      <c r="A441" t="s">
        <v>130</v>
      </c>
      <c r="B441" t="s">
        <v>11</v>
      </c>
      <c r="C441" s="3" t="s">
        <v>12</v>
      </c>
      <c r="D441" s="4">
        <v>43311</v>
      </c>
      <c r="E441" s="4" t="s">
        <v>106</v>
      </c>
      <c r="F441">
        <v>300</v>
      </c>
      <c r="G441">
        <v>6159</v>
      </c>
      <c r="H441">
        <v>2952</v>
      </c>
      <c r="I441">
        <v>3207</v>
      </c>
    </row>
    <row r="442" spans="1:9" ht="13.8" x14ac:dyDescent="0.25">
      <c r="A442" t="s">
        <v>126</v>
      </c>
      <c r="B442" t="s">
        <v>14</v>
      </c>
      <c r="C442" s="3" t="s">
        <v>15</v>
      </c>
      <c r="D442" s="4">
        <v>43311</v>
      </c>
      <c r="E442" s="4" t="s">
        <v>113</v>
      </c>
      <c r="F442">
        <v>1000</v>
      </c>
      <c r="G442">
        <v>18290</v>
      </c>
      <c r="H442">
        <v>8470</v>
      </c>
      <c r="I442">
        <v>9820</v>
      </c>
    </row>
    <row r="443" spans="1:9" ht="13.8" x14ac:dyDescent="0.25">
      <c r="A443" t="s">
        <v>16</v>
      </c>
      <c r="B443" t="s">
        <v>13</v>
      </c>
      <c r="C443" s="3" t="s">
        <v>15</v>
      </c>
      <c r="D443" s="4">
        <v>43312</v>
      </c>
      <c r="E443" s="4" t="s">
        <v>112</v>
      </c>
      <c r="F443">
        <v>1000</v>
      </c>
      <c r="G443">
        <v>18500</v>
      </c>
      <c r="H443">
        <v>8470</v>
      </c>
      <c r="I443">
        <v>10030</v>
      </c>
    </row>
    <row r="444" spans="1:9" ht="13.8" x14ac:dyDescent="0.25">
      <c r="A444" t="s">
        <v>16</v>
      </c>
      <c r="B444" t="s">
        <v>13</v>
      </c>
      <c r="C444" s="3" t="s">
        <v>10</v>
      </c>
      <c r="D444" s="4">
        <v>43315</v>
      </c>
      <c r="E444" s="4" t="s">
        <v>112</v>
      </c>
      <c r="F444">
        <v>900</v>
      </c>
      <c r="G444">
        <v>21159</v>
      </c>
      <c r="H444">
        <v>9198</v>
      </c>
      <c r="I444">
        <v>11961</v>
      </c>
    </row>
    <row r="445" spans="1:9" ht="13.8" x14ac:dyDescent="0.25">
      <c r="A445" t="s">
        <v>126</v>
      </c>
      <c r="B445" t="s">
        <v>13</v>
      </c>
      <c r="C445" s="3" t="s">
        <v>15</v>
      </c>
      <c r="D445" s="4">
        <v>43316</v>
      </c>
      <c r="E445" s="4" t="s">
        <v>108</v>
      </c>
      <c r="F445">
        <v>800</v>
      </c>
      <c r="G445">
        <v>15488</v>
      </c>
      <c r="H445">
        <v>6776</v>
      </c>
      <c r="I445">
        <v>8712</v>
      </c>
    </row>
    <row r="446" spans="1:9" ht="13.8" x14ac:dyDescent="0.25">
      <c r="A446" t="s">
        <v>126</v>
      </c>
      <c r="B446" t="s">
        <v>9</v>
      </c>
      <c r="C446" s="3" t="s">
        <v>10</v>
      </c>
      <c r="D446" s="4">
        <v>43316</v>
      </c>
      <c r="E446" s="4" t="s">
        <v>100</v>
      </c>
      <c r="F446">
        <v>100</v>
      </c>
      <c r="G446">
        <v>2547</v>
      </c>
      <c r="H446">
        <v>1022</v>
      </c>
      <c r="I446">
        <v>1525</v>
      </c>
    </row>
    <row r="447" spans="1:9" ht="13.8" x14ac:dyDescent="0.25">
      <c r="A447" t="s">
        <v>129</v>
      </c>
      <c r="B447" t="s">
        <v>13</v>
      </c>
      <c r="C447" s="3" t="s">
        <v>15</v>
      </c>
      <c r="D447" s="4">
        <v>43317</v>
      </c>
      <c r="E447" s="4" t="s">
        <v>101</v>
      </c>
      <c r="F447">
        <v>200</v>
      </c>
      <c r="G447">
        <v>3418</v>
      </c>
      <c r="H447">
        <v>1694</v>
      </c>
      <c r="I447">
        <v>1724</v>
      </c>
    </row>
    <row r="448" spans="1:9" ht="13.8" x14ac:dyDescent="0.25">
      <c r="A448" t="s">
        <v>130</v>
      </c>
      <c r="B448" t="s">
        <v>9</v>
      </c>
      <c r="C448" s="3" t="s">
        <v>15</v>
      </c>
      <c r="D448" s="4">
        <v>43318</v>
      </c>
      <c r="E448" s="4" t="s">
        <v>105</v>
      </c>
      <c r="F448">
        <v>1000</v>
      </c>
      <c r="G448">
        <v>19530</v>
      </c>
      <c r="H448">
        <v>8470</v>
      </c>
      <c r="I448">
        <v>11060</v>
      </c>
    </row>
    <row r="449" spans="1:9" ht="13.8" x14ac:dyDescent="0.25">
      <c r="A449" t="s">
        <v>131</v>
      </c>
      <c r="B449" t="s">
        <v>14</v>
      </c>
      <c r="C449" s="3" t="s">
        <v>12</v>
      </c>
      <c r="D449" s="4">
        <v>43319</v>
      </c>
      <c r="E449" s="4" t="s">
        <v>124</v>
      </c>
      <c r="F449">
        <v>200</v>
      </c>
      <c r="G449">
        <v>4380</v>
      </c>
      <c r="H449">
        <v>1968</v>
      </c>
      <c r="I449">
        <v>2412</v>
      </c>
    </row>
    <row r="450" spans="1:9" ht="13.8" x14ac:dyDescent="0.25">
      <c r="A450" t="s">
        <v>129</v>
      </c>
      <c r="B450" t="s">
        <v>13</v>
      </c>
      <c r="C450" s="3" t="s">
        <v>12</v>
      </c>
      <c r="D450" s="4">
        <v>43323</v>
      </c>
      <c r="E450" s="4" t="s">
        <v>101</v>
      </c>
      <c r="F450">
        <v>600</v>
      </c>
      <c r="G450">
        <v>13368</v>
      </c>
      <c r="H450">
        <v>5904</v>
      </c>
      <c r="I450">
        <v>7464</v>
      </c>
    </row>
    <row r="451" spans="1:9" ht="13.8" x14ac:dyDescent="0.25">
      <c r="A451" t="s">
        <v>126</v>
      </c>
      <c r="B451" t="s">
        <v>9</v>
      </c>
      <c r="C451" s="3" t="s">
        <v>10</v>
      </c>
      <c r="D451" s="4">
        <v>43324</v>
      </c>
      <c r="E451" s="4" t="s">
        <v>100</v>
      </c>
      <c r="F451">
        <v>200</v>
      </c>
      <c r="G451">
        <v>4550</v>
      </c>
      <c r="H451">
        <v>2044</v>
      </c>
      <c r="I451">
        <v>2506</v>
      </c>
    </row>
    <row r="452" spans="1:9" ht="13.8" x14ac:dyDescent="0.25">
      <c r="A452" t="s">
        <v>126</v>
      </c>
      <c r="B452" t="s">
        <v>13</v>
      </c>
      <c r="C452" s="3" t="s">
        <v>12</v>
      </c>
      <c r="D452" s="4">
        <v>43326</v>
      </c>
      <c r="E452" s="4" t="s">
        <v>108</v>
      </c>
      <c r="F452">
        <v>300</v>
      </c>
      <c r="G452">
        <v>6522</v>
      </c>
      <c r="H452">
        <v>2952</v>
      </c>
      <c r="I452">
        <v>3570</v>
      </c>
    </row>
    <row r="453" spans="1:9" ht="13.8" x14ac:dyDescent="0.25">
      <c r="A453" t="s">
        <v>127</v>
      </c>
      <c r="B453" t="s">
        <v>13</v>
      </c>
      <c r="C453" s="3" t="s">
        <v>12</v>
      </c>
      <c r="D453" s="4">
        <v>43328</v>
      </c>
      <c r="E453" s="4" t="s">
        <v>102</v>
      </c>
      <c r="F453">
        <v>200</v>
      </c>
      <c r="G453">
        <v>4270</v>
      </c>
      <c r="H453">
        <v>1968</v>
      </c>
      <c r="I453">
        <v>2302</v>
      </c>
    </row>
    <row r="454" spans="1:9" ht="13.8" x14ac:dyDescent="0.25">
      <c r="A454" t="s">
        <v>131</v>
      </c>
      <c r="B454" t="s">
        <v>13</v>
      </c>
      <c r="C454" s="3" t="s">
        <v>12</v>
      </c>
      <c r="D454" s="4">
        <v>43328</v>
      </c>
      <c r="E454" s="4" t="s">
        <v>115</v>
      </c>
      <c r="F454">
        <v>700</v>
      </c>
      <c r="G454">
        <v>17213</v>
      </c>
      <c r="H454">
        <v>6888</v>
      </c>
      <c r="I454">
        <v>10325</v>
      </c>
    </row>
    <row r="455" spans="1:9" ht="13.8" x14ac:dyDescent="0.25">
      <c r="A455" t="s">
        <v>16</v>
      </c>
      <c r="B455" t="s">
        <v>13</v>
      </c>
      <c r="C455" s="3" t="s">
        <v>12</v>
      </c>
      <c r="D455" s="4">
        <v>43330</v>
      </c>
      <c r="E455" s="4" t="s">
        <v>112</v>
      </c>
      <c r="F455">
        <v>800</v>
      </c>
      <c r="G455">
        <v>16232</v>
      </c>
      <c r="H455">
        <v>7872</v>
      </c>
      <c r="I455">
        <v>8360</v>
      </c>
    </row>
    <row r="456" spans="1:9" ht="13.8" x14ac:dyDescent="0.25">
      <c r="A456" t="s">
        <v>126</v>
      </c>
      <c r="B456" t="s">
        <v>9</v>
      </c>
      <c r="C456" s="3" t="s">
        <v>10</v>
      </c>
      <c r="D456" s="4">
        <v>43331</v>
      </c>
      <c r="E456" s="4" t="s">
        <v>100</v>
      </c>
      <c r="F456">
        <v>500</v>
      </c>
      <c r="G456">
        <v>12755</v>
      </c>
      <c r="H456">
        <v>5110</v>
      </c>
      <c r="I456">
        <v>7645</v>
      </c>
    </row>
    <row r="457" spans="1:9" ht="13.8" x14ac:dyDescent="0.25">
      <c r="A457" t="s">
        <v>130</v>
      </c>
      <c r="B457" t="s">
        <v>9</v>
      </c>
      <c r="C457" s="3" t="s">
        <v>12</v>
      </c>
      <c r="D457" s="4">
        <v>43332</v>
      </c>
      <c r="E457" s="4" t="s">
        <v>105</v>
      </c>
      <c r="F457">
        <v>200</v>
      </c>
      <c r="G457">
        <v>4470</v>
      </c>
      <c r="H457">
        <v>1968</v>
      </c>
      <c r="I457">
        <v>2502</v>
      </c>
    </row>
    <row r="458" spans="1:9" ht="13.8" x14ac:dyDescent="0.25">
      <c r="A458" t="s">
        <v>126</v>
      </c>
      <c r="B458" t="s">
        <v>9</v>
      </c>
      <c r="C458" s="3" t="s">
        <v>15</v>
      </c>
      <c r="D458" s="4">
        <v>43333</v>
      </c>
      <c r="E458" s="4" t="s">
        <v>100</v>
      </c>
      <c r="F458">
        <v>300</v>
      </c>
      <c r="G458">
        <v>6156</v>
      </c>
      <c r="H458">
        <v>2541</v>
      </c>
      <c r="I458">
        <v>3615</v>
      </c>
    </row>
    <row r="459" spans="1:9" ht="13.8" x14ac:dyDescent="0.25">
      <c r="A459" t="s">
        <v>126</v>
      </c>
      <c r="B459" t="s">
        <v>11</v>
      </c>
      <c r="C459" s="3" t="s">
        <v>15</v>
      </c>
      <c r="D459" s="4">
        <v>43334</v>
      </c>
      <c r="E459" s="4" t="s">
        <v>128</v>
      </c>
      <c r="F459">
        <v>800</v>
      </c>
      <c r="G459">
        <v>15544</v>
      </c>
      <c r="H459">
        <v>6776</v>
      </c>
      <c r="I459">
        <v>8768</v>
      </c>
    </row>
    <row r="460" spans="1:9" ht="13.8" x14ac:dyDescent="0.25">
      <c r="A460" t="s">
        <v>126</v>
      </c>
      <c r="B460" t="s">
        <v>9</v>
      </c>
      <c r="C460" s="3" t="s">
        <v>12</v>
      </c>
      <c r="D460" s="4">
        <v>43336</v>
      </c>
      <c r="E460" s="4" t="s">
        <v>100</v>
      </c>
      <c r="F460">
        <v>100</v>
      </c>
      <c r="G460">
        <v>2409</v>
      </c>
      <c r="H460">
        <v>984</v>
      </c>
      <c r="I460">
        <v>1425</v>
      </c>
    </row>
    <row r="461" spans="1:9" ht="13.8" x14ac:dyDescent="0.25">
      <c r="A461" t="s">
        <v>131</v>
      </c>
      <c r="B461" t="s">
        <v>13</v>
      </c>
      <c r="C461" s="3" t="s">
        <v>10</v>
      </c>
      <c r="D461" s="4">
        <v>43337</v>
      </c>
      <c r="E461" s="4" t="s">
        <v>115</v>
      </c>
      <c r="F461">
        <v>600</v>
      </c>
      <c r="G461">
        <v>12570</v>
      </c>
      <c r="H461">
        <v>6132</v>
      </c>
      <c r="I461">
        <v>6438</v>
      </c>
    </row>
    <row r="462" spans="1:9" ht="13.8" x14ac:dyDescent="0.25">
      <c r="A462" t="s">
        <v>126</v>
      </c>
      <c r="B462" t="s">
        <v>11</v>
      </c>
      <c r="C462" s="3" t="s">
        <v>10</v>
      </c>
      <c r="D462" s="4">
        <v>43337</v>
      </c>
      <c r="E462" s="4" t="s">
        <v>107</v>
      </c>
      <c r="F462">
        <v>300</v>
      </c>
      <c r="G462">
        <v>6438</v>
      </c>
      <c r="H462">
        <v>3066</v>
      </c>
      <c r="I462">
        <v>3372</v>
      </c>
    </row>
    <row r="463" spans="1:9" ht="13.8" x14ac:dyDescent="0.25">
      <c r="A463" t="s">
        <v>126</v>
      </c>
      <c r="B463" t="s">
        <v>9</v>
      </c>
      <c r="C463" s="3" t="s">
        <v>10</v>
      </c>
      <c r="D463" s="4">
        <v>43338</v>
      </c>
      <c r="E463" s="4" t="s">
        <v>100</v>
      </c>
      <c r="F463">
        <v>900</v>
      </c>
      <c r="G463">
        <v>19593</v>
      </c>
      <c r="H463">
        <v>9198</v>
      </c>
      <c r="I463">
        <v>10395</v>
      </c>
    </row>
    <row r="464" spans="1:9" ht="13.8" x14ac:dyDescent="0.25">
      <c r="A464" t="s">
        <v>130</v>
      </c>
      <c r="B464" t="s">
        <v>11</v>
      </c>
      <c r="C464" s="3" t="s">
        <v>15</v>
      </c>
      <c r="D464" s="4">
        <v>43339</v>
      </c>
      <c r="E464" s="4" t="s">
        <v>106</v>
      </c>
      <c r="F464">
        <v>900</v>
      </c>
      <c r="G464">
        <v>18981</v>
      </c>
      <c r="H464">
        <v>7623</v>
      </c>
      <c r="I464">
        <v>11358</v>
      </c>
    </row>
    <row r="465" spans="1:9" ht="13.8" x14ac:dyDescent="0.25">
      <c r="A465" t="s">
        <v>16</v>
      </c>
      <c r="B465" t="s">
        <v>13</v>
      </c>
      <c r="C465" s="3" t="s">
        <v>10</v>
      </c>
      <c r="D465" s="4">
        <v>43340</v>
      </c>
      <c r="E465" s="4" t="s">
        <v>112</v>
      </c>
      <c r="F465">
        <v>800</v>
      </c>
      <c r="G465">
        <v>17160</v>
      </c>
      <c r="H465">
        <v>8176</v>
      </c>
      <c r="I465">
        <v>8984</v>
      </c>
    </row>
    <row r="466" spans="1:9" ht="13.8" x14ac:dyDescent="0.25">
      <c r="A466" t="s">
        <v>126</v>
      </c>
      <c r="B466" t="s">
        <v>11</v>
      </c>
      <c r="C466" s="3" t="s">
        <v>15</v>
      </c>
      <c r="D466" s="4">
        <v>43340</v>
      </c>
      <c r="E466" s="4" t="s">
        <v>107</v>
      </c>
      <c r="F466">
        <v>100</v>
      </c>
      <c r="G466">
        <v>2028</v>
      </c>
      <c r="H466">
        <v>847</v>
      </c>
      <c r="I466">
        <v>1181</v>
      </c>
    </row>
    <row r="467" spans="1:9" ht="13.8" x14ac:dyDescent="0.25">
      <c r="A467" t="s">
        <v>129</v>
      </c>
      <c r="B467" t="s">
        <v>13</v>
      </c>
      <c r="C467" s="3" t="s">
        <v>15</v>
      </c>
      <c r="D467" s="4">
        <v>43340</v>
      </c>
      <c r="E467" s="4" t="s">
        <v>101</v>
      </c>
      <c r="F467">
        <v>300</v>
      </c>
      <c r="G467">
        <v>5859</v>
      </c>
      <c r="H467">
        <v>2541</v>
      </c>
      <c r="I467">
        <v>3318</v>
      </c>
    </row>
    <row r="468" spans="1:9" ht="13.8" x14ac:dyDescent="0.25">
      <c r="A468" t="s">
        <v>129</v>
      </c>
      <c r="B468" t="s">
        <v>13</v>
      </c>
      <c r="C468" s="3" t="s">
        <v>15</v>
      </c>
      <c r="D468" s="4">
        <v>43341</v>
      </c>
      <c r="E468" s="4" t="s">
        <v>117</v>
      </c>
      <c r="F468">
        <v>300</v>
      </c>
      <c r="G468">
        <v>5532</v>
      </c>
      <c r="H468">
        <v>2541</v>
      </c>
      <c r="I468">
        <v>2991</v>
      </c>
    </row>
    <row r="469" spans="1:9" ht="13.8" x14ac:dyDescent="0.25">
      <c r="A469" t="s">
        <v>126</v>
      </c>
      <c r="B469" t="s">
        <v>9</v>
      </c>
      <c r="C469" s="3" t="s">
        <v>10</v>
      </c>
      <c r="D469" s="4">
        <v>43342</v>
      </c>
      <c r="E469" s="4" t="s">
        <v>100</v>
      </c>
      <c r="F469">
        <v>500</v>
      </c>
      <c r="G469">
        <v>12575</v>
      </c>
      <c r="H469">
        <v>5110</v>
      </c>
      <c r="I469">
        <v>7465</v>
      </c>
    </row>
    <row r="470" spans="1:9" ht="13.8" x14ac:dyDescent="0.25">
      <c r="A470" t="s">
        <v>126</v>
      </c>
      <c r="B470" t="s">
        <v>11</v>
      </c>
      <c r="C470" s="3" t="s">
        <v>15</v>
      </c>
      <c r="D470" s="4">
        <v>43344</v>
      </c>
      <c r="E470" s="4" t="s">
        <v>109</v>
      </c>
      <c r="F470">
        <v>800</v>
      </c>
      <c r="G470">
        <v>16144</v>
      </c>
      <c r="H470">
        <v>6776</v>
      </c>
      <c r="I470">
        <v>9368</v>
      </c>
    </row>
    <row r="471" spans="1:9" ht="13.8" x14ac:dyDescent="0.25">
      <c r="A471" t="s">
        <v>130</v>
      </c>
      <c r="B471" t="s">
        <v>9</v>
      </c>
      <c r="C471" s="3" t="s">
        <v>12</v>
      </c>
      <c r="D471" s="4">
        <v>43346</v>
      </c>
      <c r="E471" s="4" t="s">
        <v>105</v>
      </c>
      <c r="F471">
        <v>900</v>
      </c>
      <c r="G471">
        <v>18486</v>
      </c>
      <c r="H471">
        <v>8856</v>
      </c>
      <c r="I471">
        <v>9630</v>
      </c>
    </row>
    <row r="472" spans="1:9" ht="13.8" x14ac:dyDescent="0.25">
      <c r="A472" t="s">
        <v>16</v>
      </c>
      <c r="B472" t="s">
        <v>13</v>
      </c>
      <c r="C472" s="3" t="s">
        <v>15</v>
      </c>
      <c r="D472" s="4">
        <v>43348</v>
      </c>
      <c r="E472" s="4" t="s">
        <v>112</v>
      </c>
      <c r="F472">
        <v>900</v>
      </c>
      <c r="G472">
        <v>17289</v>
      </c>
      <c r="H472">
        <v>7623</v>
      </c>
      <c r="I472">
        <v>9666</v>
      </c>
    </row>
    <row r="473" spans="1:9" ht="13.8" x14ac:dyDescent="0.25">
      <c r="A473" t="s">
        <v>130</v>
      </c>
      <c r="B473" t="s">
        <v>9</v>
      </c>
      <c r="C473" s="3" t="s">
        <v>12</v>
      </c>
      <c r="D473" s="4">
        <v>43348</v>
      </c>
      <c r="E473" s="4" t="s">
        <v>105</v>
      </c>
      <c r="F473">
        <v>100</v>
      </c>
      <c r="G473">
        <v>2106</v>
      </c>
      <c r="H473">
        <v>984</v>
      </c>
      <c r="I473">
        <v>1122</v>
      </c>
    </row>
    <row r="474" spans="1:9" ht="13.8" x14ac:dyDescent="0.25">
      <c r="A474" t="s">
        <v>131</v>
      </c>
      <c r="B474" t="s">
        <v>13</v>
      </c>
      <c r="C474" s="3" t="s">
        <v>12</v>
      </c>
      <c r="D474" s="4">
        <v>43352</v>
      </c>
      <c r="E474" s="4" t="s">
        <v>122</v>
      </c>
      <c r="F474">
        <v>100</v>
      </c>
      <c r="G474">
        <v>2029</v>
      </c>
      <c r="H474">
        <v>984</v>
      </c>
      <c r="I474">
        <v>1045</v>
      </c>
    </row>
    <row r="475" spans="1:9" ht="13.8" x14ac:dyDescent="0.25">
      <c r="A475" t="s">
        <v>130</v>
      </c>
      <c r="B475" t="s">
        <v>11</v>
      </c>
      <c r="C475" s="3" t="s">
        <v>10</v>
      </c>
      <c r="D475" s="4">
        <v>43353</v>
      </c>
      <c r="E475" s="4" t="s">
        <v>106</v>
      </c>
      <c r="F475">
        <v>600</v>
      </c>
      <c r="G475">
        <v>12936</v>
      </c>
      <c r="H475">
        <v>6132</v>
      </c>
      <c r="I475">
        <v>6804</v>
      </c>
    </row>
    <row r="476" spans="1:9" ht="13.8" x14ac:dyDescent="0.25">
      <c r="A476" t="s">
        <v>129</v>
      </c>
      <c r="B476" t="s">
        <v>14</v>
      </c>
      <c r="C476" s="3" t="s">
        <v>12</v>
      </c>
      <c r="D476" s="4">
        <v>43353</v>
      </c>
      <c r="E476" s="4" t="s">
        <v>119</v>
      </c>
      <c r="F476">
        <v>500</v>
      </c>
      <c r="G476">
        <v>11550</v>
      </c>
      <c r="H476">
        <v>4920</v>
      </c>
      <c r="I476">
        <v>6630</v>
      </c>
    </row>
    <row r="477" spans="1:9" ht="13.8" x14ac:dyDescent="0.25">
      <c r="A477" t="s">
        <v>131</v>
      </c>
      <c r="B477" t="s">
        <v>13</v>
      </c>
      <c r="C477" s="3" t="s">
        <v>12</v>
      </c>
      <c r="D477" s="4">
        <v>43355</v>
      </c>
      <c r="E477" s="4" t="s">
        <v>115</v>
      </c>
      <c r="F477">
        <v>600</v>
      </c>
      <c r="G477">
        <v>14580</v>
      </c>
      <c r="H477">
        <v>5904</v>
      </c>
      <c r="I477">
        <v>8676</v>
      </c>
    </row>
    <row r="478" spans="1:9" ht="13.8" x14ac:dyDescent="0.25">
      <c r="A478" t="s">
        <v>126</v>
      </c>
      <c r="B478" t="s">
        <v>11</v>
      </c>
      <c r="C478" s="3" t="s">
        <v>10</v>
      </c>
      <c r="D478" s="4">
        <v>43357</v>
      </c>
      <c r="E478" s="4" t="s">
        <v>109</v>
      </c>
      <c r="F478">
        <v>100</v>
      </c>
      <c r="G478">
        <v>2058</v>
      </c>
      <c r="H478">
        <v>1022</v>
      </c>
      <c r="I478">
        <v>1036</v>
      </c>
    </row>
    <row r="479" spans="1:9" ht="13.8" x14ac:dyDescent="0.25">
      <c r="A479" t="s">
        <v>126</v>
      </c>
      <c r="B479" t="s">
        <v>9</v>
      </c>
      <c r="C479" s="3" t="s">
        <v>12</v>
      </c>
      <c r="D479" s="4">
        <v>43357</v>
      </c>
      <c r="E479" s="4" t="s">
        <v>100</v>
      </c>
      <c r="F479">
        <v>600</v>
      </c>
      <c r="G479">
        <v>13566</v>
      </c>
      <c r="H479">
        <v>5904</v>
      </c>
      <c r="I479">
        <v>7662</v>
      </c>
    </row>
    <row r="480" spans="1:9" ht="13.8" x14ac:dyDescent="0.25">
      <c r="A480" t="s">
        <v>126</v>
      </c>
      <c r="B480" t="s">
        <v>11</v>
      </c>
      <c r="C480" s="3" t="s">
        <v>15</v>
      </c>
      <c r="D480" s="4">
        <v>43360</v>
      </c>
      <c r="E480" s="4" t="s">
        <v>128</v>
      </c>
      <c r="F480">
        <v>100</v>
      </c>
      <c r="G480">
        <v>1741</v>
      </c>
      <c r="H480">
        <v>847</v>
      </c>
      <c r="I480">
        <v>894</v>
      </c>
    </row>
    <row r="481" spans="1:9" ht="13.8" x14ac:dyDescent="0.25">
      <c r="A481" t="s">
        <v>16</v>
      </c>
      <c r="B481" t="s">
        <v>13</v>
      </c>
      <c r="C481" s="3" t="s">
        <v>10</v>
      </c>
      <c r="D481" s="4">
        <v>43361</v>
      </c>
      <c r="E481" s="4" t="s">
        <v>112</v>
      </c>
      <c r="F481">
        <v>200</v>
      </c>
      <c r="G481">
        <v>5002</v>
      </c>
      <c r="H481">
        <v>2044</v>
      </c>
      <c r="I481">
        <v>2958</v>
      </c>
    </row>
    <row r="482" spans="1:9" ht="13.8" x14ac:dyDescent="0.25">
      <c r="A482" t="s">
        <v>126</v>
      </c>
      <c r="B482" t="s">
        <v>13</v>
      </c>
      <c r="C482" s="3" t="s">
        <v>15</v>
      </c>
      <c r="D482" s="4">
        <v>43362</v>
      </c>
      <c r="E482" s="4" t="s">
        <v>108</v>
      </c>
      <c r="F482">
        <v>100</v>
      </c>
      <c r="G482">
        <v>1795</v>
      </c>
      <c r="H482">
        <v>847</v>
      </c>
      <c r="I482">
        <v>948</v>
      </c>
    </row>
    <row r="483" spans="1:9" ht="13.8" x14ac:dyDescent="0.25">
      <c r="A483" t="s">
        <v>126</v>
      </c>
      <c r="B483" t="s">
        <v>11</v>
      </c>
      <c r="C483" s="3" t="s">
        <v>12</v>
      </c>
      <c r="D483" s="4">
        <v>43365</v>
      </c>
      <c r="E483" s="4" t="s">
        <v>107</v>
      </c>
      <c r="F483">
        <v>400</v>
      </c>
      <c r="G483">
        <v>8592</v>
      </c>
      <c r="H483">
        <v>3936</v>
      </c>
      <c r="I483">
        <v>4656</v>
      </c>
    </row>
    <row r="484" spans="1:9" ht="13.8" x14ac:dyDescent="0.25">
      <c r="A484" t="s">
        <v>126</v>
      </c>
      <c r="B484" t="s">
        <v>13</v>
      </c>
      <c r="C484" s="3" t="s">
        <v>12</v>
      </c>
      <c r="D484" s="4">
        <v>43368</v>
      </c>
      <c r="E484" s="4" t="s">
        <v>108</v>
      </c>
      <c r="F484">
        <v>600</v>
      </c>
      <c r="G484">
        <v>12690</v>
      </c>
      <c r="H484">
        <v>5904</v>
      </c>
      <c r="I484">
        <v>6786</v>
      </c>
    </row>
    <row r="485" spans="1:9" ht="13.8" x14ac:dyDescent="0.25">
      <c r="A485" t="s">
        <v>126</v>
      </c>
      <c r="B485" t="s">
        <v>11</v>
      </c>
      <c r="C485" s="3" t="s">
        <v>12</v>
      </c>
      <c r="D485" s="4">
        <v>43368</v>
      </c>
      <c r="E485" s="4" t="s">
        <v>107</v>
      </c>
      <c r="F485">
        <v>300</v>
      </c>
      <c r="G485">
        <v>6582</v>
      </c>
      <c r="H485">
        <v>2952</v>
      </c>
      <c r="I485">
        <v>3630</v>
      </c>
    </row>
    <row r="486" spans="1:9" ht="13.8" x14ac:dyDescent="0.25">
      <c r="A486" t="s">
        <v>126</v>
      </c>
      <c r="B486" t="s">
        <v>11</v>
      </c>
      <c r="C486" s="3" t="s">
        <v>12</v>
      </c>
      <c r="D486" s="4">
        <v>43369</v>
      </c>
      <c r="E486" s="4" t="s">
        <v>128</v>
      </c>
      <c r="F486">
        <v>400</v>
      </c>
      <c r="G486">
        <v>9672</v>
      </c>
      <c r="H486">
        <v>3936</v>
      </c>
      <c r="I486">
        <v>5736</v>
      </c>
    </row>
    <row r="487" spans="1:9" ht="13.8" x14ac:dyDescent="0.25">
      <c r="A487" t="s">
        <v>126</v>
      </c>
      <c r="B487" t="s">
        <v>11</v>
      </c>
      <c r="C487" s="3" t="s">
        <v>10</v>
      </c>
      <c r="D487" s="4">
        <v>43369</v>
      </c>
      <c r="E487" s="4" t="s">
        <v>128</v>
      </c>
      <c r="F487">
        <v>900</v>
      </c>
      <c r="G487">
        <v>22014</v>
      </c>
      <c r="H487">
        <v>9198</v>
      </c>
      <c r="I487">
        <v>12816</v>
      </c>
    </row>
    <row r="488" spans="1:9" ht="13.8" x14ac:dyDescent="0.25">
      <c r="A488" t="s">
        <v>16</v>
      </c>
      <c r="B488" t="s">
        <v>13</v>
      </c>
      <c r="C488" s="3" t="s">
        <v>15</v>
      </c>
      <c r="D488" s="4">
        <v>43370</v>
      </c>
      <c r="E488" s="4" t="s">
        <v>112</v>
      </c>
      <c r="F488">
        <v>1000</v>
      </c>
      <c r="G488">
        <v>18530</v>
      </c>
      <c r="H488">
        <v>8470</v>
      </c>
      <c r="I488">
        <v>10060</v>
      </c>
    </row>
    <row r="489" spans="1:9" ht="13.8" x14ac:dyDescent="0.25">
      <c r="A489" t="s">
        <v>129</v>
      </c>
      <c r="B489" t="s">
        <v>13</v>
      </c>
      <c r="C489" s="3" t="s">
        <v>12</v>
      </c>
      <c r="D489" s="4">
        <v>43370</v>
      </c>
      <c r="E489" s="4" t="s">
        <v>101</v>
      </c>
      <c r="F489">
        <v>600</v>
      </c>
      <c r="G489">
        <v>14004</v>
      </c>
      <c r="H489">
        <v>5904</v>
      </c>
      <c r="I489">
        <v>8100</v>
      </c>
    </row>
    <row r="490" spans="1:9" ht="13.8" x14ac:dyDescent="0.25">
      <c r="A490" t="s">
        <v>129</v>
      </c>
      <c r="B490" t="s">
        <v>13</v>
      </c>
      <c r="C490" s="3" t="s">
        <v>15</v>
      </c>
      <c r="D490" s="4">
        <v>43371</v>
      </c>
      <c r="E490" s="4" t="s">
        <v>101</v>
      </c>
      <c r="F490">
        <v>700</v>
      </c>
      <c r="G490">
        <v>13139</v>
      </c>
      <c r="H490">
        <v>5929</v>
      </c>
      <c r="I490">
        <v>7210</v>
      </c>
    </row>
    <row r="491" spans="1:9" ht="13.8" x14ac:dyDescent="0.25">
      <c r="A491" t="s">
        <v>131</v>
      </c>
      <c r="B491" t="s">
        <v>13</v>
      </c>
      <c r="C491" s="3" t="s">
        <v>15</v>
      </c>
      <c r="D491" s="4">
        <v>43372</v>
      </c>
      <c r="E491" s="4" t="s">
        <v>115</v>
      </c>
      <c r="F491">
        <v>500</v>
      </c>
      <c r="G491">
        <v>8715</v>
      </c>
      <c r="H491">
        <v>4235</v>
      </c>
      <c r="I491">
        <v>4480</v>
      </c>
    </row>
    <row r="492" spans="1:9" ht="13.8" x14ac:dyDescent="0.25">
      <c r="A492" t="s">
        <v>126</v>
      </c>
      <c r="B492" t="s">
        <v>11</v>
      </c>
      <c r="C492" s="3" t="s">
        <v>15</v>
      </c>
      <c r="D492" s="4">
        <v>43375</v>
      </c>
      <c r="E492" s="4" t="s">
        <v>109</v>
      </c>
      <c r="F492">
        <v>400</v>
      </c>
      <c r="G492">
        <v>6944</v>
      </c>
      <c r="H492">
        <v>3388</v>
      </c>
      <c r="I492">
        <v>3556</v>
      </c>
    </row>
    <row r="493" spans="1:9" ht="13.8" x14ac:dyDescent="0.25">
      <c r="A493" t="s">
        <v>129</v>
      </c>
      <c r="B493" t="s">
        <v>13</v>
      </c>
      <c r="C493" s="3" t="s">
        <v>10</v>
      </c>
      <c r="D493" s="4">
        <v>43376</v>
      </c>
      <c r="E493" s="4" t="s">
        <v>101</v>
      </c>
      <c r="F493">
        <v>500</v>
      </c>
      <c r="G493">
        <v>12760</v>
      </c>
      <c r="H493">
        <v>5110</v>
      </c>
      <c r="I493">
        <v>7650</v>
      </c>
    </row>
    <row r="494" spans="1:9" ht="13.8" x14ac:dyDescent="0.25">
      <c r="A494" t="s">
        <v>129</v>
      </c>
      <c r="B494" t="s">
        <v>13</v>
      </c>
      <c r="C494" s="3" t="s">
        <v>10</v>
      </c>
      <c r="D494" s="4">
        <v>43378</v>
      </c>
      <c r="E494" s="4" t="s">
        <v>101</v>
      </c>
      <c r="F494">
        <v>1000</v>
      </c>
      <c r="G494">
        <v>24070</v>
      </c>
      <c r="H494">
        <v>10220</v>
      </c>
      <c r="I494">
        <v>13850</v>
      </c>
    </row>
    <row r="495" spans="1:9" ht="13.8" x14ac:dyDescent="0.25">
      <c r="A495" t="s">
        <v>130</v>
      </c>
      <c r="B495" t="s">
        <v>9</v>
      </c>
      <c r="C495" s="3" t="s">
        <v>12</v>
      </c>
      <c r="D495" s="4">
        <v>43379</v>
      </c>
      <c r="E495" s="4" t="s">
        <v>105</v>
      </c>
      <c r="F495">
        <v>200</v>
      </c>
      <c r="G495">
        <v>4186</v>
      </c>
      <c r="H495">
        <v>1968</v>
      </c>
      <c r="I495">
        <v>2218</v>
      </c>
    </row>
    <row r="496" spans="1:9" ht="13.8" x14ac:dyDescent="0.25">
      <c r="A496" t="s">
        <v>130</v>
      </c>
      <c r="B496" t="s">
        <v>11</v>
      </c>
      <c r="C496" s="3" t="s">
        <v>15</v>
      </c>
      <c r="D496" s="4">
        <v>43380</v>
      </c>
      <c r="E496" s="4" t="s">
        <v>106</v>
      </c>
      <c r="F496">
        <v>700</v>
      </c>
      <c r="G496">
        <v>13195</v>
      </c>
      <c r="H496">
        <v>5929</v>
      </c>
      <c r="I496">
        <v>7266</v>
      </c>
    </row>
    <row r="497" spans="1:9" ht="13.8" x14ac:dyDescent="0.25">
      <c r="A497" t="s">
        <v>126</v>
      </c>
      <c r="B497" t="s">
        <v>11</v>
      </c>
      <c r="C497" s="3" t="s">
        <v>15</v>
      </c>
      <c r="D497" s="4">
        <v>43381</v>
      </c>
      <c r="E497" s="4" t="s">
        <v>128</v>
      </c>
      <c r="F497">
        <v>200</v>
      </c>
      <c r="G497">
        <v>3922</v>
      </c>
      <c r="H497">
        <v>1694</v>
      </c>
      <c r="I497">
        <v>2228</v>
      </c>
    </row>
    <row r="498" spans="1:9" ht="13.8" x14ac:dyDescent="0.25">
      <c r="A498" t="s">
        <v>131</v>
      </c>
      <c r="B498" t="s">
        <v>13</v>
      </c>
      <c r="C498" s="3" t="s">
        <v>12</v>
      </c>
      <c r="D498" s="4">
        <v>43382</v>
      </c>
      <c r="E498" s="4" t="s">
        <v>115</v>
      </c>
      <c r="F498">
        <v>1000</v>
      </c>
      <c r="G498">
        <v>23970</v>
      </c>
      <c r="H498">
        <v>9840</v>
      </c>
      <c r="I498">
        <v>14130</v>
      </c>
    </row>
    <row r="499" spans="1:9" ht="13.8" x14ac:dyDescent="0.25">
      <c r="A499" t="s">
        <v>16</v>
      </c>
      <c r="B499" t="s">
        <v>9</v>
      </c>
      <c r="C499" s="3" t="s">
        <v>15</v>
      </c>
      <c r="D499" s="4">
        <v>43384</v>
      </c>
      <c r="E499" s="4" t="s">
        <v>120</v>
      </c>
      <c r="F499">
        <v>500</v>
      </c>
      <c r="G499">
        <v>8940</v>
      </c>
      <c r="H499">
        <v>4235</v>
      </c>
      <c r="I499">
        <v>4705</v>
      </c>
    </row>
    <row r="500" spans="1:9" ht="13.8" x14ac:dyDescent="0.25">
      <c r="A500" t="s">
        <v>16</v>
      </c>
      <c r="B500" t="s">
        <v>13</v>
      </c>
      <c r="C500" s="3" t="s">
        <v>10</v>
      </c>
      <c r="D500" s="4">
        <v>43385</v>
      </c>
      <c r="E500" s="4" t="s">
        <v>112</v>
      </c>
      <c r="F500">
        <v>200</v>
      </c>
      <c r="G500">
        <v>5002</v>
      </c>
      <c r="H500">
        <v>2044</v>
      </c>
      <c r="I500">
        <v>2958</v>
      </c>
    </row>
    <row r="501" spans="1:9" ht="13.8" x14ac:dyDescent="0.25">
      <c r="A501" t="s">
        <v>130</v>
      </c>
      <c r="B501" t="s">
        <v>9</v>
      </c>
      <c r="C501" s="3" t="s">
        <v>15</v>
      </c>
      <c r="D501" s="4">
        <v>43387</v>
      </c>
      <c r="E501" s="4" t="s">
        <v>121</v>
      </c>
      <c r="F501">
        <v>1000</v>
      </c>
      <c r="G501">
        <v>17190</v>
      </c>
      <c r="H501">
        <v>8470</v>
      </c>
      <c r="I501">
        <v>8720</v>
      </c>
    </row>
    <row r="502" spans="1:9" ht="13.8" x14ac:dyDescent="0.25">
      <c r="A502" t="s">
        <v>126</v>
      </c>
      <c r="B502" t="s">
        <v>13</v>
      </c>
      <c r="C502" s="3" t="s">
        <v>10</v>
      </c>
      <c r="D502" s="4">
        <v>43389</v>
      </c>
      <c r="E502" s="4" t="s">
        <v>108</v>
      </c>
      <c r="F502">
        <v>900</v>
      </c>
      <c r="G502">
        <v>21042</v>
      </c>
      <c r="H502">
        <v>9198</v>
      </c>
      <c r="I502">
        <v>11844</v>
      </c>
    </row>
    <row r="503" spans="1:9" ht="13.8" x14ac:dyDescent="0.25">
      <c r="A503" t="s">
        <v>126</v>
      </c>
      <c r="B503" t="s">
        <v>11</v>
      </c>
      <c r="C503" s="3" t="s">
        <v>12</v>
      </c>
      <c r="D503" s="4">
        <v>43389</v>
      </c>
      <c r="E503" s="4" t="s">
        <v>107</v>
      </c>
      <c r="F503">
        <v>500</v>
      </c>
      <c r="G503">
        <v>11530</v>
      </c>
      <c r="H503">
        <v>4920</v>
      </c>
      <c r="I503">
        <v>6610</v>
      </c>
    </row>
    <row r="504" spans="1:9" ht="13.8" x14ac:dyDescent="0.25">
      <c r="A504" t="s">
        <v>16</v>
      </c>
      <c r="B504" t="s">
        <v>9</v>
      </c>
      <c r="C504" s="3" t="s">
        <v>15</v>
      </c>
      <c r="D504" s="4">
        <v>43390</v>
      </c>
      <c r="E504" s="4" t="s">
        <v>125</v>
      </c>
      <c r="F504">
        <v>800</v>
      </c>
      <c r="G504">
        <v>15312</v>
      </c>
      <c r="H504">
        <v>6776</v>
      </c>
      <c r="I504">
        <v>8536</v>
      </c>
    </row>
    <row r="505" spans="1:9" ht="13.8" x14ac:dyDescent="0.25">
      <c r="A505" t="s">
        <v>130</v>
      </c>
      <c r="B505" t="s">
        <v>11</v>
      </c>
      <c r="C505" s="3" t="s">
        <v>10</v>
      </c>
      <c r="D505" s="4">
        <v>43391</v>
      </c>
      <c r="E505" s="4" t="s">
        <v>106</v>
      </c>
      <c r="F505">
        <v>900</v>
      </c>
      <c r="G505">
        <v>19161</v>
      </c>
      <c r="H505">
        <v>9198</v>
      </c>
      <c r="I505">
        <v>9963</v>
      </c>
    </row>
    <row r="506" spans="1:9" ht="13.8" x14ac:dyDescent="0.25">
      <c r="A506" t="s">
        <v>126</v>
      </c>
      <c r="B506" t="s">
        <v>11</v>
      </c>
      <c r="C506" s="3" t="s">
        <v>10</v>
      </c>
      <c r="D506" s="4">
        <v>43392</v>
      </c>
      <c r="E506" s="4" t="s">
        <v>109</v>
      </c>
      <c r="F506">
        <v>500</v>
      </c>
      <c r="G506">
        <v>10940</v>
      </c>
      <c r="H506">
        <v>5110</v>
      </c>
      <c r="I506">
        <v>5830</v>
      </c>
    </row>
    <row r="507" spans="1:9" ht="13.8" x14ac:dyDescent="0.25">
      <c r="A507" t="s">
        <v>126</v>
      </c>
      <c r="B507" t="s">
        <v>9</v>
      </c>
      <c r="C507" s="3" t="s">
        <v>15</v>
      </c>
      <c r="D507" s="4">
        <v>43393</v>
      </c>
      <c r="E507" s="4" t="s">
        <v>100</v>
      </c>
      <c r="F507">
        <v>1000</v>
      </c>
      <c r="G507">
        <v>21010</v>
      </c>
      <c r="H507">
        <v>8470</v>
      </c>
      <c r="I507">
        <v>12540</v>
      </c>
    </row>
    <row r="508" spans="1:9" ht="13.8" x14ac:dyDescent="0.25">
      <c r="A508" t="s">
        <v>131</v>
      </c>
      <c r="B508" t="s">
        <v>13</v>
      </c>
      <c r="C508" s="3" t="s">
        <v>15</v>
      </c>
      <c r="D508" s="4">
        <v>43395</v>
      </c>
      <c r="E508" s="4" t="s">
        <v>115</v>
      </c>
      <c r="F508">
        <v>900</v>
      </c>
      <c r="G508">
        <v>18576</v>
      </c>
      <c r="H508">
        <v>7623</v>
      </c>
      <c r="I508">
        <v>10953</v>
      </c>
    </row>
    <row r="509" spans="1:9" ht="13.8" x14ac:dyDescent="0.25">
      <c r="A509" t="s">
        <v>126</v>
      </c>
      <c r="B509" t="s">
        <v>11</v>
      </c>
      <c r="C509" s="3" t="s">
        <v>12</v>
      </c>
      <c r="D509" s="4">
        <v>43395</v>
      </c>
      <c r="E509" s="4" t="s">
        <v>109</v>
      </c>
      <c r="F509">
        <v>200</v>
      </c>
      <c r="G509">
        <v>4484</v>
      </c>
      <c r="H509">
        <v>1968</v>
      </c>
      <c r="I509">
        <v>2516</v>
      </c>
    </row>
    <row r="510" spans="1:9" ht="13.8" x14ac:dyDescent="0.25">
      <c r="A510" t="s">
        <v>126</v>
      </c>
      <c r="B510" t="s">
        <v>11</v>
      </c>
      <c r="C510" s="3" t="s">
        <v>12</v>
      </c>
      <c r="D510" s="4">
        <v>43395</v>
      </c>
      <c r="E510" s="4" t="s">
        <v>128</v>
      </c>
      <c r="F510">
        <v>700</v>
      </c>
      <c r="G510">
        <v>13797</v>
      </c>
      <c r="H510">
        <v>6888</v>
      </c>
      <c r="I510">
        <v>6909</v>
      </c>
    </row>
    <row r="511" spans="1:9" ht="13.8" x14ac:dyDescent="0.25">
      <c r="A511" t="s">
        <v>126</v>
      </c>
      <c r="B511" t="s">
        <v>11</v>
      </c>
      <c r="C511" s="3" t="s">
        <v>15</v>
      </c>
      <c r="D511" s="4">
        <v>43396</v>
      </c>
      <c r="E511" s="4" t="s">
        <v>109</v>
      </c>
      <c r="F511">
        <v>700</v>
      </c>
      <c r="G511">
        <v>12131</v>
      </c>
      <c r="H511">
        <v>5929</v>
      </c>
      <c r="I511">
        <v>6202</v>
      </c>
    </row>
    <row r="512" spans="1:9" ht="13.8" x14ac:dyDescent="0.25">
      <c r="A512" t="s">
        <v>16</v>
      </c>
      <c r="B512" t="s">
        <v>13</v>
      </c>
      <c r="C512" s="3" t="s">
        <v>12</v>
      </c>
      <c r="D512" s="4">
        <v>43398</v>
      </c>
      <c r="E512" s="4" t="s">
        <v>112</v>
      </c>
      <c r="F512">
        <v>500</v>
      </c>
      <c r="G512">
        <v>11250</v>
      </c>
      <c r="H512">
        <v>4920</v>
      </c>
      <c r="I512">
        <v>6330</v>
      </c>
    </row>
    <row r="513" spans="1:9" ht="13.8" x14ac:dyDescent="0.25">
      <c r="A513" t="s">
        <v>126</v>
      </c>
      <c r="B513" t="s">
        <v>11</v>
      </c>
      <c r="C513" s="3" t="s">
        <v>12</v>
      </c>
      <c r="D513" s="4">
        <v>43399</v>
      </c>
      <c r="E513" s="4" t="s">
        <v>109</v>
      </c>
      <c r="F513">
        <v>500</v>
      </c>
      <c r="G513">
        <v>11430</v>
      </c>
      <c r="H513">
        <v>4920</v>
      </c>
      <c r="I513">
        <v>6510</v>
      </c>
    </row>
    <row r="514" spans="1:9" ht="13.8" x14ac:dyDescent="0.25">
      <c r="A514" t="s">
        <v>130</v>
      </c>
      <c r="B514" t="s">
        <v>9</v>
      </c>
      <c r="C514" s="3" t="s">
        <v>10</v>
      </c>
      <c r="D514" s="4">
        <v>43402</v>
      </c>
      <c r="E514" s="4" t="s">
        <v>105</v>
      </c>
      <c r="F514">
        <v>100</v>
      </c>
      <c r="G514">
        <v>2234</v>
      </c>
      <c r="H514">
        <v>1022</v>
      </c>
      <c r="I514">
        <v>1212</v>
      </c>
    </row>
    <row r="515" spans="1:9" ht="13.8" x14ac:dyDescent="0.25">
      <c r="A515" t="s">
        <v>130</v>
      </c>
      <c r="B515" t="s">
        <v>11</v>
      </c>
      <c r="C515" s="3" t="s">
        <v>10</v>
      </c>
      <c r="D515" s="4">
        <v>43404</v>
      </c>
      <c r="E515" s="4" t="s">
        <v>106</v>
      </c>
      <c r="F515">
        <v>100</v>
      </c>
      <c r="G515">
        <v>2092</v>
      </c>
      <c r="H515">
        <v>1022</v>
      </c>
      <c r="I515">
        <v>1070</v>
      </c>
    </row>
    <row r="516" spans="1:9" ht="13.8" x14ac:dyDescent="0.25">
      <c r="A516" t="s">
        <v>16</v>
      </c>
      <c r="B516" t="s">
        <v>13</v>
      </c>
      <c r="C516" s="3" t="s">
        <v>10</v>
      </c>
      <c r="D516" s="4">
        <v>43404</v>
      </c>
      <c r="E516" s="4" t="s">
        <v>112</v>
      </c>
      <c r="F516">
        <v>600</v>
      </c>
      <c r="G516">
        <v>13818</v>
      </c>
      <c r="H516">
        <v>6132</v>
      </c>
      <c r="I516">
        <v>7686</v>
      </c>
    </row>
    <row r="517" spans="1:9" ht="13.8" x14ac:dyDescent="0.25">
      <c r="A517" t="s">
        <v>16</v>
      </c>
      <c r="B517" t="s">
        <v>9</v>
      </c>
      <c r="C517" s="3" t="s">
        <v>10</v>
      </c>
      <c r="D517" s="4">
        <v>43408</v>
      </c>
      <c r="E517" s="4" t="s">
        <v>120</v>
      </c>
      <c r="F517">
        <v>600</v>
      </c>
      <c r="G517">
        <v>12612</v>
      </c>
      <c r="H517">
        <v>6132</v>
      </c>
      <c r="I517">
        <v>6480</v>
      </c>
    </row>
    <row r="518" spans="1:9" ht="13.8" x14ac:dyDescent="0.25">
      <c r="A518" t="s">
        <v>127</v>
      </c>
      <c r="B518" t="s">
        <v>11</v>
      </c>
      <c r="C518" s="3" t="s">
        <v>15</v>
      </c>
      <c r="D518" s="4">
        <v>43409</v>
      </c>
      <c r="E518" s="4" t="s">
        <v>123</v>
      </c>
      <c r="F518">
        <v>800</v>
      </c>
      <c r="G518">
        <v>15104</v>
      </c>
      <c r="H518">
        <v>6776</v>
      </c>
      <c r="I518">
        <v>8328</v>
      </c>
    </row>
    <row r="519" spans="1:9" ht="13.8" x14ac:dyDescent="0.25">
      <c r="A519" t="s">
        <v>16</v>
      </c>
      <c r="B519" t="s">
        <v>13</v>
      </c>
      <c r="C519" s="3" t="s">
        <v>10</v>
      </c>
      <c r="D519" s="4">
        <v>43412</v>
      </c>
      <c r="E519" s="4" t="s">
        <v>112</v>
      </c>
      <c r="F519">
        <v>700</v>
      </c>
      <c r="G519">
        <v>16576</v>
      </c>
      <c r="H519">
        <v>7154</v>
      </c>
      <c r="I519">
        <v>9422</v>
      </c>
    </row>
    <row r="520" spans="1:9" ht="13.8" x14ac:dyDescent="0.25">
      <c r="A520" t="s">
        <v>130</v>
      </c>
      <c r="B520" t="s">
        <v>9</v>
      </c>
      <c r="C520" s="3" t="s">
        <v>10</v>
      </c>
      <c r="D520" s="4">
        <v>43413</v>
      </c>
      <c r="E520" s="4" t="s">
        <v>105</v>
      </c>
      <c r="F520">
        <v>700</v>
      </c>
      <c r="G520">
        <v>17059</v>
      </c>
      <c r="H520">
        <v>7154</v>
      </c>
      <c r="I520">
        <v>9905</v>
      </c>
    </row>
    <row r="521" spans="1:9" ht="13.8" x14ac:dyDescent="0.25">
      <c r="A521" t="s">
        <v>126</v>
      </c>
      <c r="B521" t="s">
        <v>11</v>
      </c>
      <c r="C521" s="3" t="s">
        <v>12</v>
      </c>
      <c r="D521" s="4">
        <v>43417</v>
      </c>
      <c r="E521" s="4" t="s">
        <v>109</v>
      </c>
      <c r="F521">
        <v>800</v>
      </c>
      <c r="G521">
        <v>19424</v>
      </c>
      <c r="H521">
        <v>7872</v>
      </c>
      <c r="I521">
        <v>11552</v>
      </c>
    </row>
    <row r="522" spans="1:9" ht="13.8" x14ac:dyDescent="0.25">
      <c r="A522" t="s">
        <v>129</v>
      </c>
      <c r="B522" t="s">
        <v>13</v>
      </c>
      <c r="C522" s="3" t="s">
        <v>12</v>
      </c>
      <c r="D522" s="4">
        <v>43417</v>
      </c>
      <c r="E522" s="4" t="s">
        <v>101</v>
      </c>
      <c r="F522">
        <v>700</v>
      </c>
      <c r="G522">
        <v>14784</v>
      </c>
      <c r="H522">
        <v>6888</v>
      </c>
      <c r="I522">
        <v>7896</v>
      </c>
    </row>
    <row r="523" spans="1:9" ht="13.8" x14ac:dyDescent="0.25">
      <c r="A523" t="s">
        <v>126</v>
      </c>
      <c r="B523" t="s">
        <v>9</v>
      </c>
      <c r="C523" s="3" t="s">
        <v>12</v>
      </c>
      <c r="D523" s="4">
        <v>43418</v>
      </c>
      <c r="E523" s="4" t="s">
        <v>100</v>
      </c>
      <c r="F523">
        <v>1000</v>
      </c>
      <c r="G523">
        <v>21740</v>
      </c>
      <c r="H523">
        <v>9840</v>
      </c>
      <c r="I523">
        <v>11900</v>
      </c>
    </row>
    <row r="524" spans="1:9" ht="13.8" x14ac:dyDescent="0.25">
      <c r="A524" t="s">
        <v>126</v>
      </c>
      <c r="B524" t="s">
        <v>9</v>
      </c>
      <c r="C524" s="3" t="s">
        <v>12</v>
      </c>
      <c r="D524" s="4">
        <v>43419</v>
      </c>
      <c r="E524" s="4" t="s">
        <v>100</v>
      </c>
      <c r="F524">
        <v>900</v>
      </c>
      <c r="G524">
        <v>19674</v>
      </c>
      <c r="H524">
        <v>8856</v>
      </c>
      <c r="I524">
        <v>10818</v>
      </c>
    </row>
    <row r="525" spans="1:9" ht="13.8" x14ac:dyDescent="0.25">
      <c r="A525" t="s">
        <v>129</v>
      </c>
      <c r="B525" t="s">
        <v>13</v>
      </c>
      <c r="C525" s="3" t="s">
        <v>15</v>
      </c>
      <c r="D525" s="4">
        <v>43419</v>
      </c>
      <c r="E525" s="4" t="s">
        <v>101</v>
      </c>
      <c r="F525">
        <v>500</v>
      </c>
      <c r="G525">
        <v>8970</v>
      </c>
      <c r="H525">
        <v>4235</v>
      </c>
      <c r="I525">
        <v>4735</v>
      </c>
    </row>
    <row r="526" spans="1:9" ht="13.8" x14ac:dyDescent="0.25">
      <c r="A526" t="s">
        <v>130</v>
      </c>
      <c r="B526" t="s">
        <v>9</v>
      </c>
      <c r="C526" s="3" t="s">
        <v>10</v>
      </c>
      <c r="D526" s="4">
        <v>43421</v>
      </c>
      <c r="E526" s="4" t="s">
        <v>105</v>
      </c>
      <c r="F526">
        <v>600</v>
      </c>
      <c r="G526">
        <v>13680</v>
      </c>
      <c r="H526">
        <v>6132</v>
      </c>
      <c r="I526">
        <v>7548</v>
      </c>
    </row>
    <row r="527" spans="1:9" ht="13.8" x14ac:dyDescent="0.25">
      <c r="A527" t="s">
        <v>126</v>
      </c>
      <c r="B527" t="s">
        <v>11</v>
      </c>
      <c r="C527" s="3" t="s">
        <v>12</v>
      </c>
      <c r="D527" s="4">
        <v>43423</v>
      </c>
      <c r="E527" s="4" t="s">
        <v>109</v>
      </c>
      <c r="F527">
        <v>800</v>
      </c>
      <c r="G527">
        <v>17136</v>
      </c>
      <c r="H527">
        <v>7872</v>
      </c>
      <c r="I527">
        <v>9264</v>
      </c>
    </row>
    <row r="528" spans="1:9" ht="13.8" x14ac:dyDescent="0.25">
      <c r="A528" t="s">
        <v>129</v>
      </c>
      <c r="B528" t="s">
        <v>13</v>
      </c>
      <c r="C528" s="3" t="s">
        <v>15</v>
      </c>
      <c r="D528" s="4">
        <v>43424</v>
      </c>
      <c r="E528" s="4" t="s">
        <v>101</v>
      </c>
      <c r="F528">
        <v>400</v>
      </c>
      <c r="G528">
        <v>6880</v>
      </c>
      <c r="H528">
        <v>3388</v>
      </c>
      <c r="I528">
        <v>3492</v>
      </c>
    </row>
    <row r="529" spans="1:9" ht="13.8" x14ac:dyDescent="0.25">
      <c r="A529" t="s">
        <v>130</v>
      </c>
      <c r="B529" t="s">
        <v>9</v>
      </c>
      <c r="C529" s="3" t="s">
        <v>12</v>
      </c>
      <c r="D529" s="4">
        <v>43425</v>
      </c>
      <c r="E529" s="4" t="s">
        <v>105</v>
      </c>
      <c r="F529">
        <v>500</v>
      </c>
      <c r="G529">
        <v>11330</v>
      </c>
      <c r="H529">
        <v>4920</v>
      </c>
      <c r="I529">
        <v>6410</v>
      </c>
    </row>
    <row r="530" spans="1:9" ht="13.8" x14ac:dyDescent="0.25">
      <c r="A530" t="s">
        <v>16</v>
      </c>
      <c r="B530" t="s">
        <v>13</v>
      </c>
      <c r="C530" s="3" t="s">
        <v>12</v>
      </c>
      <c r="D530" s="4">
        <v>43426</v>
      </c>
      <c r="E530" s="4" t="s">
        <v>112</v>
      </c>
      <c r="F530">
        <v>200</v>
      </c>
      <c r="G530">
        <v>4412</v>
      </c>
      <c r="H530">
        <v>1968</v>
      </c>
      <c r="I530">
        <v>2444</v>
      </c>
    </row>
    <row r="531" spans="1:9" ht="13.8" x14ac:dyDescent="0.25">
      <c r="A531" t="s">
        <v>126</v>
      </c>
      <c r="B531" t="s">
        <v>11</v>
      </c>
      <c r="C531" s="3" t="s">
        <v>12</v>
      </c>
      <c r="D531" s="4">
        <v>43427</v>
      </c>
      <c r="E531" s="4" t="s">
        <v>109</v>
      </c>
      <c r="F531">
        <v>400</v>
      </c>
      <c r="G531">
        <v>9484</v>
      </c>
      <c r="H531">
        <v>3936</v>
      </c>
      <c r="I531">
        <v>5548</v>
      </c>
    </row>
    <row r="532" spans="1:9" ht="13.8" x14ac:dyDescent="0.25">
      <c r="A532" t="s">
        <v>126</v>
      </c>
      <c r="B532" t="s">
        <v>11</v>
      </c>
      <c r="C532" s="3" t="s">
        <v>12</v>
      </c>
      <c r="D532" s="4">
        <v>43428</v>
      </c>
      <c r="E532" s="4" t="s">
        <v>109</v>
      </c>
      <c r="F532">
        <v>400</v>
      </c>
      <c r="G532">
        <v>8204</v>
      </c>
      <c r="H532">
        <v>3936</v>
      </c>
      <c r="I532">
        <v>4268</v>
      </c>
    </row>
    <row r="533" spans="1:9" ht="13.8" x14ac:dyDescent="0.25">
      <c r="A533" t="s">
        <v>131</v>
      </c>
      <c r="B533" t="s">
        <v>14</v>
      </c>
      <c r="C533" s="3" t="s">
        <v>10</v>
      </c>
      <c r="D533" s="4">
        <v>43429</v>
      </c>
      <c r="E533" s="4" t="s">
        <v>124</v>
      </c>
      <c r="F533">
        <v>400</v>
      </c>
      <c r="G533">
        <v>8556</v>
      </c>
      <c r="H533">
        <v>4088</v>
      </c>
      <c r="I533">
        <v>4468</v>
      </c>
    </row>
    <row r="534" spans="1:9" ht="13.8" x14ac:dyDescent="0.25">
      <c r="A534" t="s">
        <v>126</v>
      </c>
      <c r="B534" t="s">
        <v>11</v>
      </c>
      <c r="C534" s="3" t="s">
        <v>12</v>
      </c>
      <c r="D534" s="4">
        <v>43432</v>
      </c>
      <c r="E534" s="4" t="s">
        <v>109</v>
      </c>
      <c r="F534">
        <v>400</v>
      </c>
      <c r="G534">
        <v>8464</v>
      </c>
      <c r="H534">
        <v>3936</v>
      </c>
      <c r="I534">
        <v>4528</v>
      </c>
    </row>
    <row r="535" spans="1:9" ht="13.8" x14ac:dyDescent="0.25">
      <c r="A535" t="s">
        <v>130</v>
      </c>
      <c r="B535" t="s">
        <v>9</v>
      </c>
      <c r="C535" s="3" t="s">
        <v>10</v>
      </c>
      <c r="D535" s="4">
        <v>43432</v>
      </c>
      <c r="E535" s="4" t="s">
        <v>105</v>
      </c>
      <c r="F535">
        <v>500</v>
      </c>
      <c r="G535">
        <v>11470</v>
      </c>
      <c r="H535">
        <v>5110</v>
      </c>
      <c r="I535">
        <v>6360</v>
      </c>
    </row>
    <row r="536" spans="1:9" ht="13.8" x14ac:dyDescent="0.25">
      <c r="A536" t="s">
        <v>126</v>
      </c>
      <c r="B536" t="s">
        <v>13</v>
      </c>
      <c r="C536" s="3" t="s">
        <v>12</v>
      </c>
      <c r="D536" s="4">
        <v>43433</v>
      </c>
      <c r="E536" s="4" t="s">
        <v>108</v>
      </c>
      <c r="F536">
        <v>600</v>
      </c>
      <c r="G536">
        <v>14154</v>
      </c>
      <c r="H536">
        <v>5904</v>
      </c>
      <c r="I536">
        <v>8250</v>
      </c>
    </row>
    <row r="537" spans="1:9" ht="13.8" x14ac:dyDescent="0.25">
      <c r="A537" t="s">
        <v>129</v>
      </c>
      <c r="B537" t="s">
        <v>13</v>
      </c>
      <c r="C537" s="3" t="s">
        <v>12</v>
      </c>
      <c r="D537" s="4">
        <v>43434</v>
      </c>
      <c r="E537" s="4" t="s">
        <v>101</v>
      </c>
      <c r="F537">
        <v>800</v>
      </c>
      <c r="G537">
        <v>19280</v>
      </c>
      <c r="H537">
        <v>7872</v>
      </c>
      <c r="I537">
        <v>11408</v>
      </c>
    </row>
    <row r="538" spans="1:9" ht="13.8" x14ac:dyDescent="0.25">
      <c r="A538" t="s">
        <v>130</v>
      </c>
      <c r="B538" t="s">
        <v>9</v>
      </c>
      <c r="C538" s="3" t="s">
        <v>10</v>
      </c>
      <c r="D538" s="4">
        <v>43435</v>
      </c>
      <c r="E538" s="4" t="s">
        <v>105</v>
      </c>
      <c r="F538">
        <v>900</v>
      </c>
      <c r="G538">
        <v>22887</v>
      </c>
      <c r="H538">
        <v>9198</v>
      </c>
      <c r="I538">
        <v>13689</v>
      </c>
    </row>
    <row r="539" spans="1:9" ht="13.8" x14ac:dyDescent="0.25">
      <c r="A539" t="s">
        <v>130</v>
      </c>
      <c r="B539" t="s">
        <v>11</v>
      </c>
      <c r="C539" s="3" t="s">
        <v>10</v>
      </c>
      <c r="D539" s="4">
        <v>43436</v>
      </c>
      <c r="E539" s="4" t="s">
        <v>106</v>
      </c>
      <c r="F539">
        <v>600</v>
      </c>
      <c r="G539">
        <v>13290</v>
      </c>
      <c r="H539">
        <v>6132</v>
      </c>
      <c r="I539">
        <v>7158</v>
      </c>
    </row>
    <row r="540" spans="1:9" ht="13.8" x14ac:dyDescent="0.25">
      <c r="A540" t="s">
        <v>16</v>
      </c>
      <c r="B540" t="s">
        <v>13</v>
      </c>
      <c r="C540" s="3" t="s">
        <v>12</v>
      </c>
      <c r="D540" s="4">
        <v>43436</v>
      </c>
      <c r="E540" s="4" t="s">
        <v>112</v>
      </c>
      <c r="F540">
        <v>1000</v>
      </c>
      <c r="G540">
        <v>20840</v>
      </c>
      <c r="H540">
        <v>9840</v>
      </c>
      <c r="I540">
        <v>11000</v>
      </c>
    </row>
    <row r="541" spans="1:9" ht="13.8" x14ac:dyDescent="0.25">
      <c r="A541" t="s">
        <v>129</v>
      </c>
      <c r="B541" t="s">
        <v>14</v>
      </c>
      <c r="C541" s="3" t="s">
        <v>10</v>
      </c>
      <c r="D541" s="4">
        <v>43439</v>
      </c>
      <c r="E541" s="4" t="s">
        <v>104</v>
      </c>
      <c r="F541">
        <v>800</v>
      </c>
      <c r="G541">
        <v>19544</v>
      </c>
      <c r="H541">
        <v>8176</v>
      </c>
      <c r="I541">
        <v>11368</v>
      </c>
    </row>
    <row r="542" spans="1:9" ht="13.8" x14ac:dyDescent="0.25">
      <c r="A542" t="s">
        <v>126</v>
      </c>
      <c r="B542" t="s">
        <v>11</v>
      </c>
      <c r="C542" s="3" t="s">
        <v>10</v>
      </c>
      <c r="D542" s="4">
        <v>43439</v>
      </c>
      <c r="E542" s="4" t="s">
        <v>109</v>
      </c>
      <c r="F542">
        <v>400</v>
      </c>
      <c r="G542">
        <v>8284</v>
      </c>
      <c r="H542">
        <v>4088</v>
      </c>
      <c r="I542">
        <v>4196</v>
      </c>
    </row>
    <row r="543" spans="1:9" ht="13.8" x14ac:dyDescent="0.25">
      <c r="A543" t="s">
        <v>126</v>
      </c>
      <c r="B543" t="s">
        <v>9</v>
      </c>
      <c r="C543" s="3" t="s">
        <v>10</v>
      </c>
      <c r="D543" s="4">
        <v>43439</v>
      </c>
      <c r="E543" s="4" t="s">
        <v>100</v>
      </c>
      <c r="F543">
        <v>800</v>
      </c>
      <c r="G543">
        <v>17496</v>
      </c>
      <c r="H543">
        <v>8176</v>
      </c>
      <c r="I543">
        <v>9320</v>
      </c>
    </row>
    <row r="544" spans="1:9" ht="13.8" x14ac:dyDescent="0.25">
      <c r="A544" t="s">
        <v>130</v>
      </c>
      <c r="B544" t="s">
        <v>9</v>
      </c>
      <c r="C544" s="3" t="s">
        <v>12</v>
      </c>
      <c r="D544" s="4">
        <v>43441</v>
      </c>
      <c r="E544" s="4" t="s">
        <v>105</v>
      </c>
      <c r="F544">
        <v>1000</v>
      </c>
      <c r="G544">
        <v>23690</v>
      </c>
      <c r="H544">
        <v>9840</v>
      </c>
      <c r="I544">
        <v>13850</v>
      </c>
    </row>
    <row r="545" spans="1:9" ht="13.8" x14ac:dyDescent="0.25">
      <c r="A545" t="s">
        <v>126</v>
      </c>
      <c r="B545" t="s">
        <v>11</v>
      </c>
      <c r="C545" s="3" t="s">
        <v>10</v>
      </c>
      <c r="D545" s="4">
        <v>43442</v>
      </c>
      <c r="E545" s="4" t="s">
        <v>109</v>
      </c>
      <c r="F545">
        <v>100</v>
      </c>
      <c r="G545">
        <v>2309</v>
      </c>
      <c r="H545">
        <v>1022</v>
      </c>
      <c r="I545">
        <v>1287</v>
      </c>
    </row>
    <row r="546" spans="1:9" ht="13.8" x14ac:dyDescent="0.25">
      <c r="A546" t="s">
        <v>131</v>
      </c>
      <c r="B546" t="s">
        <v>13</v>
      </c>
      <c r="C546" s="3" t="s">
        <v>10</v>
      </c>
      <c r="D546" s="4">
        <v>43443</v>
      </c>
      <c r="E546" s="4" t="s">
        <v>115</v>
      </c>
      <c r="F546">
        <v>900</v>
      </c>
      <c r="G546">
        <v>18756</v>
      </c>
      <c r="H546">
        <v>9198</v>
      </c>
      <c r="I546">
        <v>9558</v>
      </c>
    </row>
    <row r="547" spans="1:9" ht="13.8" x14ac:dyDescent="0.25">
      <c r="A547" t="s">
        <v>130</v>
      </c>
      <c r="B547" t="s">
        <v>9</v>
      </c>
      <c r="C547" s="3" t="s">
        <v>15</v>
      </c>
      <c r="D547" s="4">
        <v>43444</v>
      </c>
      <c r="E547" s="4" t="s">
        <v>105</v>
      </c>
      <c r="F547">
        <v>1000</v>
      </c>
      <c r="G547">
        <v>17410</v>
      </c>
      <c r="H547">
        <v>8470</v>
      </c>
      <c r="I547">
        <v>8940</v>
      </c>
    </row>
    <row r="548" spans="1:9" ht="13.8" x14ac:dyDescent="0.25">
      <c r="A548" t="s">
        <v>130</v>
      </c>
      <c r="B548" t="s">
        <v>9</v>
      </c>
      <c r="C548" s="3" t="s">
        <v>12</v>
      </c>
      <c r="D548" s="4">
        <v>43444</v>
      </c>
      <c r="E548" s="4" t="s">
        <v>105</v>
      </c>
      <c r="F548">
        <v>200</v>
      </c>
      <c r="G548">
        <v>4492</v>
      </c>
      <c r="H548">
        <v>1968</v>
      </c>
      <c r="I548">
        <v>2524</v>
      </c>
    </row>
    <row r="549" spans="1:9" ht="13.8" x14ac:dyDescent="0.25">
      <c r="A549" t="s">
        <v>126</v>
      </c>
      <c r="B549" t="s">
        <v>11</v>
      </c>
      <c r="C549" s="3" t="s">
        <v>12</v>
      </c>
      <c r="D549" s="4">
        <v>43445</v>
      </c>
      <c r="E549" s="4" t="s">
        <v>128</v>
      </c>
      <c r="F549">
        <v>200</v>
      </c>
      <c r="G549">
        <v>4696</v>
      </c>
      <c r="H549">
        <v>1968</v>
      </c>
      <c r="I549">
        <v>2728</v>
      </c>
    </row>
    <row r="550" spans="1:9" ht="13.8" x14ac:dyDescent="0.25">
      <c r="A550" t="s">
        <v>130</v>
      </c>
      <c r="B550" t="s">
        <v>11</v>
      </c>
      <c r="C550" s="3" t="s">
        <v>12</v>
      </c>
      <c r="D550" s="4">
        <v>43447</v>
      </c>
      <c r="E550" s="4" t="s">
        <v>106</v>
      </c>
      <c r="F550">
        <v>500</v>
      </c>
      <c r="G550">
        <v>10295</v>
      </c>
      <c r="H550">
        <v>4920</v>
      </c>
      <c r="I550">
        <v>5375</v>
      </c>
    </row>
    <row r="551" spans="1:9" ht="13.8" x14ac:dyDescent="0.25">
      <c r="A551" t="s">
        <v>126</v>
      </c>
      <c r="B551" t="s">
        <v>11</v>
      </c>
      <c r="C551" s="3" t="s">
        <v>10</v>
      </c>
      <c r="D551" s="4">
        <v>43449</v>
      </c>
      <c r="E551" s="4" t="s">
        <v>109</v>
      </c>
      <c r="F551">
        <v>1000</v>
      </c>
      <c r="G551">
        <v>25010</v>
      </c>
      <c r="H551">
        <v>10220</v>
      </c>
      <c r="I551">
        <v>14790</v>
      </c>
    </row>
    <row r="552" spans="1:9" ht="13.8" x14ac:dyDescent="0.25">
      <c r="A552" t="s">
        <v>126</v>
      </c>
      <c r="B552" t="s">
        <v>9</v>
      </c>
      <c r="C552" s="3" t="s">
        <v>10</v>
      </c>
      <c r="D552" s="4">
        <v>43449</v>
      </c>
      <c r="E552" s="4" t="s">
        <v>100</v>
      </c>
      <c r="F552">
        <v>500</v>
      </c>
      <c r="G552">
        <v>10380</v>
      </c>
      <c r="H552">
        <v>5110</v>
      </c>
      <c r="I552">
        <v>5270</v>
      </c>
    </row>
    <row r="553" spans="1:9" ht="13.8" x14ac:dyDescent="0.25">
      <c r="A553" t="s">
        <v>126</v>
      </c>
      <c r="B553" t="s">
        <v>11</v>
      </c>
      <c r="C553" s="3" t="s">
        <v>10</v>
      </c>
      <c r="D553" s="4">
        <v>43450</v>
      </c>
      <c r="E553" s="4" t="s">
        <v>107</v>
      </c>
      <c r="F553">
        <v>300</v>
      </c>
      <c r="G553">
        <v>6744</v>
      </c>
      <c r="H553">
        <v>3066</v>
      </c>
      <c r="I553">
        <v>3678</v>
      </c>
    </row>
    <row r="554" spans="1:9" ht="13.8" x14ac:dyDescent="0.25">
      <c r="A554" t="s">
        <v>126</v>
      </c>
      <c r="B554" t="s">
        <v>9</v>
      </c>
      <c r="C554" s="3" t="s">
        <v>15</v>
      </c>
      <c r="D554" s="4">
        <v>43452</v>
      </c>
      <c r="E554" s="4" t="s">
        <v>100</v>
      </c>
      <c r="F554">
        <v>700</v>
      </c>
      <c r="G554">
        <v>13552</v>
      </c>
      <c r="H554">
        <v>5929</v>
      </c>
      <c r="I554">
        <v>7623</v>
      </c>
    </row>
    <row r="555" spans="1:9" ht="13.8" x14ac:dyDescent="0.25">
      <c r="A555" t="s">
        <v>129</v>
      </c>
      <c r="B555" t="s">
        <v>13</v>
      </c>
      <c r="C555" s="3" t="s">
        <v>10</v>
      </c>
      <c r="D555" s="4">
        <v>43454</v>
      </c>
      <c r="E555" s="4" t="s">
        <v>101</v>
      </c>
      <c r="F555">
        <v>800</v>
      </c>
      <c r="G555">
        <v>18560</v>
      </c>
      <c r="H555">
        <v>8176</v>
      </c>
      <c r="I555">
        <v>10384</v>
      </c>
    </row>
    <row r="556" spans="1:9" ht="13.8" x14ac:dyDescent="0.25">
      <c r="A556" t="s">
        <v>16</v>
      </c>
      <c r="B556" t="s">
        <v>13</v>
      </c>
      <c r="C556" s="3" t="s">
        <v>15</v>
      </c>
      <c r="D556" s="4">
        <v>43455</v>
      </c>
      <c r="E556" s="4" t="s">
        <v>112</v>
      </c>
      <c r="F556">
        <v>300</v>
      </c>
      <c r="G556">
        <v>5847</v>
      </c>
      <c r="H556">
        <v>2541</v>
      </c>
      <c r="I556">
        <v>3306</v>
      </c>
    </row>
    <row r="557" spans="1:9" ht="13.8" x14ac:dyDescent="0.25">
      <c r="A557" t="s">
        <v>126</v>
      </c>
      <c r="B557" t="s">
        <v>13</v>
      </c>
      <c r="C557" s="3" t="s">
        <v>10</v>
      </c>
      <c r="D557" s="4">
        <v>43456</v>
      </c>
      <c r="E557" s="4" t="s">
        <v>108</v>
      </c>
      <c r="F557">
        <v>800</v>
      </c>
      <c r="G557">
        <v>18304</v>
      </c>
      <c r="H557">
        <v>8176</v>
      </c>
      <c r="I557">
        <v>10128</v>
      </c>
    </row>
    <row r="558" spans="1:9" ht="13.8" x14ac:dyDescent="0.25">
      <c r="A558" t="s">
        <v>16</v>
      </c>
      <c r="B558" t="s">
        <v>13</v>
      </c>
      <c r="C558" s="3" t="s">
        <v>10</v>
      </c>
      <c r="D558" s="4">
        <v>43457</v>
      </c>
      <c r="E558" s="4" t="s">
        <v>112</v>
      </c>
      <c r="F558">
        <v>700</v>
      </c>
      <c r="G558">
        <v>17199</v>
      </c>
      <c r="H558">
        <v>7154</v>
      </c>
      <c r="I558">
        <v>10045</v>
      </c>
    </row>
    <row r="559" spans="1:9" ht="13.8" x14ac:dyDescent="0.25">
      <c r="A559" t="s">
        <v>126</v>
      </c>
      <c r="B559" t="s">
        <v>11</v>
      </c>
      <c r="C559" s="3" t="s">
        <v>15</v>
      </c>
      <c r="D559" s="4">
        <v>43458</v>
      </c>
      <c r="E559" s="4" t="s">
        <v>107</v>
      </c>
      <c r="F559">
        <v>100</v>
      </c>
      <c r="G559">
        <v>1968</v>
      </c>
      <c r="H559">
        <v>847</v>
      </c>
      <c r="I559">
        <v>1121</v>
      </c>
    </row>
    <row r="560" spans="1:9" ht="13.8" x14ac:dyDescent="0.25">
      <c r="A560" t="s">
        <v>129</v>
      </c>
      <c r="B560" t="s">
        <v>13</v>
      </c>
      <c r="C560" s="3" t="s">
        <v>10</v>
      </c>
      <c r="D560" s="4">
        <v>43459</v>
      </c>
      <c r="E560" s="4" t="s">
        <v>101</v>
      </c>
      <c r="F560">
        <v>200</v>
      </c>
      <c r="G560">
        <v>4690</v>
      </c>
      <c r="H560">
        <v>2044</v>
      </c>
      <c r="I560">
        <v>2646</v>
      </c>
    </row>
    <row r="561" spans="1:9" ht="13.8" x14ac:dyDescent="0.25">
      <c r="A561" t="s">
        <v>130</v>
      </c>
      <c r="B561" t="s">
        <v>11</v>
      </c>
      <c r="C561" s="3" t="s">
        <v>10</v>
      </c>
      <c r="D561" s="4">
        <v>43461</v>
      </c>
      <c r="E561" s="4" t="s">
        <v>110</v>
      </c>
      <c r="F561">
        <v>500</v>
      </c>
      <c r="G561">
        <v>11680</v>
      </c>
      <c r="H561">
        <v>5110</v>
      </c>
      <c r="I561">
        <v>6570</v>
      </c>
    </row>
    <row r="562" spans="1:9" ht="13.8" x14ac:dyDescent="0.25">
      <c r="A562" t="s">
        <v>129</v>
      </c>
      <c r="B562" t="s">
        <v>13</v>
      </c>
      <c r="C562" s="3" t="s">
        <v>12</v>
      </c>
      <c r="D562" s="4">
        <v>43461</v>
      </c>
      <c r="E562" s="4" t="s">
        <v>101</v>
      </c>
      <c r="F562">
        <v>700</v>
      </c>
      <c r="G562">
        <v>14560</v>
      </c>
      <c r="H562">
        <v>6888</v>
      </c>
      <c r="I562">
        <v>7672</v>
      </c>
    </row>
    <row r="563" spans="1:9" ht="13.8" x14ac:dyDescent="0.25">
      <c r="A563" t="s">
        <v>131</v>
      </c>
      <c r="B563" t="s">
        <v>13</v>
      </c>
      <c r="C563" s="3" t="s">
        <v>10</v>
      </c>
      <c r="D563" s="4">
        <v>43462</v>
      </c>
      <c r="E563" s="4" t="s">
        <v>115</v>
      </c>
      <c r="F563">
        <v>700</v>
      </c>
      <c r="G563">
        <v>15225</v>
      </c>
      <c r="H563">
        <v>7154</v>
      </c>
      <c r="I563">
        <v>8071</v>
      </c>
    </row>
    <row r="564" spans="1:9" ht="13.8" x14ac:dyDescent="0.25">
      <c r="A564" t="s">
        <v>130</v>
      </c>
      <c r="B564" t="s">
        <v>9</v>
      </c>
      <c r="C564" s="3" t="s">
        <v>15</v>
      </c>
      <c r="D564" s="4">
        <v>43463</v>
      </c>
      <c r="E564" s="4" t="s">
        <v>105</v>
      </c>
      <c r="F564">
        <v>900</v>
      </c>
      <c r="G564">
        <v>15363</v>
      </c>
      <c r="H564">
        <v>7623</v>
      </c>
      <c r="I564">
        <v>7740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J17"/>
  <sheetViews>
    <sheetView workbookViewId="0">
      <selection activeCell="J4" sqref="J4"/>
    </sheetView>
  </sheetViews>
  <sheetFormatPr defaultRowHeight="13.8" x14ac:dyDescent="0.25"/>
  <cols>
    <col min="5" max="5" width="13" customWidth="1"/>
    <col min="6" max="6" width="12.59765625" customWidth="1"/>
    <col min="7" max="7" width="5.296875" customWidth="1"/>
  </cols>
  <sheetData>
    <row r="1" spans="1:10" x14ac:dyDescent="0.25">
      <c r="A1" t="s">
        <v>40</v>
      </c>
      <c r="B1" t="s">
        <v>53</v>
      </c>
    </row>
    <row r="2" spans="1:10" x14ac:dyDescent="0.25">
      <c r="A2" t="s">
        <v>41</v>
      </c>
      <c r="B2">
        <v>50</v>
      </c>
    </row>
    <row r="3" spans="1:10" x14ac:dyDescent="0.25">
      <c r="A3" t="s">
        <v>42</v>
      </c>
      <c r="B3">
        <v>49</v>
      </c>
      <c r="J3" t="s">
        <v>187</v>
      </c>
    </row>
    <row r="4" spans="1:10" x14ac:dyDescent="0.25">
      <c r="A4" t="s">
        <v>43</v>
      </c>
      <c r="B4">
        <v>26</v>
      </c>
      <c r="E4" s="5" t="s">
        <v>18</v>
      </c>
      <c r="F4" t="s">
        <v>54</v>
      </c>
      <c r="G4" t="s">
        <v>37</v>
      </c>
    </row>
    <row r="5" spans="1:10" x14ac:dyDescent="0.25">
      <c r="A5" t="s">
        <v>44</v>
      </c>
      <c r="B5">
        <v>10</v>
      </c>
      <c r="E5" s="6" t="s">
        <v>52</v>
      </c>
      <c r="F5">
        <v>50</v>
      </c>
      <c r="G5">
        <v>1</v>
      </c>
    </row>
    <row r="6" spans="1:10" x14ac:dyDescent="0.25">
      <c r="A6" t="s">
        <v>45</v>
      </c>
      <c r="B6">
        <v>17</v>
      </c>
      <c r="E6" s="6" t="s">
        <v>41</v>
      </c>
      <c r="F6">
        <v>50</v>
      </c>
      <c r="G6">
        <v>1</v>
      </c>
    </row>
    <row r="7" spans="1:10" x14ac:dyDescent="0.25">
      <c r="A7" t="s">
        <v>46</v>
      </c>
      <c r="B7">
        <v>28</v>
      </c>
      <c r="E7" s="6" t="s">
        <v>42</v>
      </c>
      <c r="F7">
        <v>49</v>
      </c>
      <c r="G7">
        <v>2</v>
      </c>
    </row>
    <row r="8" spans="1:10" x14ac:dyDescent="0.25">
      <c r="A8" t="s">
        <v>47</v>
      </c>
      <c r="B8">
        <v>11</v>
      </c>
      <c r="E8" s="6" t="s">
        <v>46</v>
      </c>
      <c r="F8">
        <v>28</v>
      </c>
      <c r="G8">
        <v>3</v>
      </c>
    </row>
    <row r="9" spans="1:10" x14ac:dyDescent="0.25">
      <c r="A9" t="s">
        <v>48</v>
      </c>
      <c r="B9">
        <v>12</v>
      </c>
      <c r="E9" s="6" t="s">
        <v>43</v>
      </c>
      <c r="F9">
        <v>26</v>
      </c>
      <c r="G9">
        <v>4</v>
      </c>
    </row>
    <row r="10" spans="1:10" x14ac:dyDescent="0.25">
      <c r="A10" t="s">
        <v>49</v>
      </c>
      <c r="B10">
        <v>14</v>
      </c>
      <c r="E10" s="6" t="s">
        <v>45</v>
      </c>
      <c r="F10">
        <v>17</v>
      </c>
      <c r="G10">
        <v>5</v>
      </c>
    </row>
    <row r="11" spans="1:10" x14ac:dyDescent="0.25">
      <c r="A11" t="s">
        <v>50</v>
      </c>
      <c r="B11">
        <v>13</v>
      </c>
      <c r="E11" s="6" t="s">
        <v>49</v>
      </c>
      <c r="F11">
        <v>14</v>
      </c>
      <c r="G11">
        <v>6</v>
      </c>
    </row>
    <row r="12" spans="1:10" x14ac:dyDescent="0.25">
      <c r="A12" t="s">
        <v>51</v>
      </c>
      <c r="B12">
        <v>12</v>
      </c>
      <c r="E12" s="6" t="s">
        <v>50</v>
      </c>
      <c r="F12">
        <v>13</v>
      </c>
      <c r="G12">
        <v>7</v>
      </c>
    </row>
    <row r="13" spans="1:10" x14ac:dyDescent="0.25">
      <c r="A13" t="s">
        <v>52</v>
      </c>
      <c r="B13">
        <v>50</v>
      </c>
      <c r="E13" s="6" t="s">
        <v>51</v>
      </c>
      <c r="F13">
        <v>12</v>
      </c>
      <c r="G13">
        <v>8</v>
      </c>
    </row>
    <row r="14" spans="1:10" x14ac:dyDescent="0.25">
      <c r="E14" s="6" t="s">
        <v>48</v>
      </c>
      <c r="F14">
        <v>12</v>
      </c>
      <c r="G14">
        <v>8</v>
      </c>
    </row>
    <row r="15" spans="1:10" x14ac:dyDescent="0.25">
      <c r="E15" s="6" t="s">
        <v>47</v>
      </c>
      <c r="F15">
        <v>11</v>
      </c>
      <c r="G15">
        <v>9</v>
      </c>
    </row>
    <row r="16" spans="1:10" x14ac:dyDescent="0.25">
      <c r="E16" s="6" t="s">
        <v>44</v>
      </c>
      <c r="F16">
        <v>10</v>
      </c>
      <c r="G16">
        <v>10</v>
      </c>
    </row>
    <row r="17" spans="5:6" x14ac:dyDescent="0.25">
      <c r="E17" s="6" t="s">
        <v>19</v>
      </c>
      <c r="F17">
        <v>292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0485A26-A777-4AE6-9D61-024C193CD657}">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Welcome</vt:lpstr>
      <vt:lpstr>Fig 1 to 23</vt:lpstr>
      <vt:lpstr>Pivot_Mine</vt:lpstr>
      <vt:lpstr>Pasted_Pivot_Mine</vt:lpstr>
      <vt:lpstr>Pivot_Mine (2)</vt:lpstr>
      <vt:lpstr>Pivot_W_Theme Mine</vt:lpstr>
      <vt:lpstr>Data</vt:lpstr>
      <vt:lpstr>Fig 24 to 29</vt:lpstr>
      <vt:lpstr>Fig30</vt:lpstr>
      <vt:lpstr>Mine_Various_Values</vt:lpstr>
      <vt:lpstr>MoreData</vt:lpstr>
      <vt:lpstr>Index</vt:lpstr>
      <vt:lpstr>Subtotals</vt:lpstr>
      <vt:lpstr>Multiple</vt:lpstr>
      <vt:lpstr>35 to 37</vt:lpstr>
      <vt:lpstr>BlankCell</vt:lpstr>
      <vt:lpstr>Tie</vt:lpstr>
    </vt:vector>
  </TitlesOfParts>
  <Company>Tickling Keys,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Jelen</dc:creator>
  <cp:lastModifiedBy>Tim Ryder</cp:lastModifiedBy>
  <dcterms:created xsi:type="dcterms:W3CDTF">2012-08-18T17:40:02Z</dcterms:created>
  <dcterms:modified xsi:type="dcterms:W3CDTF">2026-03-20T18:55:15Z</dcterms:modified>
</cp:coreProperties>
</file>