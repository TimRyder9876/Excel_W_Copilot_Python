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587838ffad9f248/Documents/Books/Python_In_Excel/Book_Downloads/Chapter-3-Workbooks/"/>
    </mc:Choice>
  </mc:AlternateContent>
  <xr:revisionPtr revIDLastSave="139" documentId="13_ncr:1_{CCDE46CB-B04C-4A37-95DA-E1D10366C3F4}" xr6:coauthVersionLast="47" xr6:coauthVersionMax="47" xr10:uidLastSave="{55AF0B84-E638-49CA-B334-202130884ED4}"/>
  <bookViews>
    <workbookView xWindow="-108" yWindow="-108" windowWidth="23256" windowHeight="12456" tabRatio="571" firstSheet="5" activeTab="8" xr2:uid="{00000000-000D-0000-FFFF-FFFF00000000}"/>
  </bookViews>
  <sheets>
    <sheet name="Cover" sheetId="1" r:id="rId1"/>
    <sheet name="Navigator" sheetId="3" r:id="rId2"/>
    <sheet name="Model Parameters" sheetId="2" r:id="rId3"/>
    <sheet name="Style Guide" sheetId="4" r:id="rId4"/>
    <sheet name="Pandas clean and transform" sheetId="17" r:id="rId5"/>
    <sheet name="NumPy arrays" sheetId="18" r:id="rId6"/>
    <sheet name="Matplotlib" sheetId="19" r:id="rId7"/>
    <sheet name="Seaborn" sheetId="20" r:id="rId8"/>
    <sheet name="Statsmodels" sheetId="21" r:id="rId9"/>
    <sheet name="Error Checks" sheetId="5" r:id="rId10"/>
  </sheets>
  <definedNames>
    <definedName name="_xleta.PY" hidden="1" xlm="1">#NAME?</definedName>
    <definedName name="Client_Name">'Model Parameters'!$G$12</definedName>
    <definedName name="Days_in_Year">'Model Parameters'!$G$19</definedName>
    <definedName name="Days_in_Yr">'Model Parameters'!$G$19</definedName>
    <definedName name="ExternalData_2" localSheetId="6" hidden="1">Matplotlib!#REF!</definedName>
    <definedName name="ExternalData_2" localSheetId="7" hidden="1">Seaborn!#REF!</definedName>
    <definedName name="ExternalData_2" localSheetId="8" hidden="1">Statsmodels!#REF!</definedName>
    <definedName name="HL_1">Cover!$A$3</definedName>
    <definedName name="HL_10">'Error Checks'!$A$3</definedName>
    <definedName name="HL_2">'Model Parameters'!$A$3</definedName>
    <definedName name="HL_3">'Model Parameters'!$A$3</definedName>
    <definedName name="HL_4" localSheetId="6">Matplotlib!$A$3</definedName>
    <definedName name="HL_4" localSheetId="5">'NumPy arrays'!$A$3</definedName>
    <definedName name="HL_4" localSheetId="4">'Pandas clean and transform'!$A$3</definedName>
    <definedName name="HL_4" localSheetId="7">Seaborn!$A$3</definedName>
    <definedName name="HL_4" localSheetId="8">Statsmodels!$A$3</definedName>
    <definedName name="HL_4">'Style Guide'!$A$3</definedName>
    <definedName name="HL_5" localSheetId="6">Matplotlib!$A$3</definedName>
    <definedName name="HL_5" localSheetId="5">'NumPy arrays'!$A$3</definedName>
    <definedName name="HL_5" localSheetId="7">Seaborn!$A$3</definedName>
    <definedName name="HL_5" localSheetId="8">Statsmodels!$A$3</definedName>
    <definedName name="HL_5">'Pandas clean and transform'!$A$3</definedName>
    <definedName name="HL_6" localSheetId="6">Matplotlib!$A$3</definedName>
    <definedName name="HL_6" localSheetId="5">'NumPy arrays'!$A$3</definedName>
    <definedName name="HL_6" localSheetId="4">'Pandas clean and transform'!$A$3</definedName>
    <definedName name="HL_6" localSheetId="7">Seaborn!$A$3</definedName>
    <definedName name="HL_6" localSheetId="8">Statsmodels!$A$3</definedName>
    <definedName name="HL_6">'NumPy arrays'!$A$3</definedName>
    <definedName name="HL_7">Matplotlib!$A$3</definedName>
    <definedName name="HL_8">Seaborn!$A$3</definedName>
    <definedName name="HL_9">Statsmodels!$A$3</definedName>
    <definedName name="HL_Model_Parameters">'Model Parameters'!$A$5</definedName>
    <definedName name="HL_Navigator">Navigator!$A$1</definedName>
    <definedName name="Model_Name">"SP Python in Excel Example Starter File Chapter 3"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Quarter">'Model Parameters'!$G$21</definedName>
    <definedName name="Months_in_Year">'Model Parameters'!$G$23</definedName>
    <definedName name="Overall_Error_Check">'Error Checks'!$I$17</definedName>
    <definedName name="Quarters_in_Year">'Model Parameters'!$G$24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  <definedName name="VRange">#REF!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1" l="1"/>
  <c r="F4" i="21"/>
  <c r="A2" i="21"/>
  <c r="A1" i="21"/>
  <c r="C6" i="21" s="1"/>
  <c r="F4" i="20"/>
  <c r="F4" i="19"/>
  <c r="B6" i="20"/>
  <c r="A2" i="20"/>
  <c r="A1" i="20"/>
  <c r="C6" i="20" s="1"/>
  <c r="B6" i="19"/>
  <c r="A2" i="19"/>
  <c r="A1" i="19"/>
  <c r="C6" i="19" s="1"/>
  <c r="B6" i="18"/>
  <c r="F4" i="18"/>
  <c r="A2" i="18"/>
  <c r="A1" i="18"/>
  <c r="C6" i="18" s="1"/>
  <c r="A2" i="17"/>
  <c r="B6" i="17"/>
  <c r="A1" i="17"/>
  <c r="C6" i="17" s="1"/>
  <c r="H10" i="17" a="1"/>
  <c r="H10" i="17" l="1"/>
  <c r="G11" i="2"/>
  <c r="H15" i="17" a="1"/>
  <c r="H15" i="17" l="1"/>
  <c r="A1" i="5"/>
  <c r="H20" i="17" a="1"/>
  <c r="H20" i="17" l="1"/>
  <c r="I37" i="4"/>
  <c r="H27" i="17" a="1"/>
  <c r="H27" i="17" l="1"/>
  <c r="A1" i="2"/>
  <c r="E17" i="5"/>
  <c r="I17" i="5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B6" i="2"/>
  <c r="B15" i="2" s="1"/>
  <c r="H34" i="17" a="1"/>
  <c r="H34" i="17" l="1"/>
  <c r="F4" i="17"/>
  <c r="F4" i="5"/>
  <c r="I4" i="2"/>
  <c r="G4" i="3"/>
  <c r="I4" i="4"/>
  <c r="A2" i="2"/>
  <c r="A2" i="5"/>
  <c r="B56" i="4"/>
  <c r="A2" i="4"/>
  <c r="A2" i="3"/>
  <c r="C6" i="1"/>
  <c r="H46" i="17" a="1"/>
  <c r="H46" i="17" l="1"/>
  <c r="H58" i="17" a="1"/>
  <c r="H58" i="17" l="1"/>
  <c r="H68" i="17" a="1"/>
  <c r="H68" i="17" l="1"/>
  <c r="D10" i="18" a="1"/>
  <c r="K10" i="18" a="1"/>
  <c r="D16" i="18" a="1"/>
  <c r="D10" i="18" l="1"/>
  <c r="K10" i="18"/>
  <c r="D16" i="18"/>
  <c r="K16" i="18" a="1"/>
  <c r="K16" i="18" l="1"/>
  <c r="K18" i="18" a="1"/>
  <c r="K18" i="18" l="1"/>
  <c r="J10" i="19" a="1"/>
  <c r="J10" i="19" l="1"/>
  <c r="J28" i="19" a="1"/>
  <c r="J28" i="19" l="1"/>
  <c r="J44" i="19" a="1"/>
  <c r="J44" i="19" l="1"/>
  <c r="C10" i="20" a="1"/>
  <c r="C10" i="20" l="1"/>
  <c r="C30" i="20" a="1"/>
  <c r="C30" i="20" l="1"/>
  <c r="C10" i="21" a="1"/>
  <c r="C10" i="2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B00432-F126-4745-B9B0-BA4E4607202D}" keepAlive="1" name="Query - Table5" description="Connection to the 'Table5' query in the workbook." type="5" refreshedVersion="8" background="1" saveData="1">
    <dbPr connection="Provider=Microsoft.Mashup.OleDb.1;Data Source=$Workbook$;Location=Table5;Extended Properties=&quot;&quot;" command="SELECT * FROM [Table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5"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8"/>
        </ext>
      </extLst>
    </bk>
  </futureMetadata>
  <cellMetadata count="1">
    <bk>
      <rc t="1" v="0"/>
    </bk>
  </cellMetadata>
  <valueMetadata count="5">
    <bk>
      <rc t="2" v="0"/>
    </bk>
    <bk>
      <rc t="2" v="1"/>
    </bk>
    <bk>
      <rc t="2" v="2"/>
    </bk>
    <bk>
      <rc t="2" v="3"/>
    </bk>
    <bk>
      <rc t="2" v="4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df_raw_data = xl(%P2%, headers=True)
df_company_data = df_raw_data.dropna()</code>
    </pythonScript>
    <pythonScript>
      <code>df_raw_data = xl(%P2%, headers=True)
df_company_data = df_raw_data.dropna().reset_index(drop=True)</code>
    </pythonScript>
    <pythonScript>
      <code>df_company_filled_data = df_raw_data.fillna("Data Missing")</code>
    </pythonScript>
    <pythonScript>
      <code>df_company_filled_data = df_raw_data.fillna(method="ffill")</code>
    </pythonScript>
    <pythonScript>
      <code>df_values=xl(%P2%, headers=True)
df_values["Moving Average"]=df_values.rolling(3).mean()
df_no_null_values=df_values.fillna(0)</code>
    </pythonScript>
    <pythonScript>
      <code>df_values=xl(%P2%, headers=True)
df_values["Moving Average"]=df_values.rolling(3,min_periods=1).mean()
df_values</code>
    </pythonScript>
    <pythonScript>
      <code>df_desc_values=df_values.describe()</code>
    </pythonScript>
    <pythonScript>
      <code>df_desc_values = df_values.describe(percentiles=[0.10, 0.25, 0.40, 0.60, 0.80])</code>
    </pythonScript>
    <pythonScript>
      <code>num_array1 = np.array([1,2,3,4,5], ndmin=2)</code>
    </pythonScript>
    <pythonScript>
      <code>num_array1.shape=(5,1)
num_array1</code>
    </pythonScript>
    <pythonScript>
      <code>num_array2 = np.array([[1,2,3,4,5]])</code>
    </pythonScript>
    <pythonScript>
      <code>num_array1.T</code>
    </pythonScript>
    <pythonScript>
      <code>num_array1 = np.reshape(num_array1,(5,1))</code>
    </pythonScript>
    <pythonScript>
      <code>df_range=xl(%P2%, headers=True)
plt.bar(df_range['Company'],df_range['Sales Paid'], color="red",tick_label=["1","2","3"])
plt.xlabel('Company')
plt.ylabel('Sales Paid')
plt.title('My Python Bar Plot')</code>
    </pythonScript>
    <pythonScript>
      <code>plt.boxplot(xl(%P2%, headers=True),
    vert=False, patch_artist=True)</code>
    </pythonScript>
    <pythonScript>
      <code>violin_plot = plt.violinplot(xl(%P2%, headers=True),vert=False)
for pc in violin_plot['bodies']:
    pc.set_facecolor('red')
    pc.set_edgecolor('black')</code>
    </pythonScript>
    <pythonScript>
      <code>sns.barplot(df_range, x="Company", y="Sales Invoiced")</code>
    </pythonScript>
    <pythonScript>
      <code>sns.barplot(df_range, x="Company", y="Sales Invoiced", hue="Company", legend="full", fill=False)
plt.title("Seaborn and Matplotlib Together")</code>
    </pythonScript>
    <pythonScript>
      <code>import statsmodels.api as sm
ncount=100
X = np.random.random((ncount, 2))
X = sm.tools.tools.add_constant(X)
beta = [1, 0.1, 0.5]
e = np.random.random(ncount)
y = np.dot(X, beta) + e
result=sm.OLS(y,X).fit()
df_Result = np.concatenate((result.params, result.tvalues))</code>
    </pythonScript>
  </pythonScripts>
</python>
</file>

<file path=xl/sharedStrings.xml><?xml version="1.0" encoding="utf-8"?>
<sst xmlns="http://schemas.openxmlformats.org/spreadsheetml/2006/main" count="190" uniqueCount="146">
  <si>
    <t>Navigator</t>
  </si>
  <si>
    <t>General Cover Notes:</t>
  </si>
  <si>
    <t>Any queries, please e-mail:</t>
  </si>
  <si>
    <t>Website:</t>
  </si>
  <si>
    <t>www.sumproduct.com</t>
  </si>
  <si>
    <t>Error Checks:</t>
  </si>
  <si>
    <t>Table of Contents</t>
  </si>
  <si>
    <t>Cover</t>
  </si>
  <si>
    <t>Style Guide</t>
  </si>
  <si>
    <t>Model Parameters</t>
  </si>
  <si>
    <t>Error Checks</t>
  </si>
  <si>
    <t>Formatting of Headers / Dividers</t>
  </si>
  <si>
    <t>Description</t>
  </si>
  <si>
    <t>Display</t>
  </si>
  <si>
    <t>Style Name</t>
  </si>
  <si>
    <t>Sheet Title</t>
  </si>
  <si>
    <t>Model Name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</si>
  <si>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</si>
  <si>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</si>
  <si>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</si>
  <si>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</si>
  <si>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</si>
  <si>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</si>
  <si>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</si>
  <si>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</si>
  <si>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</si>
  <si>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</si>
  <si>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</si>
  <si>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</si>
  <si>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</si>
  <si>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</si>
  <si>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</si>
  <si>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</si>
  <si>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</si>
  <si>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</si>
  <si>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</si>
  <si>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</si>
  <si>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</si>
  <si>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</si>
  <si>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</si>
  <si>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A$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</si>
  <si>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</si>
  <si>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</si>
  <si>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</si>
  <si>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</si>
  <si>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</si>
  <si>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</si>
  <si>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</si>
  <si>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</si>
  <si>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</si>
  <si>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</si>
  <si>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General</t>
  </si>
  <si>
    <t>Key Inputs</t>
  </si>
  <si>
    <t>Client Name</t>
  </si>
  <si>
    <t>SumProduct Pty Limited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</si>
  <si>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</si>
  <si>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</si>
  <si>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</si>
  <si>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</si>
  <si>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</si>
  <si>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</si>
  <si>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</si>
  <si>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</si>
  <si>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</si>
  <si>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</si>
  <si>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</si>
  <si>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</si>
  <si>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Summary of Errors</t>
  </si>
  <si>
    <t>Assumptions</t>
  </si>
  <si>
    <t>Example</t>
  </si>
  <si>
    <t>Examples of Python in Excel</t>
  </si>
  <si>
    <t>Primary Developer:  KTN</t>
  </si>
  <si>
    <t>kathryn.newitt@sumproduct.com</t>
  </si>
  <si>
    <t>Data</t>
  </si>
  <si>
    <t>Company Name</t>
  </si>
  <si>
    <t>Sales</t>
  </si>
  <si>
    <t xml:space="preserve">Coho Winery </t>
  </si>
  <si>
    <t xml:space="preserve">The Phone Company </t>
  </si>
  <si>
    <t xml:space="preserve">School of Fine Art </t>
  </si>
  <si>
    <t xml:space="preserve">Tailspin Toys </t>
  </si>
  <si>
    <t>Cleaned Data</t>
  </si>
  <si>
    <t>Values</t>
  </si>
  <si>
    <t>Create array</t>
  </si>
  <si>
    <t>Modify array</t>
  </si>
  <si>
    <t>Charts</t>
  </si>
  <si>
    <t>Company</t>
  </si>
  <si>
    <t>Sales Invoiced</t>
  </si>
  <si>
    <t>Sales Paid</t>
  </si>
  <si>
    <t>Adventure Works Cycles</t>
  </si>
  <si>
    <t xml:space="preserve">Alpine Ski House </t>
  </si>
  <si>
    <t>​Bellows College</t>
  </si>
  <si>
    <t>Best For You Organics Company</t>
  </si>
  <si>
    <t xml:space="preserve">Blue Yonder Airlines </t>
  </si>
  <si>
    <t xml:space="preserve">City Power &amp; Light </t>
  </si>
  <si>
    <t xml:space="preserve">Coho Vineyard </t>
  </si>
  <si>
    <t xml:space="preserve">Coho Vineyard &amp; Winery </t>
  </si>
  <si>
    <t xml:space="preserve">Contoso, Ltd. </t>
  </si>
  <si>
    <t xml:space="preserve">Contoso Pharmaceuticals </t>
  </si>
  <si>
    <t>​Contoso Suites</t>
  </si>
  <si>
    <t xml:space="preserve">Consolidated Messenger </t>
  </si>
  <si>
    <t xml:space="preserve">Fabrikam, Inc. </t>
  </si>
  <si>
    <t>​Fabrikam Residences</t>
  </si>
  <si>
    <t>​First Up Consultants</t>
  </si>
  <si>
    <t xml:space="preserve">Fourth Coffee </t>
  </si>
  <si>
    <t xml:space="preserve">Graphic Design Institute </t>
  </si>
  <si>
    <t xml:space="preserve">Humongous Insurance </t>
  </si>
  <si>
    <t>​Lamna Healthcare Company</t>
  </si>
  <si>
    <t xml:space="preserve">Litware, Inc. </t>
  </si>
  <si>
    <t>​Liberty's Delightful Bakery &amp; Cafe</t>
  </si>
  <si>
    <t xml:space="preserve">Lucerne Publishing </t>
  </si>
  <si>
    <t xml:space="preserve">Margie's Travel </t>
  </si>
  <si>
    <t>​Munson's Pickles and Preserves Farm</t>
  </si>
  <si>
    <t>​Nod Publishers</t>
  </si>
  <si>
    <t>​Northwind Electric Cars</t>
  </si>
  <si>
    <t xml:space="preserve">Northwind Traders </t>
  </si>
  <si>
    <t xml:space="preserve">Proseware, Inc. </t>
  </si>
  <si>
    <t>​Relecloud</t>
  </si>
  <si>
    <t xml:space="preserve">Southridge Video </t>
  </si>
  <si>
    <t xml:space="preserve">Trey Research </t>
  </si>
  <si>
    <t>​VanArsdel, Ltd.</t>
  </si>
  <si>
    <t xml:space="preserve">Wide World Importers </t>
  </si>
  <si>
    <t xml:space="preserve">Wingtip Toys </t>
  </si>
  <si>
    <t xml:space="preserve">Woodgrove Bank </t>
  </si>
  <si>
    <t>A. Datum Corp.</t>
  </si>
  <si>
    <t>Pandas clean and transform</t>
  </si>
  <si>
    <t>NumPy arrays</t>
  </si>
  <si>
    <t>Matplotlib</t>
  </si>
  <si>
    <t>Seaborn</t>
  </si>
  <si>
    <t>Statsmodels</t>
  </si>
  <si>
    <t>remove rows that are missing pg133</t>
  </si>
  <si>
    <t>remove rows that are missing and reset the index pg134</t>
  </si>
  <si>
    <t>fill missing data pg135</t>
  </si>
  <si>
    <t>use forward fill for missing values pg136</t>
  </si>
  <si>
    <t>rolling average for missing values pg136</t>
  </si>
  <si>
    <t>rolling average for missing values using min_periods pg139</t>
  </si>
  <si>
    <t>describe a dataframe pg139</t>
  </si>
  <si>
    <t>describe a dataframe with different percentiles pg139</t>
  </si>
  <si>
    <t>shape num_array1 pg144</t>
  </si>
  <si>
    <t>transpose num_array1 pg144</t>
  </si>
  <si>
    <t>reshape num_array1 pg145</t>
  </si>
  <si>
    <t>create bar chart pg148,151,152</t>
  </si>
  <si>
    <t>creater a box plot pg152-153</t>
  </si>
  <si>
    <t>create a violin plot pg154</t>
  </si>
  <si>
    <t>bar chart pg156</t>
  </si>
  <si>
    <t>bar chart pg159</t>
  </si>
  <si>
    <t>build OLS model pg 161-162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</si>
</sst>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_-* #,##0_-;\-* #,##0_-;_-* &quot;-&quot;_-;_-@_-"/>
    <numFmt numFmtId="165" formatCode="_-* #,##0.00_-;\-* #,##0.00_-;_-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&quot;ý&quot;;&quot;ý&quot;;&quot;þ&quot;"/>
    <numFmt numFmtId="169" formatCode="#,##0&quot;.&quot;"/>
    <numFmt numFmtId="170" formatCode="0.E+00"/>
    <numFmt numFmtId="171" formatCode=";;;"/>
    <numFmt numFmtId="172" formatCode="_(#,##0_);[Red]\(#,##0\);_(\-_);"/>
    <numFmt numFmtId="173" formatCode="_(&quot;$&quot;#,##0.0_);\(&quot;$&quot;#,##0.0\);_(&quot;-&quot;_)"/>
    <numFmt numFmtId="174" formatCode="_(#,##0.0_);\(#,##0.0\);_(&quot;-&quot;_)"/>
    <numFmt numFmtId="175" formatCode="&quot;Row &quot;###0"/>
    <numFmt numFmtId="176" formatCode="#,##0."/>
    <numFmt numFmtId="177" formatCode="_(#,##0_);\(#,##0\);_(\-_)"/>
    <numFmt numFmtId="178" formatCode="_(#,##0.00_);\(#,##0.00\);_(\-_._0_0_)"/>
    <numFmt numFmtId="179" formatCode="&quot;$&quot;* _(#,##0.00_);&quot;$&quot;* \(#,##0.00\);&quot;$&quot;* _(\-_._0_0_)"/>
    <numFmt numFmtId="180" formatCode="&quot;$&quot;* _(#,##0_);&quot;$&quot;* \(#,##0\);&quot;$&quot;* _(\-_)"/>
    <numFmt numFmtId="181" formatCode="[$-C09]dd\ mmm\ yy;@"/>
    <numFmt numFmtId="182" formatCode="mmm\ yy"/>
    <numFmt numFmtId="183" formatCode="[$-C09]d\ mmm\ yy;@"/>
    <numFmt numFmtId="184" formatCode="_-* #,##0_-;\-* #,##0_-;_-* &quot;-&quot;??_-;_-@_-"/>
  </numFmts>
  <fonts count="36" x14ac:knownFonts="1">
    <font>
      <sz val="9"/>
      <color theme="1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  <font>
      <sz val="10"/>
      <color rgb="FF3F3F3F"/>
      <name val="Arial"/>
      <family val="2"/>
    </font>
    <font>
      <u/>
      <sz val="20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44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5" fillId="0" borderId="0" applyNumberFormat="0" applyFill="0" applyBorder="0" applyProtection="0"/>
    <xf numFmtId="0" fontId="28" fillId="0" borderId="0" applyNumberFormat="0" applyFill="0" applyBorder="0">
      <alignment horizontal="left"/>
      <protection locked="0"/>
    </xf>
    <xf numFmtId="0" fontId="16" fillId="0" borderId="0" applyNumberFormat="0" applyFill="0" applyBorder="0" applyProtection="0"/>
    <xf numFmtId="0" fontId="17" fillId="3" borderId="1" applyNumberFormat="0" applyProtection="0"/>
    <xf numFmtId="0" fontId="18" fillId="0" borderId="0" applyNumberFormat="0" applyFill="0" applyAlignment="0" applyProtection="0"/>
    <xf numFmtId="0" fontId="19" fillId="0" borderId="0" applyNumberFormat="0" applyFill="0" applyAlignment="0" applyProtection="0"/>
    <xf numFmtId="0" fontId="27" fillId="0" borderId="3" applyNumberFormat="0" applyAlignment="0">
      <alignment horizontal="center"/>
    </xf>
    <xf numFmtId="0" fontId="26" fillId="4" borderId="7" applyNumberFormat="0" applyAlignment="0">
      <protection locked="0"/>
    </xf>
    <xf numFmtId="0" fontId="4" fillId="0" borderId="0" applyNumberFormat="0" applyFill="0" applyBorder="0"/>
    <xf numFmtId="183" fontId="24" fillId="0" borderId="0" applyFill="0" applyBorder="0" applyProtection="0">
      <alignment horizontal="center"/>
    </xf>
    <xf numFmtId="182" fontId="25" fillId="0" borderId="0" applyFill="0" applyBorder="0" applyProtection="0">
      <alignment horizontal="center"/>
    </xf>
    <xf numFmtId="171" fontId="2" fillId="5" borderId="7" applyAlignment="0"/>
    <xf numFmtId="168" fontId="3" fillId="2" borderId="2">
      <alignment horizontal="center"/>
      <protection locked="0"/>
    </xf>
    <xf numFmtId="0" fontId="5" fillId="0" borderId="0" applyFill="0" applyBorder="0">
      <alignment horizontal="left" vertical="center"/>
      <protection locked="0"/>
    </xf>
    <xf numFmtId="164" fontId="29" fillId="6" borderId="8" applyNumberFormat="0" applyAlignment="0"/>
    <xf numFmtId="164" fontId="2" fillId="0" borderId="9" applyNumberFormat="0" applyFont="0" applyFill="0" applyAlignment="0"/>
    <xf numFmtId="172" fontId="2" fillId="0" borderId="10" applyNumberFormat="0" applyFont="0" applyFill="0" applyAlignment="0" applyProtection="0"/>
    <xf numFmtId="0" fontId="7" fillId="0" borderId="0"/>
    <xf numFmtId="0" fontId="33" fillId="0" borderId="11" applyNumberFormat="0" applyFill="0" applyBorder="0"/>
    <xf numFmtId="172" fontId="2" fillId="0" borderId="0" applyFont="0" applyFill="0" applyBorder="0" applyAlignment="0" applyProtection="0"/>
    <xf numFmtId="0" fontId="27" fillId="7" borderId="2" applyNumberFormat="0" applyAlignment="0" applyProtection="0"/>
    <xf numFmtId="0" fontId="8" fillId="0" borderId="0" applyNumberFormat="0" applyFill="0" applyBorder="0" applyAlignment="0" applyProtection="0"/>
    <xf numFmtId="173" fontId="9" fillId="0" borderId="0" applyFill="0" applyBorder="0">
      <alignment horizontal="right" vertical="center"/>
    </xf>
    <xf numFmtId="174" fontId="9" fillId="0" borderId="0" applyFill="0" applyBorder="0">
      <alignment horizontal="right" vertical="center"/>
    </xf>
    <xf numFmtId="175" fontId="30" fillId="7" borderId="7">
      <alignment horizontal="center"/>
    </xf>
    <xf numFmtId="164" fontId="6" fillId="8" borderId="8" applyFont="0" applyAlignment="0"/>
    <xf numFmtId="0" fontId="14" fillId="11" borderId="0" applyNumberFormat="0">
      <alignment horizontal="center"/>
    </xf>
    <xf numFmtId="0" fontId="31" fillId="0" borderId="0" applyNumberFormat="0" applyFill="0" applyBorder="0" applyProtection="0"/>
    <xf numFmtId="0" fontId="32" fillId="9" borderId="12" applyNumberFormat="0" applyAlignment="0">
      <protection locked="0"/>
    </xf>
    <xf numFmtId="0" fontId="23" fillId="0" borderId="0" applyNumberFormat="0" applyFill="0" applyBorder="0" applyAlignment="0" applyProtection="0"/>
    <xf numFmtId="0" fontId="21" fillId="0" borderId="1" applyNumberFormat="0" applyFill="0" applyAlignment="0" applyProtection="0"/>
    <xf numFmtId="0" fontId="22" fillId="0" borderId="13" applyNumberFormat="0" applyFill="0" applyAlignment="0" applyProtection="0"/>
    <xf numFmtId="0" fontId="20" fillId="0" borderId="14" applyNumberFormat="0" applyFill="0" applyAlignment="0" applyProtection="0"/>
    <xf numFmtId="0" fontId="19" fillId="0" borderId="15" applyNumberFormat="0" applyFill="0" applyAlignment="0" applyProtection="0"/>
    <xf numFmtId="176" fontId="17" fillId="3" borderId="1"/>
    <xf numFmtId="0" fontId="1" fillId="0" borderId="0"/>
    <xf numFmtId="0" fontId="35" fillId="0" borderId="0" applyNumberFormat="0" applyFill="0" applyBorder="0" applyAlignment="0" applyProtection="0"/>
  </cellStyleXfs>
  <cellXfs count="70">
    <xf numFmtId="0" fontId="0" fillId="0" borderId="0" xfId="0"/>
    <xf numFmtId="168" fontId="3" fillId="2" borderId="2" xfId="0" applyNumberFormat="1" applyFont="1" applyFill="1" applyBorder="1" applyAlignment="1" applyProtection="1">
      <alignment horizontal="center"/>
      <protection locked="0"/>
    </xf>
    <xf numFmtId="0" fontId="17" fillId="3" borderId="1" xfId="10"/>
    <xf numFmtId="0" fontId="18" fillId="0" borderId="0" xfId="11"/>
    <xf numFmtId="0" fontId="19" fillId="0" borderId="0" xfId="12"/>
    <xf numFmtId="0" fontId="27" fillId="0" borderId="3" xfId="13" applyAlignment="1">
      <alignment horizontal="center"/>
    </xf>
    <xf numFmtId="170" fontId="27" fillId="0" borderId="3" xfId="13" applyNumberFormat="1" applyAlignment="1">
      <alignment horizontal="center"/>
    </xf>
    <xf numFmtId="0" fontId="10" fillId="0" borderId="0" xfId="0" applyFont="1"/>
    <xf numFmtId="0" fontId="11" fillId="0" borderId="0" xfId="12" applyFont="1" applyAlignment="1">
      <alignment horizontal="left" vertical="center"/>
    </xf>
    <xf numFmtId="0" fontId="12" fillId="0" borderId="0" xfId="0" applyFont="1"/>
    <xf numFmtId="0" fontId="12" fillId="0" borderId="0" xfId="6" applyFont="1" applyAlignment="1">
      <alignment horizontal="left" vertical="center"/>
    </xf>
    <xf numFmtId="0" fontId="28" fillId="0" borderId="0" xfId="8">
      <alignment horizontal="left"/>
      <protection locked="0"/>
    </xf>
    <xf numFmtId="0" fontId="28" fillId="0" borderId="0" xfId="8" applyAlignment="1">
      <alignment horizontal="right"/>
      <protection locked="0"/>
    </xf>
    <xf numFmtId="0" fontId="14" fillId="11" borderId="0" xfId="33">
      <alignment horizontal="center"/>
    </xf>
    <xf numFmtId="0" fontId="15" fillId="0" borderId="0" xfId="7" applyBorder="1"/>
    <xf numFmtId="0" fontId="13" fillId="0" borderId="0" xfId="0" applyFont="1" applyAlignment="1">
      <alignment horizontal="left"/>
    </xf>
    <xf numFmtId="0" fontId="16" fillId="0" borderId="0" xfId="9" applyBorder="1"/>
    <xf numFmtId="0" fontId="0" fillId="0" borderId="0" xfId="0" applyAlignment="1">
      <alignment horizontal="left"/>
    </xf>
    <xf numFmtId="0" fontId="20" fillId="0" borderId="0" xfId="6" applyBorder="1"/>
    <xf numFmtId="0" fontId="33" fillId="0" borderId="0" xfId="25" applyBorder="1"/>
    <xf numFmtId="0" fontId="26" fillId="4" borderId="7" xfId="14">
      <protection locked="0"/>
    </xf>
    <xf numFmtId="0" fontId="13" fillId="0" borderId="0" xfId="0" applyFont="1"/>
    <xf numFmtId="0" fontId="27" fillId="0" borderId="3" xfId="13" applyAlignment="1"/>
    <xf numFmtId="171" fontId="2" fillId="5" borderId="7" xfId="18"/>
    <xf numFmtId="168" fontId="3" fillId="2" borderId="2" xfId="19">
      <alignment horizontal="center"/>
      <protection locked="0"/>
    </xf>
    <xf numFmtId="0" fontId="29" fillId="6" borderId="8" xfId="21" applyNumberFormat="1"/>
    <xf numFmtId="0" fontId="0" fillId="0" borderId="9" xfId="22" applyNumberFormat="1" applyFont="1"/>
    <xf numFmtId="0" fontId="0" fillId="0" borderId="10" xfId="23" applyNumberFormat="1" applyFont="1"/>
    <xf numFmtId="0" fontId="27" fillId="7" borderId="2" xfId="27"/>
    <xf numFmtId="0" fontId="8" fillId="0" borderId="0" xfId="28"/>
    <xf numFmtId="175" fontId="30" fillId="7" borderId="7" xfId="31">
      <alignment horizontal="center"/>
    </xf>
    <xf numFmtId="164" fontId="0" fillId="8" borderId="8" xfId="32" applyFont="1"/>
    <xf numFmtId="0" fontId="31" fillId="0" borderId="0" xfId="34"/>
    <xf numFmtId="0" fontId="32" fillId="9" borderId="12" xfId="35">
      <protection locked="0"/>
    </xf>
    <xf numFmtId="172" fontId="0" fillId="0" borderId="0" xfId="26" applyFont="1"/>
    <xf numFmtId="9" fontId="0" fillId="0" borderId="0" xfId="5" applyFont="1"/>
    <xf numFmtId="168" fontId="3" fillId="10" borderId="2" xfId="0" applyNumberFormat="1" applyFont="1" applyFill="1" applyBorder="1" applyAlignment="1" applyProtection="1">
      <alignment horizontal="center"/>
      <protection locked="0"/>
    </xf>
    <xf numFmtId="183" fontId="24" fillId="0" borderId="0" xfId="16">
      <alignment horizontal="center"/>
    </xf>
    <xf numFmtId="0" fontId="4" fillId="0" borderId="0" xfId="15"/>
    <xf numFmtId="169" fontId="17" fillId="3" borderId="1" xfId="10" applyNumberFormat="1"/>
    <xf numFmtId="0" fontId="15" fillId="0" borderId="0" xfId="7"/>
    <xf numFmtId="0" fontId="16" fillId="0" borderId="0" xfId="9"/>
    <xf numFmtId="176" fontId="17" fillId="3" borderId="1" xfId="41"/>
    <xf numFmtId="177" fontId="0" fillId="0" borderId="0" xfId="2" applyNumberFormat="1" applyFont="1"/>
    <xf numFmtId="178" fontId="0" fillId="0" borderId="0" xfId="1" applyNumberFormat="1" applyFont="1"/>
    <xf numFmtId="179" fontId="0" fillId="0" borderId="0" xfId="3" applyNumberFormat="1" applyFont="1"/>
    <xf numFmtId="180" fontId="0" fillId="0" borderId="0" xfId="4" applyNumberFormat="1" applyFont="1"/>
    <xf numFmtId="181" fontId="24" fillId="0" borderId="0" xfId="16" applyNumberFormat="1" applyBorder="1">
      <alignment horizontal="center"/>
    </xf>
    <xf numFmtId="182" fontId="25" fillId="0" borderId="0" xfId="17" applyBorder="1">
      <alignment horizontal="center"/>
    </xf>
    <xf numFmtId="0" fontId="34" fillId="0" borderId="0" xfId="42" applyFont="1" applyAlignment="1">
      <alignment vertical="center"/>
    </xf>
    <xf numFmtId="0" fontId="18" fillId="0" borderId="0" xfId="11" applyAlignment="1"/>
    <xf numFmtId="0" fontId="0" fillId="0" borderId="16" xfId="0" applyBorder="1"/>
    <xf numFmtId="0" fontId="14" fillId="11" borderId="18" xfId="33" applyBorder="1" applyAlignment="1">
      <alignment horizontal="left"/>
    </xf>
    <xf numFmtId="0" fontId="14" fillId="11" borderId="19" xfId="33" applyBorder="1">
      <alignment horizontal="center"/>
    </xf>
    <xf numFmtId="0" fontId="0" fillId="12" borderId="18" xfId="0" applyFill="1" applyBorder="1"/>
    <xf numFmtId="184" fontId="0" fillId="12" borderId="19" xfId="1" applyNumberFormat="1" applyFont="1" applyFill="1" applyBorder="1"/>
    <xf numFmtId="0" fontId="0" fillId="0" borderId="18" xfId="0" applyBorder="1"/>
    <xf numFmtId="184" fontId="0" fillId="0" borderId="19" xfId="1" applyNumberFormat="1" applyFont="1" applyBorder="1"/>
    <xf numFmtId="184" fontId="0" fillId="0" borderId="17" xfId="1" applyNumberFormat="1" applyFont="1" applyBorder="1"/>
    <xf numFmtId="0" fontId="12" fillId="0" borderId="0" xfId="6" applyFont="1" applyAlignment="1">
      <alignment horizontal="left" vertical="center"/>
    </xf>
    <xf numFmtId="0" fontId="28" fillId="0" borderId="0" xfId="8">
      <alignment horizontal="left"/>
      <protection locked="0"/>
    </xf>
    <xf numFmtId="0" fontId="27" fillId="0" borderId="4" xfId="13" applyBorder="1" applyAlignment="1">
      <alignment horizontal="left"/>
    </xf>
    <xf numFmtId="0" fontId="27" fillId="0" borderId="5" xfId="13" applyBorder="1" applyAlignment="1">
      <alignment horizontal="left"/>
    </xf>
    <xf numFmtId="0" fontId="27" fillId="0" borderId="6" xfId="13" applyBorder="1" applyAlignment="1">
      <alignment horizontal="left"/>
    </xf>
    <xf numFmtId="0" fontId="26" fillId="4" borderId="7" xfId="14" applyAlignment="1">
      <alignment horizontal="left"/>
      <protection locked="0"/>
    </xf>
    <xf numFmtId="0" fontId="0" fillId="0" borderId="0" xfId="0"/>
    <xf numFmtId="0" fontId="14" fillId="11" borderId="0" xfId="33">
      <alignment horizontal="center"/>
    </xf>
    <xf numFmtId="0" fontId="0" fillId="0" borderId="0" xfId="0" applyAlignment="1">
      <alignment wrapText="1"/>
    </xf>
    <xf numFmtId="0" fontId="17" fillId="3" borderId="1" xfId="10" applyAlignment="1">
      <alignment wrapText="1"/>
    </xf>
    <xf numFmtId="0" fontId="18" fillId="0" borderId="0" xfId="11" applyAlignment="1">
      <alignment wrapText="1"/>
    </xf>
  </cellXfs>
  <cellStyles count="44">
    <cellStyle name="Accounts Ref" xfId="15" xr:uid="{00000000-0005-0000-0000-000000000000}"/>
    <cellStyle name="Assumption" xfId="14" xr:uid="{00000000-0005-0000-0000-000001000000}"/>
    <cellStyle name="Comma" xfId="1" builtinId="3"/>
    <cellStyle name="Comma [0]" xfId="2" builtinId="6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2" xfId="43" xr:uid="{E5E29EAE-8245-4F95-B751-D9C883F65AC7}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rmal 3" xfId="42" xr:uid="{9D915720-914F-4917-A575-5220F55A30DC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13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12"/>
      <tableStyleElement type="firstRowStripe" dxfId="11"/>
      <tableStyleElement type="secondRow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microsoft.com/office/2017/06/relationships/richStyles" Target="richData/richStyles.xml"/><Relationship Id="rId29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3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30481</xdr:colOff>
      <xdr:row>11</xdr:row>
      <xdr:rowOff>15242</xdr:rowOff>
    </xdr:from>
    <xdr:to>
      <xdr:col>13</xdr:col>
      <xdr:colOff>168392</xdr:colOff>
      <xdr:row>25</xdr:row>
      <xdr:rowOff>109839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EF3379-49ED-6C5C-45AC-4C8CCD9B043D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Matplotlib!J10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1886" y="2054107"/>
          <a:ext cx="3158452" cy="2181516"/>
        </a:xfrm>
        <a:prstGeom prst="rect">
          <a:avLst/>
        </a:prstGeom>
      </xdr:spPr>
    </xdr:pic>
    <xdr:clientData/>
  </xdr:twoCellAnchor>
  <xdr:twoCellAnchor editAs="oneCell">
    <xdr:from>
      <xdr:col>9</xdr:col>
      <xdr:colOff>171622</xdr:colOff>
      <xdr:row>28</xdr:row>
      <xdr:rowOff>68287</xdr:rowOff>
    </xdr:from>
    <xdr:to>
      <xdr:col>12</xdr:col>
      <xdr:colOff>461048</xdr:colOff>
      <xdr:row>42</xdr:row>
      <xdr:rowOff>41048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5189A47-B6E1-3E72-9FA2-29E9B67BB615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Matplotlib!J28"/>
            </a:ext>
          </a:extLst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63027" y="4626557"/>
          <a:ext cx="2760778" cy="1991032"/>
        </a:xfrm>
        <a:prstGeom prst="rect">
          <a:avLst/>
        </a:prstGeom>
      </xdr:spPr>
    </xdr:pic>
    <xdr:clientData/>
  </xdr:twoCellAnchor>
  <xdr:twoCellAnchor editAs="oneCell">
    <xdr:from>
      <xdr:col>8</xdr:col>
      <xdr:colOff>1572378</xdr:colOff>
      <xdr:row>44</xdr:row>
      <xdr:rowOff>59832</xdr:rowOff>
    </xdr:from>
    <xdr:to>
      <xdr:col>11</xdr:col>
      <xdr:colOff>521730</xdr:colOff>
      <xdr:row>57</xdr:row>
      <xdr:rowOff>61784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8C31C6-6611-C904-5159-DF40CEC03553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Matplotlib!J44"/>
            </a:ext>
          </a:extLst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26973" y="6924697"/>
          <a:ext cx="2484757" cy="18760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10</xdr:row>
      <xdr:rowOff>76200</xdr:rowOff>
    </xdr:from>
    <xdr:to>
      <xdr:col>9</xdr:col>
      <xdr:colOff>440620</xdr:colOff>
      <xdr:row>28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19E945-CFF8-7855-CFD3-FD5EC5000758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Seaborn!C10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1480" y="1897380"/>
          <a:ext cx="3488620" cy="2598420"/>
        </a:xfrm>
        <a:prstGeom prst="rect">
          <a:avLst/>
        </a:prstGeom>
      </xdr:spPr>
    </xdr:pic>
    <xdr:clientData/>
  </xdr:twoCellAnchor>
  <xdr:twoCellAnchor editAs="oneCell">
    <xdr:from>
      <xdr:col>2</xdr:col>
      <xdr:colOff>236220</xdr:colOff>
      <xdr:row>31</xdr:row>
      <xdr:rowOff>11876</xdr:rowOff>
    </xdr:from>
    <xdr:to>
      <xdr:col>9</xdr:col>
      <xdr:colOff>266700</xdr:colOff>
      <xdr:row>46</xdr:row>
      <xdr:rowOff>99060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B9B70D0-C86E-48B0-6008-9F0562934D07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Seaborn!C30"/>
            </a:ext>
          </a:extLst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3420" y="4873436"/>
          <a:ext cx="3032760" cy="2258884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2">
    <v>580</v>
    <v>453</v>
  </a>
  <a r="2">
    <v>534</v>
    <v>413</v>
  </a>
  <a r="2">
    <v>547</v>
    <v>413</v>
  </a>
  <a r="2">
    <v>580</v>
    <v>432</v>
  </a>
</arrayData>
</file>

<file path=xl/richData/rdrichvalue.xml><?xml version="1.0" encoding="utf-8"?>
<rvData xmlns="http://schemas.microsoft.com/office/spreadsheetml/2017/richdata" count="19">
  <rv s="0">
    <v>0</v>
    <v>9</v>
  </rv>
  <rv s="1">
    <v>0</v>
  </rv>
  <rv s="2">
    <v>Image</v>
    <v>0</v>
    <v>0</v>
    <v>1</v>
  </rv>
  <rv s="3">
    <v>&lt;class 'PIL.PngImagePlugin.PngImageFile'&gt;</v>
    <v>PngImageFile</v>
    <v>&lt;PIL.PngImagePlugin.PngImageFile image mode=RGBA size=580x453 at 0x7FA9BCE06FC0&gt;</v>
    <v>2</v>
    <v>1</v>
  </rv>
  <rv s="0">
    <v>1</v>
    <v>9</v>
  </rv>
  <rv s="1">
    <v>1</v>
  </rv>
  <rv s="2">
    <v>Image</v>
    <v>0</v>
    <v>4</v>
    <v>5</v>
  </rv>
  <rv s="3">
    <v>&lt;class 'PIL.PngImagePlugin.PngImageFile'&gt;</v>
    <v>PngImageFile</v>
    <v>&lt;PIL.PngImagePlugin.PngImageFile image mode=RGBA size=534x413 at 0x7FA9C5DC76B0&gt;</v>
    <v>6</v>
    <v>1</v>
  </rv>
  <rv s="0">
    <v>2</v>
    <v>9</v>
  </rv>
  <rv s="1">
    <v>2</v>
  </rv>
  <rv s="2">
    <v>Image</v>
    <v>0</v>
    <v>8</v>
    <v>9</v>
  </rv>
  <rv s="3">
    <v>&lt;class 'PIL.PngImagePlugin.PngImageFile'&gt;</v>
    <v>PngImageFile</v>
    <v>&lt;PIL.PngImagePlugin.PngImageFile image mode=RGBA size=547x413 at 0x7FA9BAB39F40&gt;</v>
    <v>10</v>
    <v>1</v>
  </rv>
  <rv s="0">
    <v>3</v>
    <v>9</v>
  </rv>
  <rv s="1">
    <v>3</v>
  </rv>
  <rv s="2">
    <v>Image</v>
    <v>0</v>
    <v>12</v>
    <v>13</v>
  </rv>
  <rv s="3">
    <v>&lt;class 'PIL.PngImagePlugin.PngImageFile'&gt;</v>
    <v>PngImageFile</v>
    <v>&lt;PIL.PngImagePlugin.PngImageFile image mode=RGBA size=580x432 at 0x7FA9BA915790&gt;</v>
    <v>14</v>
    <v>1</v>
  </rv>
  <rv s="0">
    <v>4</v>
    <v>9</v>
  </rv>
  <rv s="2">
    <v>Image</v>
    <v>0</v>
    <v>16</v>
    <v>1</v>
  </rv>
  <rv s="3">
    <v>&lt;class 'PIL.PngImagePlugin.PngImageFile'&gt;</v>
    <v>PngImageFile</v>
    <v>&lt;PIL.PngImagePlugin.PngImageFile image mode=RGBA size=580x453 at 0x7FA9BCF08530&gt;</v>
    <v>17</v>
    <v>1</v>
  </rv>
</rvData>
</file>

<file path=xl/richData/rdrichvaluestructure.xml><?xml version="1.0" encoding="utf-8"?>
<rvStructures xmlns="http://schemas.microsoft.com/office/spreadsheetml/2017/richdata" count="4">
  <s t="_localImage">
    <k n="_rvRel:LocalImageIdentifier" t="i"/>
    <k n="CalcOrigin" t="i"/>
  </s>
  <s t="_array">
    <k n="array" t="a"/>
  </s>
  <s t="_entity">
    <k n="_DisplayString" t="s"/>
    <k n="_Format" t="spb"/>
    <k n="image" t="r"/>
    <k n="size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2">
  <s>
    <k n="image" t="i"/>
  </s>
  <s>
    <k n="link" t="s"/>
    <k n="logo" t="s"/>
    <k n="na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0"/>
  <richProperties>
    <rPr n="IsHeroField" t="b"/>
  </richProperties>
  <richStyles>
    <rSty>
      <rpv i="0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kathryn.newitt@sumproduct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S22"/>
  <sheetViews>
    <sheetView showGridLines="0" zoomScaleNormal="100" workbookViewId="0"/>
  </sheetViews>
  <sheetFormatPr defaultRowHeight="11.4" x14ac:dyDescent="0.2"/>
  <cols>
    <col min="3" max="4" width="3.75" customWidth="1"/>
  </cols>
  <sheetData>
    <row r="3" spans="1:19" ht="12" x14ac:dyDescent="0.25">
      <c r="A3" s="11" t="s">
        <v>0</v>
      </c>
    </row>
    <row r="5" spans="1:19" ht="21" x14ac:dyDescent="0.4">
      <c r="C5" s="40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7.399999999999999" x14ac:dyDescent="0.3">
      <c r="C6" s="41" t="str">
        <f>Model_Name</f>
        <v>SP Python in Excel Example Starter File Chapter 3</v>
      </c>
      <c r="D6" s="7"/>
      <c r="E6" s="7"/>
      <c r="F6" s="7"/>
      <c r="G6" s="7"/>
      <c r="H6" s="7"/>
      <c r="I6" s="7"/>
      <c r="J6" s="7"/>
    </row>
    <row r="7" spans="1:19" ht="13.8" x14ac:dyDescent="0.3">
      <c r="C7" s="7"/>
      <c r="D7" s="7"/>
      <c r="E7" s="7"/>
      <c r="F7" s="7"/>
      <c r="G7" s="7"/>
      <c r="H7" s="7"/>
      <c r="I7" s="7"/>
      <c r="J7" s="7"/>
    </row>
    <row r="8" spans="1:19" ht="13.8" x14ac:dyDescent="0.3">
      <c r="C8" s="7"/>
      <c r="D8" s="7"/>
      <c r="E8" s="7"/>
      <c r="F8" s="7"/>
      <c r="G8" s="7"/>
      <c r="H8" s="7"/>
      <c r="I8" s="7"/>
      <c r="J8" s="7"/>
    </row>
    <row r="9" spans="1:19" ht="13.8" x14ac:dyDescent="0.3">
      <c r="C9" s="7"/>
      <c r="D9" s="7"/>
      <c r="E9" s="7"/>
      <c r="F9" s="7"/>
      <c r="G9" s="7"/>
      <c r="H9" s="7"/>
      <c r="I9" s="7"/>
      <c r="J9" s="7"/>
    </row>
    <row r="10" spans="1:19" ht="13.8" x14ac:dyDescent="0.3">
      <c r="C10" s="7"/>
      <c r="D10" s="7"/>
      <c r="E10" s="7"/>
      <c r="F10" s="7"/>
      <c r="G10" s="7"/>
      <c r="H10" s="7"/>
      <c r="I10" s="7"/>
      <c r="J10" s="7"/>
    </row>
    <row r="11" spans="1:19" ht="14.4" x14ac:dyDescent="0.3">
      <c r="C11" s="7"/>
      <c r="D11" s="7"/>
      <c r="E11" s="7"/>
      <c r="F11" s="7"/>
      <c r="G11" s="7"/>
      <c r="H11" s="7"/>
      <c r="I11" s="7"/>
      <c r="J11" s="7"/>
      <c r="S11" s="38"/>
    </row>
    <row r="12" spans="1:19" ht="13.8" x14ac:dyDescent="0.3">
      <c r="C12" s="7"/>
      <c r="D12" s="7"/>
      <c r="E12" s="7"/>
      <c r="F12" s="7"/>
      <c r="G12" s="7"/>
      <c r="H12" s="7"/>
      <c r="I12" s="7"/>
      <c r="J12" s="7"/>
    </row>
    <row r="13" spans="1:19" ht="13.8" x14ac:dyDescent="0.3">
      <c r="C13" s="7"/>
      <c r="D13" s="7"/>
      <c r="E13" s="7"/>
      <c r="F13" s="7"/>
      <c r="G13" s="7"/>
      <c r="H13" s="7"/>
      <c r="I13" s="7"/>
      <c r="J13" s="7"/>
    </row>
    <row r="14" spans="1:19" ht="13.8" x14ac:dyDescent="0.3">
      <c r="C14" s="8" t="s">
        <v>71</v>
      </c>
      <c r="D14" s="9"/>
      <c r="E14" s="7"/>
      <c r="F14" s="7"/>
      <c r="G14" s="7"/>
      <c r="H14" s="7"/>
      <c r="I14" s="7"/>
      <c r="J14" s="7"/>
    </row>
    <row r="15" spans="1:19" ht="13.8" x14ac:dyDescent="0.3">
      <c r="C15" s="9"/>
      <c r="D15" s="9"/>
      <c r="E15" s="7"/>
      <c r="F15" s="7"/>
      <c r="G15" s="7"/>
      <c r="H15" s="7"/>
      <c r="I15" s="7"/>
      <c r="J15" s="7"/>
    </row>
    <row r="16" spans="1:19" ht="13.8" x14ac:dyDescent="0.3">
      <c r="C16" s="8" t="s">
        <v>1</v>
      </c>
      <c r="D16" s="9"/>
      <c r="E16" s="7"/>
      <c r="F16" s="7"/>
      <c r="G16" s="7"/>
      <c r="H16" s="7"/>
      <c r="I16" s="7"/>
      <c r="J16" s="7"/>
    </row>
    <row r="17" spans="3:10" ht="13.8" x14ac:dyDescent="0.2">
      <c r="C17" s="59" t="s">
        <v>70</v>
      </c>
      <c r="D17" s="59"/>
      <c r="E17" s="59"/>
      <c r="F17" s="59"/>
      <c r="G17" s="59"/>
      <c r="H17" s="59"/>
      <c r="I17" s="59"/>
      <c r="J17" s="59"/>
    </row>
    <row r="18" spans="3:10" ht="13.8" x14ac:dyDescent="0.2">
      <c r="C18" s="59"/>
      <c r="D18" s="59"/>
      <c r="E18" s="59"/>
      <c r="F18" s="59"/>
      <c r="G18" s="59"/>
      <c r="H18" s="59"/>
      <c r="I18" s="59"/>
      <c r="J18" s="59"/>
    </row>
    <row r="19" spans="3:10" ht="13.8" x14ac:dyDescent="0.3">
      <c r="C19" s="10"/>
      <c r="D19" s="9"/>
      <c r="E19" s="7"/>
      <c r="F19" s="7"/>
      <c r="G19" s="7"/>
      <c r="H19" s="7"/>
      <c r="I19" s="7"/>
      <c r="J19" s="7"/>
    </row>
    <row r="20" spans="3:10" ht="13.8" x14ac:dyDescent="0.3">
      <c r="C20" s="10"/>
      <c r="D20" s="9"/>
      <c r="E20" s="7"/>
      <c r="F20" s="7"/>
      <c r="G20" s="7"/>
      <c r="H20" s="7"/>
      <c r="I20" s="7"/>
      <c r="J20" s="7"/>
    </row>
    <row r="21" spans="3:10" ht="13.8" x14ac:dyDescent="0.3">
      <c r="C21" s="10" t="s">
        <v>2</v>
      </c>
      <c r="D21" s="9"/>
      <c r="E21" s="7"/>
      <c r="F21" s="7"/>
      <c r="G21" s="60" t="s">
        <v>72</v>
      </c>
      <c r="H21" s="60"/>
      <c r="I21" s="60"/>
      <c r="J21" s="7"/>
    </row>
    <row r="22" spans="3:10" ht="13.8" x14ac:dyDescent="0.3">
      <c r="C22" s="10" t="s">
        <v>3</v>
      </c>
      <c r="D22" s="9"/>
      <c r="E22" s="7"/>
      <c r="F22" s="7"/>
      <c r="G22" s="60" t="s">
        <v>4</v>
      </c>
      <c r="H22" s="60"/>
      <c r="I22" s="60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7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11.4" x14ac:dyDescent="0.2"/>
  <cols>
    <col min="1" max="5" width="3.75" customWidth="1"/>
    <col min="6" max="6" width="17.75" customWidth="1"/>
  </cols>
  <sheetData>
    <row r="1" spans="1:12" ht="21" x14ac:dyDescent="0.4">
      <c r="A1" s="40" t="s">
        <v>0</v>
      </c>
      <c r="F1" s="12"/>
      <c r="G1" s="12"/>
    </row>
    <row r="2" spans="1:12" ht="17.399999999999999" x14ac:dyDescent="0.3">
      <c r="A2" s="41" t="str">
        <f>Model_Name</f>
        <v>SP Python in Excel Example Starter File Chapter 3</v>
      </c>
    </row>
    <row r="3" spans="1:12" ht="12" x14ac:dyDescent="0.25">
      <c r="A3" s="11" t="s">
        <v>0</v>
      </c>
      <c r="B3" s="11"/>
      <c r="C3" s="11"/>
      <c r="D3" s="11"/>
      <c r="E3" s="11"/>
    </row>
    <row r="4" spans="1:12" ht="13.8" x14ac:dyDescent="0.25">
      <c r="E4" t="s">
        <v>5</v>
      </c>
      <c r="G4" s="24">
        <f>Overall_Error_Check</f>
        <v>0</v>
      </c>
    </row>
    <row r="7" spans="1:12" ht="16.2" thickBot="1" x14ac:dyDescent="0.35">
      <c r="B7" s="42">
        <v>1</v>
      </c>
      <c r="C7" s="42" t="s">
        <v>6</v>
      </c>
      <c r="D7" s="42"/>
      <c r="E7" s="42"/>
      <c r="F7" s="42"/>
      <c r="G7" s="42"/>
      <c r="H7" s="42"/>
      <c r="I7" s="42"/>
      <c r="J7" s="42"/>
      <c r="K7" s="42"/>
      <c r="L7" s="42"/>
    </row>
    <row r="8" spans="1:12" ht="12" thickTop="1" x14ac:dyDescent="0.2"/>
    <row r="9" spans="1:12" ht="12" x14ac:dyDescent="0.25">
      <c r="F9" s="11" t="s">
        <v>7</v>
      </c>
    </row>
    <row r="10" spans="1:12" ht="12" x14ac:dyDescent="0.25">
      <c r="F10" s="11" t="s">
        <v>9</v>
      </c>
    </row>
    <row r="11" spans="1:12" ht="12" x14ac:dyDescent="0.25">
      <c r="F11" s="11" t="s">
        <v>8</v>
      </c>
    </row>
    <row r="12" spans="1:12" ht="12" x14ac:dyDescent="0.25">
      <c r="F12" s="11" t="s">
        <v>124</v>
      </c>
    </row>
    <row r="13" spans="1:12" ht="12" x14ac:dyDescent="0.25">
      <c r="F13" s="11" t="s">
        <v>125</v>
      </c>
    </row>
    <row r="14" spans="1:12" ht="12" x14ac:dyDescent="0.25">
      <c r="F14" s="11" t="s">
        <v>126</v>
      </c>
    </row>
    <row r="15" spans="1:12" ht="12" x14ac:dyDescent="0.25">
      <c r="F15" s="11" t="s">
        <v>127</v>
      </c>
    </row>
    <row r="16" spans="1:12" ht="12" x14ac:dyDescent="0.25">
      <c r="F16" s="11" t="s">
        <v>128</v>
      </c>
    </row>
    <row r="17" spans="6:6" ht="12" x14ac:dyDescent="0.25">
      <c r="F17" s="11" t="s">
        <v>10</v>
      </c>
    </row>
  </sheetData>
  <hyperlinks>
    <hyperlink ref="A3:E3" location="HL_Navigator" tooltip="Go to Navigator (Table of Contents)" display="Navigator" xr:uid="{00000000-0004-0000-0100-000000000000}"/>
    <hyperlink ref="F9" location="HL_1" display="Cover" xr:uid="{D8423BC7-5BE2-4133-9D73-82EEA0C66560}"/>
    <hyperlink ref="F10" location="HL_3" display="Model Parameters" xr:uid="{174DE1E3-A144-4993-BE76-C0A1F132E9D3}"/>
    <hyperlink ref="F11" location="HL_4" display="Style Guide" xr:uid="{EB49D3DC-EEF6-44A9-9887-E06E7E5588BF}"/>
    <hyperlink ref="F12" location="HL_5" display="Pandas clean and transform" xr:uid="{2537D0D2-C8F4-4BBC-AB62-BDEDA4631F64}"/>
    <hyperlink ref="F13" location="HL_6" display="NumPy arrays" xr:uid="{74C7EA14-ECB2-4082-A0E0-207B1694B3B9}"/>
    <hyperlink ref="F14" location="HL_7" display="Matplotlib" xr:uid="{B49394C6-0299-46BD-8A94-765F57E6011E}"/>
    <hyperlink ref="F15" location="HL_8" display="Seaborn" xr:uid="{F0EC9651-1D85-49C2-BC66-B70F40CBD9AB}"/>
    <hyperlink ref="F16" location="HL_9" display="Statsmodels" xr:uid="{BE347CE6-B27A-452A-9185-1E48C28BDF95}"/>
    <hyperlink ref="F17" location="HL_10" display="Error Checks" xr:uid="{ACDB79EE-FC8A-4869-B33A-32B71B44B05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14" activePane="bottomLeft" state="frozen"/>
      <selection activeCell="A3" sqref="A3:E3"/>
      <selection pane="bottomLeft" activeCell="G22" sqref="G22"/>
    </sheetView>
  </sheetViews>
  <sheetFormatPr defaultColWidth="0" defaultRowHeight="11.4" outlineLevelRow="1" x14ac:dyDescent="0.2"/>
  <cols>
    <col min="1" max="5" width="3.75" customWidth="1"/>
    <col min="6" max="6" width="16.125" customWidth="1"/>
    <col min="7" max="7" width="14.375" customWidth="1"/>
    <col min="8" max="8" width="3" customWidth="1"/>
    <col min="9" max="18" width="9.125" customWidth="1"/>
    <col min="19" max="19" width="1.75" customWidth="1"/>
    <col min="20" max="16384" width="9.125" hidden="1"/>
  </cols>
  <sheetData>
    <row r="1" spans="1:18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Model Parameters</v>
      </c>
      <c r="J1" s="60"/>
      <c r="K1" s="60"/>
    </row>
    <row r="2" spans="1:18" ht="17.399999999999999" x14ac:dyDescent="0.3">
      <c r="A2" s="41" t="str">
        <f>Model_Name</f>
        <v>SP Python in Excel Example Starter File Chapter 3</v>
      </c>
    </row>
    <row r="3" spans="1:18" ht="12" x14ac:dyDescent="0.25">
      <c r="A3" s="60" t="s">
        <v>0</v>
      </c>
      <c r="B3" s="60"/>
      <c r="C3" s="60"/>
      <c r="D3" s="60"/>
      <c r="E3" s="60"/>
    </row>
    <row r="4" spans="1:18" ht="13.8" x14ac:dyDescent="0.25">
      <c r="E4" t="s">
        <v>5</v>
      </c>
      <c r="I4" s="1">
        <f>Overall_Error_Check</f>
        <v>0</v>
      </c>
    </row>
    <row r="6" spans="1:18" ht="16.2" thickBot="1" x14ac:dyDescent="0.35">
      <c r="B6" s="42">
        <f>MAX($B$5:$B5)+1</f>
        <v>1</v>
      </c>
      <c r="C6" s="2" t="s">
        <v>51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" outlineLevel="1" thickTop="1" x14ac:dyDescent="0.2"/>
    <row r="8" spans="1:18" ht="16.8" outlineLevel="1" x14ac:dyDescent="0.3">
      <c r="C8" s="3" t="s">
        <v>52</v>
      </c>
    </row>
    <row r="9" spans="1:18" ht="16.8" outlineLevel="1" x14ac:dyDescent="0.3">
      <c r="C9" s="3"/>
    </row>
    <row r="10" spans="1:18" ht="16.8" outlineLevel="1" x14ac:dyDescent="0.3">
      <c r="C10" s="3"/>
      <c r="E10" s="4" t="s">
        <v>51</v>
      </c>
    </row>
    <row r="11" spans="1:18" outlineLevel="1" x14ac:dyDescent="0.2">
      <c r="E11" t="s">
        <v>16</v>
      </c>
      <c r="G11" s="61" t="str">
        <f ca="1">IF(ISERROR(OR(FIND("[",CELL("filename",A1)),FIND("]",CELL("filename",A1)))),"",MID(CELL("filename",A1),FIND("[",CELL("filename",A1))+1,FIND("]",CELL("filename",A1))-FIND("[",CELL("filename",A1))-1))</f>
        <v>SP Python in Excel Example Starter File Chapter 3.xlsm</v>
      </c>
      <c r="H11" s="62"/>
      <c r="I11" s="62"/>
      <c r="J11" s="62"/>
      <c r="K11" s="62"/>
      <c r="L11" s="62"/>
      <c r="M11" s="62"/>
      <c r="N11" s="63"/>
    </row>
    <row r="12" spans="1:18" outlineLevel="1" x14ac:dyDescent="0.2">
      <c r="E12" t="s">
        <v>53</v>
      </c>
      <c r="G12" s="64" t="s">
        <v>54</v>
      </c>
      <c r="H12" s="64"/>
      <c r="I12" s="64"/>
      <c r="J12" s="64"/>
      <c r="K12" s="64"/>
      <c r="L12" s="64"/>
      <c r="M12" s="64"/>
      <c r="N12" s="64"/>
    </row>
    <row r="13" spans="1:18" outlineLevel="1" x14ac:dyDescent="0.2"/>
    <row r="14" spans="1:18" outlineLevel="1" x14ac:dyDescent="0.2"/>
    <row r="15" spans="1:18" ht="16.2" thickBot="1" x14ac:dyDescent="0.35">
      <c r="B15" s="42">
        <f>MAX($B$5:$B14)+1</f>
        <v>2</v>
      </c>
      <c r="C15" s="2" t="s">
        <v>55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" outlineLevel="1" thickTop="1" x14ac:dyDescent="0.2"/>
    <row r="17" spans="3:7" ht="16.8" outlineLevel="1" x14ac:dyDescent="0.3">
      <c r="C17" s="3" t="s">
        <v>56</v>
      </c>
    </row>
    <row r="18" spans="3:7" outlineLevel="1" x14ac:dyDescent="0.2"/>
    <row r="19" spans="3:7" outlineLevel="1" x14ac:dyDescent="0.2">
      <c r="E19" t="s">
        <v>57</v>
      </c>
      <c r="G19" s="5">
        <v>365</v>
      </c>
    </row>
    <row r="20" spans="3:7" outlineLevel="1" x14ac:dyDescent="0.2">
      <c r="E20" t="s">
        <v>58</v>
      </c>
      <c r="G20" s="5">
        <v>1</v>
      </c>
    </row>
    <row r="21" spans="3:7" outlineLevel="1" x14ac:dyDescent="0.2">
      <c r="E21" t="s">
        <v>59</v>
      </c>
      <c r="G21" s="5">
        <v>3</v>
      </c>
    </row>
    <row r="22" spans="3:7" outlineLevel="1" x14ac:dyDescent="0.2">
      <c r="E22" t="s">
        <v>60</v>
      </c>
      <c r="G22" s="5">
        <v>6</v>
      </c>
    </row>
    <row r="23" spans="3:7" outlineLevel="1" x14ac:dyDescent="0.2">
      <c r="E23" t="s">
        <v>61</v>
      </c>
      <c r="G23" s="5">
        <v>12</v>
      </c>
    </row>
    <row r="24" spans="3:7" outlineLevel="1" x14ac:dyDescent="0.2">
      <c r="E24" t="s">
        <v>62</v>
      </c>
      <c r="G24" s="5">
        <v>4</v>
      </c>
    </row>
    <row r="25" spans="3:7" outlineLevel="1" x14ac:dyDescent="0.2"/>
    <row r="26" spans="3:7" outlineLevel="1" x14ac:dyDescent="0.2">
      <c r="E26" t="s">
        <v>63</v>
      </c>
      <c r="G26" s="5">
        <v>5</v>
      </c>
    </row>
    <row r="27" spans="3:7" outlineLevel="1" x14ac:dyDescent="0.2"/>
    <row r="28" spans="3:7" outlineLevel="1" x14ac:dyDescent="0.2">
      <c r="E28" t="s">
        <v>64</v>
      </c>
      <c r="G28" s="6">
        <v>9.9999999999999997E+98</v>
      </c>
    </row>
    <row r="29" spans="3:7" outlineLevel="1" x14ac:dyDescent="0.2">
      <c r="E29" t="s">
        <v>65</v>
      </c>
      <c r="G29" s="6">
        <v>1E-8</v>
      </c>
    </row>
    <row r="30" spans="3:7" outlineLevel="1" x14ac:dyDescent="0.2"/>
    <row r="31" spans="3:7" outlineLevel="1" x14ac:dyDescent="0.2">
      <c r="E31" t="s">
        <v>66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9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howOutlineSymbols="0"/>
  </sheetPr>
  <dimension ref="A1:O81"/>
  <sheetViews>
    <sheetView showGridLines="0" showOutlineSymbols="0" zoomScaleNormal="100" workbookViewId="0">
      <pane ySplit="4" topLeftCell="A65" activePane="bottomLeft" state="frozen"/>
      <selection pane="bottomLeft"/>
    </sheetView>
  </sheetViews>
  <sheetFormatPr defaultColWidth="0" defaultRowHeight="11.4" outlineLevelRow="1" x14ac:dyDescent="0.2"/>
  <cols>
    <col min="1" max="5" width="3.75" customWidth="1"/>
    <col min="6" max="7" width="9.125" customWidth="1"/>
    <col min="8" max="8" width="1.75" customWidth="1"/>
    <col min="9" max="9" width="17.125" bestFit="1" customWidth="1"/>
    <col min="10" max="10" width="1.75" customWidth="1"/>
    <col min="11" max="11" width="23.375" customWidth="1"/>
    <col min="12" max="13" width="9.125" customWidth="1"/>
    <col min="14" max="14" width="1.75" customWidth="1"/>
    <col min="15" max="15" width="0" hidden="1" customWidth="1"/>
    <col min="16" max="16384" width="9.125" hidden="1"/>
  </cols>
  <sheetData>
    <row r="1" spans="1:13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7.399999999999999" x14ac:dyDescent="0.3">
      <c r="A2" s="41" t="str">
        <f>Model_Name</f>
        <v>SP Python in Excel Example Starter File Chapter 3</v>
      </c>
    </row>
    <row r="3" spans="1:13" ht="12" x14ac:dyDescent="0.25">
      <c r="A3" s="60" t="s">
        <v>0</v>
      </c>
      <c r="B3" s="60"/>
      <c r="C3" s="60"/>
      <c r="D3" s="60"/>
      <c r="E3" s="60"/>
    </row>
    <row r="4" spans="1:13" ht="13.8" x14ac:dyDescent="0.25">
      <c r="E4" t="s">
        <v>5</v>
      </c>
      <c r="I4" s="1">
        <f>Overall_Error_Check</f>
        <v>0</v>
      </c>
    </row>
    <row r="6" spans="1:13" ht="16.2" thickBot="1" x14ac:dyDescent="0.35">
      <c r="B6" s="42">
        <f>MAX($B$5:$B5)+1</f>
        <v>1</v>
      </c>
      <c r="C6" s="2" t="s">
        <v>11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" outlineLevel="1" thickTop="1" x14ac:dyDescent="0.2"/>
    <row r="8" spans="1:13" ht="12" outlineLevel="1" x14ac:dyDescent="0.25">
      <c r="C8" s="66" t="s">
        <v>12</v>
      </c>
      <c r="D8" s="66"/>
      <c r="E8" s="66"/>
      <c r="F8" s="66"/>
      <c r="G8" s="66"/>
      <c r="H8" s="13"/>
      <c r="I8" s="13" t="s">
        <v>13</v>
      </c>
      <c r="J8" s="13"/>
      <c r="K8" s="13" t="s">
        <v>14</v>
      </c>
    </row>
    <row r="9" spans="1:13" outlineLevel="1" x14ac:dyDescent="0.2">
      <c r="C9" s="65"/>
      <c r="D9" s="65"/>
      <c r="E9" s="65"/>
      <c r="F9" s="65"/>
      <c r="G9" s="65"/>
      <c r="K9" s="17"/>
    </row>
    <row r="10" spans="1:13" ht="21" outlineLevel="1" x14ac:dyDescent="0.4">
      <c r="C10" s="65" t="s">
        <v>15</v>
      </c>
      <c r="D10" s="65"/>
      <c r="E10" s="65"/>
      <c r="F10" s="65"/>
      <c r="G10" s="65"/>
      <c r="I10" s="14" t="str">
        <f>C10</f>
        <v>Sheet Title</v>
      </c>
      <c r="K10" s="15" t="s">
        <v>15</v>
      </c>
    </row>
    <row r="11" spans="1:13" ht="17.399999999999999" outlineLevel="1" x14ac:dyDescent="0.3">
      <c r="C11" s="65" t="s">
        <v>16</v>
      </c>
      <c r="D11" s="65"/>
      <c r="E11" s="65"/>
      <c r="F11" s="65"/>
      <c r="G11" s="65"/>
      <c r="I11" s="16" t="str">
        <f>C11</f>
        <v>Model Name</v>
      </c>
      <c r="K11" s="15" t="s">
        <v>16</v>
      </c>
    </row>
    <row r="12" spans="1:13" outlineLevel="1" x14ac:dyDescent="0.2">
      <c r="C12" s="65"/>
      <c r="D12" s="65"/>
      <c r="E12" s="65"/>
      <c r="F12" s="65"/>
      <c r="G12" s="65"/>
      <c r="K12" s="17"/>
    </row>
    <row r="13" spans="1:13" ht="16.2" outlineLevel="1" thickBot="1" x14ac:dyDescent="0.35">
      <c r="C13" s="65" t="s">
        <v>17</v>
      </c>
      <c r="D13" s="65"/>
      <c r="E13" s="65"/>
      <c r="F13" s="65"/>
      <c r="G13" s="65"/>
      <c r="I13" s="39" t="str">
        <f>C13</f>
        <v>Header 1</v>
      </c>
      <c r="K13" s="15" t="s">
        <v>17</v>
      </c>
    </row>
    <row r="14" spans="1:13" ht="17.399999999999999" outlineLevel="1" thickTop="1" x14ac:dyDescent="0.3">
      <c r="C14" s="65" t="s">
        <v>18</v>
      </c>
      <c r="D14" s="65"/>
      <c r="E14" s="65"/>
      <c r="F14" s="65"/>
      <c r="G14" s="65"/>
      <c r="I14" s="3" t="str">
        <f>C14</f>
        <v>Header 2</v>
      </c>
      <c r="K14" s="15" t="s">
        <v>18</v>
      </c>
    </row>
    <row r="15" spans="1:13" ht="14.4" outlineLevel="1" x14ac:dyDescent="0.3">
      <c r="C15" s="65" t="s">
        <v>19</v>
      </c>
      <c r="D15" s="65"/>
      <c r="E15" s="65"/>
      <c r="F15" s="65"/>
      <c r="G15" s="65"/>
      <c r="I15" s="4" t="str">
        <f>C15</f>
        <v>Header 3</v>
      </c>
      <c r="K15" s="15" t="s">
        <v>19</v>
      </c>
    </row>
    <row r="16" spans="1:13" ht="14.4" outlineLevel="1" x14ac:dyDescent="0.3">
      <c r="C16" s="65" t="s">
        <v>20</v>
      </c>
      <c r="D16" s="65"/>
      <c r="E16" s="65"/>
      <c r="F16" s="65"/>
      <c r="G16" s="65"/>
      <c r="I16" s="18" t="str">
        <f>C16</f>
        <v>Header 4</v>
      </c>
      <c r="K16" s="15" t="s">
        <v>20</v>
      </c>
    </row>
    <row r="17" spans="2:14" outlineLevel="1" x14ac:dyDescent="0.2">
      <c r="C17" s="65"/>
      <c r="D17" s="65"/>
      <c r="E17" s="65"/>
      <c r="F17" s="65"/>
      <c r="G17" s="65"/>
      <c r="K17" s="17"/>
    </row>
    <row r="18" spans="2:14" ht="14.4" outlineLevel="1" x14ac:dyDescent="0.3">
      <c r="C18" s="65" t="s">
        <v>21</v>
      </c>
      <c r="D18" s="65"/>
      <c r="E18" s="65"/>
      <c r="F18" s="65"/>
      <c r="G18" s="65"/>
      <c r="I18" s="19" t="str">
        <f>C18</f>
        <v>Notes</v>
      </c>
      <c r="K18" s="15" t="s">
        <v>21</v>
      </c>
    </row>
    <row r="19" spans="2:14" outlineLevel="1" x14ac:dyDescent="0.2">
      <c r="C19" s="65"/>
      <c r="D19" s="65"/>
      <c r="E19" s="65"/>
      <c r="F19" s="65"/>
      <c r="G19" s="65"/>
      <c r="K19" s="17"/>
      <c r="N19" s="19"/>
    </row>
    <row r="20" spans="2:14" ht="14.4" outlineLevel="1" x14ac:dyDescent="0.3">
      <c r="C20" s="65" t="s">
        <v>22</v>
      </c>
      <c r="D20" s="65"/>
      <c r="E20" s="65"/>
      <c r="F20" s="65"/>
      <c r="G20" s="65"/>
      <c r="I20" s="13" t="str">
        <f>C20</f>
        <v>Table Heading</v>
      </c>
      <c r="K20" s="15" t="s">
        <v>22</v>
      </c>
    </row>
    <row r="21" spans="2:14" outlineLevel="1" x14ac:dyDescent="0.2"/>
    <row r="22" spans="2:14" outlineLevel="1" x14ac:dyDescent="0.2"/>
    <row r="23" spans="2:14" ht="16.2" thickBot="1" x14ac:dyDescent="0.35">
      <c r="B23" s="42">
        <f>MAX($B$5:$B22)+1</f>
        <v>2</v>
      </c>
      <c r="C23" s="2" t="s">
        <v>23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" outlineLevel="1" thickTop="1" x14ac:dyDescent="0.2"/>
    <row r="25" spans="2:14" ht="12" outlineLevel="1" x14ac:dyDescent="0.25">
      <c r="C25" s="66" t="s">
        <v>12</v>
      </c>
      <c r="D25" s="66"/>
      <c r="E25" s="66"/>
      <c r="F25" s="66"/>
      <c r="G25" s="66"/>
      <c r="H25" s="13"/>
      <c r="I25" s="13" t="s">
        <v>13</v>
      </c>
      <c r="J25" s="13"/>
      <c r="K25" s="13" t="s">
        <v>14</v>
      </c>
    </row>
    <row r="26" spans="2:14" ht="14.4" outlineLevel="1" x14ac:dyDescent="0.3">
      <c r="C26" s="65"/>
      <c r="D26" s="65"/>
      <c r="E26" s="65"/>
      <c r="F26" s="65"/>
      <c r="G26" s="65"/>
      <c r="K26" s="15"/>
    </row>
    <row r="27" spans="2:14" ht="14.4" outlineLevel="1" x14ac:dyDescent="0.3">
      <c r="C27" s="65" t="s">
        <v>24</v>
      </c>
      <c r="D27" s="65"/>
      <c r="E27" s="65"/>
      <c r="F27" s="65"/>
      <c r="G27" s="65"/>
      <c r="I27" s="20" t="s">
        <v>24</v>
      </c>
      <c r="K27" s="21" t="str">
        <f>C27</f>
        <v>Assumption</v>
      </c>
    </row>
    <row r="28" spans="2:14" ht="14.4" outlineLevel="1" x14ac:dyDescent="0.3">
      <c r="C28" s="65"/>
      <c r="D28" s="65"/>
      <c r="E28" s="65"/>
      <c r="F28" s="65"/>
      <c r="G28" s="65"/>
      <c r="K28" s="21"/>
    </row>
    <row r="29" spans="2:14" ht="14.4" outlineLevel="1" x14ac:dyDescent="0.3">
      <c r="C29" s="65" t="s">
        <v>25</v>
      </c>
      <c r="D29" s="65"/>
      <c r="E29" s="65"/>
      <c r="F29" s="65"/>
      <c r="G29" s="65"/>
      <c r="I29" s="22" t="str">
        <f>C29</f>
        <v>Constraint</v>
      </c>
      <c r="K29" s="21" t="str">
        <f>C29</f>
        <v>Constraint</v>
      </c>
    </row>
    <row r="30" spans="2:14" ht="14.4" outlineLevel="1" x14ac:dyDescent="0.3">
      <c r="C30" s="65"/>
      <c r="D30" s="65"/>
      <c r="E30" s="65"/>
      <c r="F30" s="65"/>
      <c r="G30" s="65"/>
      <c r="K30" s="21"/>
    </row>
    <row r="31" spans="2:14" ht="14.4" outlineLevel="1" x14ac:dyDescent="0.3">
      <c r="C31" s="65" t="s">
        <v>26</v>
      </c>
      <c r="D31" s="65"/>
      <c r="E31" s="65"/>
      <c r="F31" s="65"/>
      <c r="G31" s="65"/>
      <c r="I31" s="23"/>
      <c r="K31" s="21" t="str">
        <f>C31</f>
        <v>Empty</v>
      </c>
    </row>
    <row r="32" spans="2:14" ht="14.4" outlineLevel="1" x14ac:dyDescent="0.3">
      <c r="C32" s="65"/>
      <c r="D32" s="65"/>
      <c r="E32" s="65"/>
      <c r="F32" s="65"/>
      <c r="G32" s="65"/>
      <c r="K32" s="21"/>
    </row>
    <row r="33" spans="3:11" ht="14.4" outlineLevel="1" x14ac:dyDescent="0.3">
      <c r="C33" t="s">
        <v>27</v>
      </c>
      <c r="I33" s="24">
        <v>0</v>
      </c>
      <c r="K33" s="21" t="str">
        <f>C33</f>
        <v>Error Check</v>
      </c>
    </row>
    <row r="34" spans="3:11" ht="14.4" outlineLevel="1" x14ac:dyDescent="0.3">
      <c r="K34" s="21"/>
    </row>
    <row r="35" spans="3:11" ht="14.4" outlineLevel="1" x14ac:dyDescent="0.3">
      <c r="C35" s="65" t="s">
        <v>28</v>
      </c>
      <c r="D35" s="65"/>
      <c r="E35" s="65"/>
      <c r="F35" s="65"/>
      <c r="G35" s="65"/>
      <c r="I35" s="11" t="s">
        <v>28</v>
      </c>
      <c r="K35" s="21" t="str">
        <f>C35</f>
        <v>Hyperlink</v>
      </c>
    </row>
    <row r="36" spans="3:11" ht="14.4" outlineLevel="1" x14ac:dyDescent="0.3">
      <c r="C36" s="65"/>
      <c r="D36" s="65"/>
      <c r="E36" s="65"/>
      <c r="F36" s="65"/>
      <c r="G36" s="65"/>
      <c r="K36" s="21"/>
    </row>
    <row r="37" spans="3:11" ht="14.4" outlineLevel="1" x14ac:dyDescent="0.3">
      <c r="C37" s="65" t="s">
        <v>29</v>
      </c>
      <c r="D37" s="65"/>
      <c r="E37" s="65"/>
      <c r="F37" s="65"/>
      <c r="G37" s="65"/>
      <c r="I37" s="25" t="str">
        <f>'Error Checks'!E12</f>
        <v>Example</v>
      </c>
      <c r="K37" s="21" t="str">
        <f>C37</f>
        <v>Internal Reference</v>
      </c>
    </row>
    <row r="38" spans="3:11" ht="14.4" outlineLevel="1" x14ac:dyDescent="0.3">
      <c r="C38" s="65"/>
      <c r="D38" s="65"/>
      <c r="E38" s="65"/>
      <c r="F38" s="65"/>
      <c r="G38" s="65"/>
      <c r="K38" s="21"/>
    </row>
    <row r="39" spans="3:11" ht="14.4" outlineLevel="1" x14ac:dyDescent="0.3">
      <c r="C39" s="65" t="s">
        <v>30</v>
      </c>
      <c r="D39" s="65"/>
      <c r="E39" s="65"/>
      <c r="F39" s="65"/>
      <c r="G39" s="65"/>
      <c r="I39" s="26">
        <v>77</v>
      </c>
      <c r="K39" s="21" t="s">
        <v>31</v>
      </c>
    </row>
    <row r="40" spans="3:11" ht="14.4" outlineLevel="1" x14ac:dyDescent="0.3">
      <c r="C40" s="65"/>
      <c r="D40" s="65"/>
      <c r="E40" s="65"/>
      <c r="F40" s="65"/>
      <c r="G40" s="65"/>
      <c r="K40" s="21"/>
    </row>
    <row r="41" spans="3:11" ht="14.4" outlineLevel="1" x14ac:dyDescent="0.3">
      <c r="C41" s="65" t="s">
        <v>32</v>
      </c>
      <c r="D41" s="65"/>
      <c r="E41" s="65"/>
      <c r="F41" s="65"/>
      <c r="G41" s="65"/>
      <c r="I41" s="27">
        <f>I39</f>
        <v>77</v>
      </c>
      <c r="K41" s="21" t="str">
        <f>C41</f>
        <v>Line Total</v>
      </c>
    </row>
    <row r="42" spans="3:11" ht="14.4" outlineLevel="1" x14ac:dyDescent="0.3">
      <c r="C42" s="65"/>
      <c r="D42" s="65"/>
      <c r="E42" s="65"/>
      <c r="F42" s="65"/>
      <c r="G42" s="65"/>
      <c r="K42" s="21"/>
    </row>
    <row r="43" spans="3:11" ht="14.4" outlineLevel="1" x14ac:dyDescent="0.3">
      <c r="C43" s="65" t="s">
        <v>33</v>
      </c>
      <c r="D43" s="65"/>
      <c r="E43" s="65"/>
      <c r="F43" s="65"/>
      <c r="G43" s="65"/>
      <c r="I43" s="28">
        <v>365</v>
      </c>
      <c r="K43" s="21" t="str">
        <f>C43</f>
        <v>Parameter</v>
      </c>
    </row>
    <row r="44" spans="3:11" ht="14.4" outlineLevel="1" x14ac:dyDescent="0.3">
      <c r="C44" s="65"/>
      <c r="D44" s="65"/>
      <c r="E44" s="65"/>
      <c r="F44" s="65"/>
      <c r="G44" s="65"/>
      <c r="K44" s="21"/>
    </row>
    <row r="45" spans="3:11" ht="14.4" outlineLevel="1" x14ac:dyDescent="0.3">
      <c r="C45" s="65" t="s">
        <v>34</v>
      </c>
      <c r="D45" s="65"/>
      <c r="E45" s="65"/>
      <c r="F45" s="65"/>
      <c r="G45" s="65"/>
      <c r="I45" s="29" t="s">
        <v>35</v>
      </c>
      <c r="K45" s="21" t="str">
        <f>C45</f>
        <v>Range Name Description</v>
      </c>
    </row>
    <row r="46" spans="3:11" ht="14.4" outlineLevel="1" x14ac:dyDescent="0.3">
      <c r="C46" s="65"/>
      <c r="D46" s="65"/>
      <c r="E46" s="65"/>
      <c r="F46" s="65"/>
      <c r="G46" s="65"/>
      <c r="K46" s="21"/>
    </row>
    <row r="47" spans="3:11" ht="14.4" outlineLevel="1" x14ac:dyDescent="0.3">
      <c r="C47" s="65" t="s">
        <v>36</v>
      </c>
      <c r="D47" s="65"/>
      <c r="E47" s="65"/>
      <c r="F47" s="65"/>
      <c r="G47" s="65"/>
      <c r="I47" s="30">
        <f>ROW(C47)</f>
        <v>47</v>
      </c>
      <c r="K47" s="21" t="s">
        <v>37</v>
      </c>
    </row>
    <row r="48" spans="3:11" ht="14.4" outlineLevel="1" x14ac:dyDescent="0.3">
      <c r="C48" s="65"/>
      <c r="D48" s="65"/>
      <c r="E48" s="65"/>
      <c r="F48" s="65"/>
      <c r="G48" s="65"/>
      <c r="K48" s="21"/>
    </row>
    <row r="49" spans="2:13" ht="14.4" outlineLevel="1" x14ac:dyDescent="0.3">
      <c r="C49" s="65" t="s">
        <v>38</v>
      </c>
      <c r="D49" s="65"/>
      <c r="E49" s="65"/>
      <c r="F49" s="65"/>
      <c r="G49" s="65"/>
      <c r="I49" s="31">
        <f>I41</f>
        <v>77</v>
      </c>
      <c r="K49" s="21" t="str">
        <f>C49</f>
        <v>Row Summary</v>
      </c>
    </row>
    <row r="50" spans="2:13" ht="14.4" outlineLevel="1" x14ac:dyDescent="0.3">
      <c r="C50" s="65"/>
      <c r="D50" s="65"/>
      <c r="E50" s="65"/>
      <c r="F50" s="65"/>
      <c r="G50" s="65"/>
      <c r="K50" s="21"/>
    </row>
    <row r="51" spans="2:13" ht="14.4" outlineLevel="1" x14ac:dyDescent="0.3">
      <c r="C51" s="65" t="s">
        <v>39</v>
      </c>
      <c r="D51" s="65"/>
      <c r="E51" s="65"/>
      <c r="F51" s="65"/>
      <c r="G51" s="65"/>
      <c r="I51" s="32" t="s">
        <v>40</v>
      </c>
      <c r="K51" s="21" t="str">
        <f>C51</f>
        <v>Units</v>
      </c>
    </row>
    <row r="52" spans="2:13" ht="14.4" outlineLevel="1" x14ac:dyDescent="0.3">
      <c r="C52" s="65"/>
      <c r="D52" s="65"/>
      <c r="E52" s="65"/>
      <c r="F52" s="65"/>
      <c r="G52" s="65"/>
      <c r="K52" s="21"/>
    </row>
    <row r="53" spans="2:13" ht="14.4" outlineLevel="1" x14ac:dyDescent="0.3">
      <c r="C53" s="65" t="s">
        <v>41</v>
      </c>
      <c r="D53" s="65"/>
      <c r="E53" s="65"/>
      <c r="F53" s="65"/>
      <c r="G53" s="65"/>
      <c r="I53" s="33"/>
      <c r="K53" s="21" t="str">
        <f>C53</f>
        <v>WIP</v>
      </c>
    </row>
    <row r="54" spans="2:13" ht="14.4" outlineLevel="1" x14ac:dyDescent="0.3">
      <c r="C54" s="65"/>
      <c r="D54" s="65"/>
      <c r="E54" s="65"/>
      <c r="F54" s="65"/>
      <c r="G54" s="65"/>
      <c r="K54" s="21"/>
    </row>
    <row r="55" spans="2:13" outlineLevel="1" x14ac:dyDescent="0.2">
      <c r="C55" s="65"/>
      <c r="D55" s="65"/>
      <c r="E55" s="65"/>
      <c r="F55" s="65"/>
      <c r="G55" s="65"/>
    </row>
    <row r="56" spans="2:13" ht="16.2" thickBot="1" x14ac:dyDescent="0.35">
      <c r="B56" s="42">
        <f>MAX($B$5:$B55)+1</f>
        <v>3</v>
      </c>
      <c r="C56" s="2" t="s">
        <v>42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" outlineLevel="1" thickTop="1" x14ac:dyDescent="0.2"/>
    <row r="58" spans="2:13" ht="12" outlineLevel="1" x14ac:dyDescent="0.25">
      <c r="C58" s="66" t="s">
        <v>12</v>
      </c>
      <c r="D58" s="66"/>
      <c r="E58" s="66"/>
      <c r="F58" s="66"/>
      <c r="G58" s="66"/>
      <c r="H58" s="13"/>
      <c r="I58" s="13" t="s">
        <v>13</v>
      </c>
      <c r="J58" s="13"/>
      <c r="K58" s="13" t="s">
        <v>14</v>
      </c>
    </row>
    <row r="59" spans="2:13" outlineLevel="1" x14ac:dyDescent="0.2"/>
    <row r="60" spans="2:13" ht="14.4" outlineLevel="1" x14ac:dyDescent="0.3">
      <c r="C60" s="65" t="s">
        <v>43</v>
      </c>
      <c r="D60" s="65"/>
      <c r="E60" s="65"/>
      <c r="F60" s="65"/>
      <c r="G60" s="65"/>
      <c r="I60" s="44">
        <v>123456.789</v>
      </c>
      <c r="K60" s="21" t="str">
        <f t="shared" ref="K60:K66" si="0">C60</f>
        <v>Comma</v>
      </c>
    </row>
    <row r="61" spans="2:13" ht="14.4" outlineLevel="1" x14ac:dyDescent="0.3">
      <c r="C61" s="65"/>
      <c r="D61" s="65"/>
      <c r="E61" s="65"/>
      <c r="F61" s="65"/>
      <c r="G61" s="65"/>
      <c r="K61" s="21"/>
    </row>
    <row r="62" spans="2:13" ht="14.4" outlineLevel="1" x14ac:dyDescent="0.3">
      <c r="C62" s="65" t="s">
        <v>44</v>
      </c>
      <c r="D62" s="65"/>
      <c r="E62" s="65"/>
      <c r="F62" s="65"/>
      <c r="G62" s="65"/>
      <c r="I62" s="43">
        <v>-123456.789</v>
      </c>
      <c r="K62" s="21" t="str">
        <f t="shared" si="0"/>
        <v>Comma [0]</v>
      </c>
    </row>
    <row r="63" spans="2:13" ht="14.4" outlineLevel="1" x14ac:dyDescent="0.3">
      <c r="C63" s="65"/>
      <c r="D63" s="65"/>
      <c r="E63" s="65"/>
      <c r="F63" s="65"/>
      <c r="G63" s="65"/>
      <c r="K63" s="21"/>
    </row>
    <row r="64" spans="2:13" ht="14.4" outlineLevel="1" x14ac:dyDescent="0.3">
      <c r="C64" s="65" t="s">
        <v>45</v>
      </c>
      <c r="D64" s="65"/>
      <c r="E64" s="65"/>
      <c r="F64" s="65"/>
      <c r="G64" s="65"/>
      <c r="I64" s="45">
        <v>123456.789</v>
      </c>
      <c r="K64" s="21" t="str">
        <f t="shared" si="0"/>
        <v>Currency</v>
      </c>
    </row>
    <row r="65" spans="3:11" ht="14.4" outlineLevel="1" x14ac:dyDescent="0.3">
      <c r="C65" s="65"/>
      <c r="D65" s="65"/>
      <c r="E65" s="65"/>
      <c r="F65" s="65"/>
      <c r="G65" s="65"/>
      <c r="K65" s="21"/>
    </row>
    <row r="66" spans="3:11" ht="14.4" outlineLevel="1" x14ac:dyDescent="0.3">
      <c r="C66" s="65" t="s">
        <v>46</v>
      </c>
      <c r="D66" s="65"/>
      <c r="E66" s="65"/>
      <c r="F66" s="65"/>
      <c r="G66" s="65"/>
      <c r="I66" s="46">
        <v>123456.789</v>
      </c>
      <c r="K66" s="21" t="str">
        <f t="shared" si="0"/>
        <v>Currency [0]</v>
      </c>
    </row>
    <row r="67" spans="3:11" ht="14.4" outlineLevel="1" x14ac:dyDescent="0.3">
      <c r="C67" s="65"/>
      <c r="D67" s="65"/>
      <c r="E67" s="65"/>
      <c r="F67" s="65"/>
      <c r="G67" s="65"/>
      <c r="K67" s="21"/>
    </row>
    <row r="68" spans="3:11" ht="14.4" outlineLevel="1" x14ac:dyDescent="0.3">
      <c r="C68" s="65" t="s">
        <v>47</v>
      </c>
      <c r="D68" s="65"/>
      <c r="E68" s="65"/>
      <c r="F68" s="65"/>
      <c r="G68" s="65"/>
      <c r="I68" s="47">
        <f ca="1">TODAY()</f>
        <v>46097</v>
      </c>
      <c r="K68" s="21" t="str">
        <f>C68</f>
        <v>Date</v>
      </c>
    </row>
    <row r="69" spans="3:11" ht="14.4" outlineLevel="1" x14ac:dyDescent="0.3">
      <c r="C69" s="65"/>
      <c r="D69" s="65"/>
      <c r="E69" s="65"/>
      <c r="F69" s="65"/>
      <c r="G69" s="65"/>
      <c r="K69" s="21"/>
    </row>
    <row r="70" spans="3:11" ht="14.4" outlineLevel="1" x14ac:dyDescent="0.3">
      <c r="C70" s="65" t="s">
        <v>48</v>
      </c>
      <c r="D70" s="65"/>
      <c r="E70" s="65"/>
      <c r="F70" s="65"/>
      <c r="G70" s="65"/>
      <c r="I70" s="48">
        <f ca="1">TODAY()</f>
        <v>46097</v>
      </c>
      <c r="K70" s="21" t="str">
        <f>C70</f>
        <v>Date Heading</v>
      </c>
    </row>
    <row r="71" spans="3:11" ht="14.4" outlineLevel="1" x14ac:dyDescent="0.3">
      <c r="C71" s="65"/>
      <c r="D71" s="65"/>
      <c r="E71" s="65"/>
      <c r="F71" s="65"/>
      <c r="G71" s="65"/>
      <c r="K71" s="21"/>
    </row>
    <row r="72" spans="3:11" ht="14.4" outlineLevel="1" x14ac:dyDescent="0.3">
      <c r="C72" s="65" t="s">
        <v>49</v>
      </c>
      <c r="D72" s="65"/>
      <c r="E72" s="65"/>
      <c r="F72" s="65"/>
      <c r="G72" s="65"/>
      <c r="I72" s="34">
        <v>-123456.789</v>
      </c>
      <c r="K72" s="21" t="str">
        <f>C72</f>
        <v>Numbers 0</v>
      </c>
    </row>
    <row r="73" spans="3:11" ht="14.4" outlineLevel="1" x14ac:dyDescent="0.3">
      <c r="C73" s="65"/>
      <c r="D73" s="65"/>
      <c r="E73" s="65"/>
      <c r="F73" s="65"/>
      <c r="G73" s="65"/>
      <c r="K73" s="21"/>
    </row>
    <row r="74" spans="3:11" ht="14.4" outlineLevel="1" x14ac:dyDescent="0.3">
      <c r="C74" s="65" t="s">
        <v>50</v>
      </c>
      <c r="D74" s="65"/>
      <c r="E74" s="65"/>
      <c r="F74" s="65"/>
      <c r="G74" s="65"/>
      <c r="I74" s="35">
        <v>0.5</v>
      </c>
      <c r="K74" s="21" t="str">
        <f>C74</f>
        <v>Percent</v>
      </c>
    </row>
    <row r="75" spans="3:11" outlineLevel="1" x14ac:dyDescent="0.2">
      <c r="C75" s="65"/>
      <c r="D75" s="65"/>
      <c r="E75" s="65"/>
      <c r="F75" s="65"/>
      <c r="G75" s="65"/>
    </row>
    <row r="76" spans="3:11" outlineLevel="1" x14ac:dyDescent="0.2">
      <c r="C76" s="65"/>
      <c r="D76" s="65"/>
      <c r="E76" s="65"/>
      <c r="F76" s="65"/>
      <c r="G76" s="65"/>
    </row>
    <row r="77" spans="3:11" x14ac:dyDescent="0.2">
      <c r="C77" s="65"/>
      <c r="D77" s="65"/>
      <c r="E77" s="65"/>
      <c r="F77" s="65"/>
      <c r="G77" s="65"/>
    </row>
    <row r="78" spans="3:11" x14ac:dyDescent="0.2">
      <c r="C78" s="65"/>
      <c r="D78" s="65"/>
      <c r="E78" s="65"/>
      <c r="F78" s="65"/>
      <c r="G78" s="65"/>
    </row>
    <row r="79" spans="3:11" x14ac:dyDescent="0.2">
      <c r="C79" s="65"/>
      <c r="D79" s="65"/>
      <c r="E79" s="65"/>
      <c r="F79" s="65"/>
      <c r="G79" s="65"/>
    </row>
    <row r="80" spans="3:11" x14ac:dyDescent="0.2">
      <c r="C80" s="65"/>
      <c r="D80" s="65"/>
      <c r="E80" s="65"/>
      <c r="F80" s="65"/>
      <c r="G80" s="65"/>
    </row>
    <row r="81" spans="3:7" x14ac:dyDescent="0.2">
      <c r="C81" s="65"/>
      <c r="D81" s="65"/>
      <c r="E81" s="65"/>
      <c r="F81" s="65"/>
      <c r="G81" s="65"/>
    </row>
  </sheetData>
  <mergeCells count="66"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8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BC5D-5964-4709-8926-FDE87ED6C168}">
  <sheetPr codeName="Sheet9">
    <outlinePr summaryBelow="0" summaryRight="0"/>
  </sheetPr>
  <dimension ref="A1:V79"/>
  <sheetViews>
    <sheetView showGridLines="0" workbookViewId="0">
      <pane ySplit="4" topLeftCell="A68" activePane="bottomLeft" state="frozen"/>
      <selection pane="bottomLeft" activeCell="G81" sqref="G81"/>
    </sheetView>
  </sheetViews>
  <sheetFormatPr defaultRowHeight="11.4" x14ac:dyDescent="0.2"/>
  <cols>
    <col min="1" max="3" width="3.75" customWidth="1"/>
    <col min="4" max="4" width="19.125" bestFit="1" customWidth="1"/>
    <col min="5" max="5" width="5.625" bestFit="1" customWidth="1"/>
    <col min="6" max="6" width="11.125" customWidth="1"/>
    <col min="7" max="7" width="35.5" style="67" customWidth="1"/>
    <col min="8" max="8" width="18.25" bestFit="1" customWidth="1"/>
    <col min="9" max="9" width="18.375" customWidth="1"/>
    <col min="10" max="10" width="16.125" customWidth="1"/>
    <col min="11" max="11" width="18.25" bestFit="1" customWidth="1"/>
    <col min="12" max="12" width="14" bestFit="1" customWidth="1"/>
    <col min="13" max="13" width="11" bestFit="1" customWidth="1"/>
    <col min="16" max="16" width="9" customWidth="1"/>
    <col min="17" max="17" width="10.125" bestFit="1" customWidth="1"/>
    <col min="22" max="22" width="12.125" bestFit="1" customWidth="1"/>
  </cols>
  <sheetData>
    <row r="1" spans="1:22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Pandas clean and transform</v>
      </c>
    </row>
    <row r="2" spans="1:22" ht="17.399999999999999" x14ac:dyDescent="0.3">
      <c r="A2" s="41" t="str">
        <f>Model_Name</f>
        <v>SP Python in Excel Example Starter File Chapter 3</v>
      </c>
    </row>
    <row r="3" spans="1:22" ht="12" x14ac:dyDescent="0.25">
      <c r="A3" s="11" t="s">
        <v>0</v>
      </c>
      <c r="B3" s="11"/>
      <c r="C3" s="11"/>
      <c r="D3" s="11"/>
      <c r="E3" s="11"/>
    </row>
    <row r="4" spans="1:22" ht="13.8" x14ac:dyDescent="0.25">
      <c r="B4" t="s">
        <v>5</v>
      </c>
      <c r="F4" s="1">
        <f>Overall_Error_Check</f>
        <v>0</v>
      </c>
    </row>
    <row r="6" spans="1:22" ht="16.2" thickBot="1" x14ac:dyDescent="0.35">
      <c r="B6" s="42">
        <f>MAX($B$5:$B5)+1</f>
        <v>1</v>
      </c>
      <c r="C6" s="2" t="str">
        <f ca="1">A1</f>
        <v>Pandas clean and transform</v>
      </c>
      <c r="D6" s="2"/>
      <c r="E6" s="2"/>
      <c r="F6" s="2"/>
      <c r="G6" s="68"/>
      <c r="H6" s="2"/>
      <c r="I6" s="2"/>
      <c r="J6" s="2"/>
      <c r="K6" s="2"/>
      <c r="L6" s="2"/>
      <c r="M6" s="2"/>
      <c r="N6" s="2"/>
    </row>
    <row r="7" spans="1:22" ht="12" thickTop="1" x14ac:dyDescent="0.2"/>
    <row r="8" spans="1:22" ht="16.8" x14ac:dyDescent="0.3">
      <c r="C8" s="3" t="s">
        <v>73</v>
      </c>
      <c r="F8" s="3"/>
      <c r="G8" s="69" t="s">
        <v>80</v>
      </c>
      <c r="H8" s="3"/>
    </row>
    <row r="9" spans="1:22" ht="16.8" x14ac:dyDescent="0.3">
      <c r="C9" s="3"/>
    </row>
    <row r="10" spans="1:22" ht="12" x14ac:dyDescent="0.25">
      <c r="D10" s="13" t="s">
        <v>74</v>
      </c>
      <c r="E10" s="13" t="s">
        <v>75</v>
      </c>
      <c r="G10" s="67" t="s">
        <v>129</v>
      </c>
      <c r="H10" t="str" cm="1">
        <f t="array" ref="H10:J13">_xlfn._xlws.PY(0,0,D10:E15)</f>
        <v/>
      </c>
      <c r="I10" t="str">
        <v>Company Name</v>
      </c>
      <c r="J10" t="str">
        <v>Sales</v>
      </c>
    </row>
    <row r="11" spans="1:22" x14ac:dyDescent="0.2">
      <c r="D11" t="s">
        <v>76</v>
      </c>
      <c r="E11">
        <v>7154</v>
      </c>
      <c r="H11">
        <v>0</v>
      </c>
      <c r="I11" t="str">
        <v xml:space="preserve">Coho Winery </v>
      </c>
      <c r="J11">
        <v>7154</v>
      </c>
    </row>
    <row r="12" spans="1:22" ht="16.8" x14ac:dyDescent="0.3">
      <c r="C12" s="3"/>
      <c r="D12" s="49" t="s">
        <v>77</v>
      </c>
      <c r="E12">
        <v>6840</v>
      </c>
      <c r="H12">
        <v>1</v>
      </c>
      <c r="I12" t="str">
        <v xml:space="preserve">The Phone Company </v>
      </c>
      <c r="J12">
        <v>6840</v>
      </c>
      <c r="Q12" s="3"/>
      <c r="R12" s="3"/>
      <c r="V12" s="3"/>
    </row>
    <row r="13" spans="1:22" x14ac:dyDescent="0.2">
      <c r="E13">
        <v>5795</v>
      </c>
      <c r="F13" s="37"/>
      <c r="H13">
        <v>3</v>
      </c>
      <c r="I13" t="str">
        <v xml:space="preserve">School of Fine Art </v>
      </c>
      <c r="J13">
        <v>2052</v>
      </c>
    </row>
    <row r="14" spans="1:22" ht="13.2" x14ac:dyDescent="0.2">
      <c r="D14" s="49" t="s">
        <v>78</v>
      </c>
      <c r="E14">
        <v>2052</v>
      </c>
    </row>
    <row r="15" spans="1:22" ht="22.8" x14ac:dyDescent="0.2">
      <c r="D15" s="49" t="s">
        <v>79</v>
      </c>
      <c r="G15" s="67" t="s">
        <v>130</v>
      </c>
      <c r="H15" t="str" cm="1">
        <f t="array" ref="H15:I18">_xlfn._xlws.PY(1,0,D10:E15)</f>
        <v>Company Name</v>
      </c>
      <c r="I15" t="str">
        <v>Sales</v>
      </c>
    </row>
    <row r="16" spans="1:22" x14ac:dyDescent="0.2">
      <c r="H16" t="str">
        <v xml:space="preserve">Coho Winery </v>
      </c>
      <c r="I16">
        <v>7154</v>
      </c>
    </row>
    <row r="17" spans="3:9" x14ac:dyDescent="0.2">
      <c r="H17" t="str">
        <v xml:space="preserve">The Phone Company </v>
      </c>
      <c r="I17">
        <v>6840</v>
      </c>
    </row>
    <row r="18" spans="3:9" ht="12" x14ac:dyDescent="0.25">
      <c r="D18" s="13" t="s">
        <v>81</v>
      </c>
      <c r="H18" t="str">
        <v xml:space="preserve">School of Fine Art </v>
      </c>
      <c r="I18">
        <v>2052</v>
      </c>
    </row>
    <row r="19" spans="3:9" x14ac:dyDescent="0.2">
      <c r="D19">
        <v>34</v>
      </c>
    </row>
    <row r="20" spans="3:9" x14ac:dyDescent="0.2">
      <c r="D20">
        <v>14</v>
      </c>
      <c r="G20" s="67" t="s">
        <v>131</v>
      </c>
      <c r="H20" t="str" cm="1">
        <f t="array" ref="H20:I25">_xlfn._xlws.PY(2,0)</f>
        <v>Company Name</v>
      </c>
      <c r="I20" t="str">
        <v>Sales</v>
      </c>
    </row>
    <row r="21" spans="3:9" ht="16.8" x14ac:dyDescent="0.3">
      <c r="C21" s="3"/>
      <c r="D21">
        <v>24</v>
      </c>
      <c r="H21" t="str">
        <v xml:space="preserve">Coho Winery </v>
      </c>
      <c r="I21">
        <v>7154</v>
      </c>
    </row>
    <row r="22" spans="3:9" x14ac:dyDescent="0.2">
      <c r="D22">
        <v>70</v>
      </c>
      <c r="H22" t="str">
        <v xml:space="preserve">The Phone Company </v>
      </c>
      <c r="I22">
        <v>6840</v>
      </c>
    </row>
    <row r="23" spans="3:9" x14ac:dyDescent="0.2">
      <c r="D23">
        <v>99</v>
      </c>
      <c r="H23" t="str">
        <v>Data Missing</v>
      </c>
      <c r="I23">
        <v>5795</v>
      </c>
    </row>
    <row r="24" spans="3:9" x14ac:dyDescent="0.2">
      <c r="D24">
        <v>23</v>
      </c>
      <c r="H24" t="str">
        <v xml:space="preserve">School of Fine Art </v>
      </c>
      <c r="I24">
        <v>2052</v>
      </c>
    </row>
    <row r="25" spans="3:9" x14ac:dyDescent="0.2">
      <c r="D25">
        <v>53</v>
      </c>
      <c r="H25" t="str">
        <v xml:space="preserve">Tailspin Toys </v>
      </c>
      <c r="I25" t="str">
        <v>Data Missing</v>
      </c>
    </row>
    <row r="26" spans="3:9" x14ac:dyDescent="0.2">
      <c r="D26">
        <v>25</v>
      </c>
    </row>
    <row r="27" spans="3:9" x14ac:dyDescent="0.2">
      <c r="D27">
        <v>91</v>
      </c>
      <c r="G27" s="67" t="s">
        <v>132</v>
      </c>
      <c r="H27" t="str" cm="1">
        <f t="array" ref="H27:I32">_xlfn._xlws.PY(3,0)</f>
        <v>Company Name</v>
      </c>
      <c r="I27" t="str">
        <v>Sales</v>
      </c>
    </row>
    <row r="28" spans="3:9" x14ac:dyDescent="0.2">
      <c r="D28">
        <v>14</v>
      </c>
      <c r="H28" t="str">
        <v xml:space="preserve">Coho Winery </v>
      </c>
      <c r="I28">
        <v>7154</v>
      </c>
    </row>
    <row r="29" spans="3:9" x14ac:dyDescent="0.2">
      <c r="H29" t="str">
        <v xml:space="preserve">The Phone Company </v>
      </c>
      <c r="I29">
        <v>6840</v>
      </c>
    </row>
    <row r="30" spans="3:9" x14ac:dyDescent="0.2">
      <c r="H30" t="str">
        <v xml:space="preserve">The Phone Company </v>
      </c>
      <c r="I30">
        <v>5795</v>
      </c>
    </row>
    <row r="31" spans="3:9" x14ac:dyDescent="0.2">
      <c r="H31" t="str">
        <v xml:space="preserve">School of Fine Art </v>
      </c>
      <c r="I31">
        <v>2052</v>
      </c>
    </row>
    <row r="32" spans="3:9" x14ac:dyDescent="0.2">
      <c r="H32" t="str">
        <v xml:space="preserve">Tailspin Toys </v>
      </c>
      <c r="I32">
        <v>2052</v>
      </c>
    </row>
    <row r="34" spans="7:9" x14ac:dyDescent="0.2">
      <c r="G34" s="67" t="s">
        <v>133</v>
      </c>
      <c r="H34" t="str" cm="1">
        <f t="array" ref="H34:I44">_xlfn._xlws.PY(4,0,D18:D28)</f>
        <v>Values</v>
      </c>
      <c r="I34" t="str">
        <v>Moving Average</v>
      </c>
    </row>
    <row r="35" spans="7:9" x14ac:dyDescent="0.2">
      <c r="H35">
        <v>34</v>
      </c>
      <c r="I35">
        <v>0</v>
      </c>
    </row>
    <row r="36" spans="7:9" x14ac:dyDescent="0.2">
      <c r="H36">
        <v>14</v>
      </c>
      <c r="I36">
        <v>0</v>
      </c>
    </row>
    <row r="37" spans="7:9" x14ac:dyDescent="0.2">
      <c r="H37">
        <v>24</v>
      </c>
      <c r="I37">
        <v>24</v>
      </c>
    </row>
    <row r="38" spans="7:9" x14ac:dyDescent="0.2">
      <c r="H38">
        <v>70</v>
      </c>
      <c r="I38">
        <v>36</v>
      </c>
    </row>
    <row r="39" spans="7:9" x14ac:dyDescent="0.2">
      <c r="H39">
        <v>99</v>
      </c>
      <c r="I39">
        <v>64.333333333333329</v>
      </c>
    </row>
    <row r="40" spans="7:9" x14ac:dyDescent="0.2">
      <c r="H40">
        <v>23</v>
      </c>
      <c r="I40">
        <v>64</v>
      </c>
    </row>
    <row r="41" spans="7:9" x14ac:dyDescent="0.2">
      <c r="H41">
        <v>53</v>
      </c>
      <c r="I41">
        <v>58.333333333333336</v>
      </c>
    </row>
    <row r="42" spans="7:9" x14ac:dyDescent="0.2">
      <c r="H42">
        <v>25</v>
      </c>
      <c r="I42">
        <v>33.666666666666664</v>
      </c>
    </row>
    <row r="43" spans="7:9" x14ac:dyDescent="0.2">
      <c r="H43">
        <v>91</v>
      </c>
      <c r="I43">
        <v>56.333333333333336</v>
      </c>
    </row>
    <row r="44" spans="7:9" x14ac:dyDescent="0.2">
      <c r="H44">
        <v>14</v>
      </c>
      <c r="I44">
        <v>43.333333333333336</v>
      </c>
    </row>
    <row r="46" spans="7:9" ht="22.8" x14ac:dyDescent="0.2">
      <c r="G46" s="67" t="s">
        <v>134</v>
      </c>
      <c r="H46" t="str" cm="1">
        <f t="array" ref="H46:I56">_xlfn._xlws.PY(5,0,D18:D28)</f>
        <v>Values</v>
      </c>
      <c r="I46" t="str">
        <v>Moving Average</v>
      </c>
    </row>
    <row r="47" spans="7:9" x14ac:dyDescent="0.2">
      <c r="H47">
        <v>34</v>
      </c>
      <c r="I47">
        <v>34</v>
      </c>
    </row>
    <row r="48" spans="7:9" x14ac:dyDescent="0.2">
      <c r="H48">
        <v>14</v>
      </c>
      <c r="I48">
        <v>24</v>
      </c>
    </row>
    <row r="49" spans="7:10" x14ac:dyDescent="0.2">
      <c r="H49">
        <v>24</v>
      </c>
      <c r="I49">
        <v>24</v>
      </c>
    </row>
    <row r="50" spans="7:10" x14ac:dyDescent="0.2">
      <c r="H50">
        <v>70</v>
      </c>
      <c r="I50">
        <v>36</v>
      </c>
    </row>
    <row r="51" spans="7:10" x14ac:dyDescent="0.2">
      <c r="H51">
        <v>99</v>
      </c>
      <c r="I51">
        <v>64.333333333333329</v>
      </c>
    </row>
    <row r="52" spans="7:10" x14ac:dyDescent="0.2">
      <c r="H52">
        <v>23</v>
      </c>
      <c r="I52">
        <v>64</v>
      </c>
    </row>
    <row r="53" spans="7:10" x14ac:dyDescent="0.2">
      <c r="H53">
        <v>53</v>
      </c>
      <c r="I53">
        <v>58.333333333333336</v>
      </c>
    </row>
    <row r="54" spans="7:10" x14ac:dyDescent="0.2">
      <c r="H54">
        <v>25</v>
      </c>
      <c r="I54">
        <v>33.666666666666664</v>
      </c>
    </row>
    <row r="55" spans="7:10" x14ac:dyDescent="0.2">
      <c r="H55">
        <v>91</v>
      </c>
      <c r="I55">
        <v>56.333333333333336</v>
      </c>
    </row>
    <row r="56" spans="7:10" x14ac:dyDescent="0.2">
      <c r="H56">
        <v>14</v>
      </c>
      <c r="I56">
        <v>43.333333333333336</v>
      </c>
    </row>
    <row r="58" spans="7:10" x14ac:dyDescent="0.2">
      <c r="G58" s="67" t="s">
        <v>135</v>
      </c>
      <c r="H58" t="str" cm="1">
        <f t="array" ref="H58:J66">_xlfn._xlws.PY(6,0)</f>
        <v/>
      </c>
      <c r="I58" t="str">
        <v>Values</v>
      </c>
      <c r="J58" t="str">
        <v>Moving Average</v>
      </c>
    </row>
    <row r="59" spans="7:10" x14ac:dyDescent="0.2">
      <c r="H59" t="str">
        <v>count</v>
      </c>
      <c r="I59">
        <v>10</v>
      </c>
      <c r="J59">
        <v>10</v>
      </c>
    </row>
    <row r="60" spans="7:10" x14ac:dyDescent="0.2">
      <c r="H60" t="str">
        <v>mean</v>
      </c>
      <c r="I60">
        <v>44.7</v>
      </c>
      <c r="J60">
        <v>43.8</v>
      </c>
    </row>
    <row r="61" spans="7:10" x14ac:dyDescent="0.2">
      <c r="H61" t="str">
        <v>std</v>
      </c>
      <c r="I61">
        <v>31.777175596470006</v>
      </c>
      <c r="J61">
        <v>15.782628362370172</v>
      </c>
    </row>
    <row r="62" spans="7:10" x14ac:dyDescent="0.2">
      <c r="H62" t="str">
        <v>min</v>
      </c>
      <c r="I62">
        <v>14</v>
      </c>
      <c r="J62">
        <v>24</v>
      </c>
    </row>
    <row r="63" spans="7:10" x14ac:dyDescent="0.2">
      <c r="H63" t="str">
        <v>25%</v>
      </c>
      <c r="I63">
        <v>23.25</v>
      </c>
      <c r="J63">
        <v>33.75</v>
      </c>
    </row>
    <row r="64" spans="7:10" x14ac:dyDescent="0.2">
      <c r="H64" t="str">
        <v>50%</v>
      </c>
      <c r="I64">
        <v>29.5</v>
      </c>
      <c r="J64">
        <v>39.666666666666671</v>
      </c>
    </row>
    <row r="65" spans="7:10" x14ac:dyDescent="0.2">
      <c r="H65" t="str">
        <v>75%</v>
      </c>
      <c r="I65">
        <v>65.75</v>
      </c>
      <c r="J65">
        <v>57.833333333333336</v>
      </c>
    </row>
    <row r="66" spans="7:10" x14ac:dyDescent="0.2">
      <c r="H66" t="str">
        <v>max</v>
      </c>
      <c r="I66">
        <v>99</v>
      </c>
      <c r="J66">
        <v>64.333333333333329</v>
      </c>
    </row>
    <row r="68" spans="7:10" ht="22.8" x14ac:dyDescent="0.2">
      <c r="G68" s="67" t="s">
        <v>136</v>
      </c>
      <c r="H68" t="str" cm="1">
        <f t="array" ref="H68:J79">_xlfn._xlws.PY(7,0)</f>
        <v/>
      </c>
      <c r="I68" t="str">
        <v>Values</v>
      </c>
      <c r="J68" t="str">
        <v>Moving Average</v>
      </c>
    </row>
    <row r="69" spans="7:10" x14ac:dyDescent="0.2">
      <c r="H69" t="str">
        <v>count</v>
      </c>
      <c r="I69">
        <v>10</v>
      </c>
      <c r="J69">
        <v>10</v>
      </c>
    </row>
    <row r="70" spans="7:10" x14ac:dyDescent="0.2">
      <c r="H70" t="str">
        <v>mean</v>
      </c>
      <c r="I70">
        <v>44.7</v>
      </c>
      <c r="J70">
        <v>43.8</v>
      </c>
    </row>
    <row r="71" spans="7:10" x14ac:dyDescent="0.2">
      <c r="H71" t="str">
        <v>std</v>
      </c>
      <c r="I71">
        <v>31.777175596470006</v>
      </c>
      <c r="J71">
        <v>15.782628362370172</v>
      </c>
    </row>
    <row r="72" spans="7:10" x14ac:dyDescent="0.2">
      <c r="H72" t="str">
        <v>min</v>
      </c>
      <c r="I72">
        <v>14</v>
      </c>
      <c r="J72">
        <v>24</v>
      </c>
    </row>
    <row r="73" spans="7:10" x14ac:dyDescent="0.2">
      <c r="H73" t="str">
        <v>10%</v>
      </c>
      <c r="I73">
        <v>14</v>
      </c>
      <c r="J73">
        <v>24</v>
      </c>
    </row>
    <row r="74" spans="7:10" x14ac:dyDescent="0.2">
      <c r="H74" t="str">
        <v>25%</v>
      </c>
      <c r="I74">
        <v>23.25</v>
      </c>
      <c r="J74">
        <v>33.75</v>
      </c>
    </row>
    <row r="75" spans="7:10" x14ac:dyDescent="0.2">
      <c r="H75" t="str">
        <v>40%</v>
      </c>
      <c r="I75">
        <v>24.6</v>
      </c>
      <c r="J75">
        <v>35.200000000000003</v>
      </c>
    </row>
    <row r="76" spans="7:10" x14ac:dyDescent="0.2">
      <c r="H76" t="str">
        <v>50%</v>
      </c>
      <c r="I76">
        <v>29.5</v>
      </c>
      <c r="J76">
        <v>39.666666666666671</v>
      </c>
    </row>
    <row r="77" spans="7:10" x14ac:dyDescent="0.2">
      <c r="H77" t="str">
        <v>60%</v>
      </c>
      <c r="I77">
        <v>41.599999999999987</v>
      </c>
      <c r="J77">
        <v>48.533333333333331</v>
      </c>
    </row>
    <row r="78" spans="7:10" x14ac:dyDescent="0.2">
      <c r="H78" t="str">
        <v>80%</v>
      </c>
      <c r="I78">
        <v>74.2</v>
      </c>
      <c r="J78">
        <v>59.466666666666669</v>
      </c>
    </row>
    <row r="79" spans="7:10" x14ac:dyDescent="0.2">
      <c r="H79" t="str">
        <v>max</v>
      </c>
      <c r="I79">
        <v>99</v>
      </c>
      <c r="J79">
        <v>64.333333333333329</v>
      </c>
    </row>
  </sheetData>
  <conditionalFormatting sqref="F4">
    <cfRule type="cellIs" dxfId="7" priority="1" operator="notEqual">
      <formula>0</formula>
    </cfRule>
  </conditionalFormatting>
  <hyperlinks>
    <hyperlink ref="F4" location="Overall_Error_Check" tooltip="Go to Overall Error Check" display="Overall_Error_Check" xr:uid="{2F724FFF-6E15-4DE1-A77D-5403D7AC42D1}"/>
    <hyperlink ref="A3:E3" location="HL_Navigator" tooltip="Go to Navigator (Table of Contents)" display="Navigator" xr:uid="{6BB948A9-0640-4A0B-9A02-9C7AFACDBACD}"/>
    <hyperlink ref="A3" location="HL_Navigator" display="Navigator" xr:uid="{8A3D2EDD-9CBD-4895-8739-76421E47D003}"/>
  </hyperlink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5146-3CCA-4205-B53D-F5FA3F7DF930}">
  <sheetPr codeName="Sheet10">
    <outlinePr summaryBelow="0" summaryRight="0"/>
  </sheetPr>
  <dimension ref="A1:V22"/>
  <sheetViews>
    <sheetView showGridLines="0" workbookViewId="0">
      <pane ySplit="4" topLeftCell="A8" activePane="bottomLeft" state="frozen"/>
      <selection pane="bottomLeft" activeCell="J19" sqref="J19"/>
    </sheetView>
  </sheetViews>
  <sheetFormatPr defaultRowHeight="11.4" x14ac:dyDescent="0.2"/>
  <cols>
    <col min="1" max="3" width="3.75" customWidth="1"/>
    <col min="4" max="4" width="19.125" bestFit="1" customWidth="1"/>
    <col min="5" max="5" width="2" bestFit="1" customWidth="1"/>
    <col min="6" max="6" width="11.125" customWidth="1"/>
    <col min="7" max="8" width="2" bestFit="1" customWidth="1"/>
    <col min="9" max="9" width="5.625" customWidth="1"/>
    <col min="10" max="10" width="28.375" customWidth="1"/>
    <col min="11" max="11" width="18.25" bestFit="1" customWidth="1"/>
    <col min="12" max="12" width="14" bestFit="1" customWidth="1"/>
    <col min="13" max="13" width="11" bestFit="1" customWidth="1"/>
    <col min="16" max="16" width="9" customWidth="1"/>
    <col min="17" max="17" width="10.125" bestFit="1" customWidth="1"/>
    <col min="22" max="22" width="12.125" bestFit="1" customWidth="1"/>
  </cols>
  <sheetData>
    <row r="1" spans="1:22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NumPy arrays</v>
      </c>
    </row>
    <row r="2" spans="1:22" ht="17.399999999999999" x14ac:dyDescent="0.3">
      <c r="A2" s="41" t="str">
        <f>Model_Name</f>
        <v>SP Python in Excel Example Starter File Chapter 3</v>
      </c>
    </row>
    <row r="3" spans="1:22" ht="12" x14ac:dyDescent="0.25">
      <c r="A3" s="11" t="s">
        <v>0</v>
      </c>
      <c r="B3" s="11"/>
      <c r="C3" s="11"/>
      <c r="D3" s="11"/>
      <c r="E3" s="11"/>
    </row>
    <row r="4" spans="1:22" ht="13.8" x14ac:dyDescent="0.25">
      <c r="B4" t="s">
        <v>5</v>
      </c>
      <c r="F4" s="1">
        <f>Overall_Error_Check</f>
        <v>0</v>
      </c>
    </row>
    <row r="6" spans="1:22" ht="16.2" thickBot="1" x14ac:dyDescent="0.35">
      <c r="B6" s="42">
        <f>MAX($B$5:$B5)+1</f>
        <v>1</v>
      </c>
      <c r="C6" s="2" t="str">
        <f ca="1">A1</f>
        <v>NumPy arrays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22" ht="12" thickTop="1" x14ac:dyDescent="0.2"/>
    <row r="8" spans="1:22" ht="16.8" x14ac:dyDescent="0.3">
      <c r="C8" s="3" t="s">
        <v>82</v>
      </c>
      <c r="F8" s="3"/>
      <c r="G8" s="3"/>
      <c r="H8" s="3"/>
      <c r="J8" s="3" t="s">
        <v>83</v>
      </c>
    </row>
    <row r="9" spans="1:22" ht="16.8" x14ac:dyDescent="0.3">
      <c r="C9" s="3"/>
      <c r="J9" s="3"/>
    </row>
    <row r="10" spans="1:22" x14ac:dyDescent="0.2">
      <c r="D10" cm="1">
        <f t="array" ref="D10:H10">_xlfn._xlws.PY(8,0)</f>
        <v>1</v>
      </c>
      <c r="E10">
        <v>2</v>
      </c>
      <c r="F10">
        <v>3</v>
      </c>
      <c r="G10">
        <v>4</v>
      </c>
      <c r="H10">
        <v>5</v>
      </c>
      <c r="J10" t="s">
        <v>137</v>
      </c>
      <c r="K10" cm="1">
        <f t="array" ref="K10:K14">_xlfn._xlws.PY(9,0)</f>
        <v>1</v>
      </c>
    </row>
    <row r="11" spans="1:22" x14ac:dyDescent="0.2">
      <c r="K11">
        <v>2</v>
      </c>
    </row>
    <row r="12" spans="1:22" ht="16.8" x14ac:dyDescent="0.3">
      <c r="C12" s="3"/>
      <c r="K12">
        <v>3</v>
      </c>
      <c r="Q12" s="3"/>
      <c r="R12" s="3"/>
      <c r="V12" s="3"/>
    </row>
    <row r="13" spans="1:22" x14ac:dyDescent="0.2">
      <c r="F13" s="37"/>
      <c r="K13">
        <v>4</v>
      </c>
    </row>
    <row r="14" spans="1:22" x14ac:dyDescent="0.2">
      <c r="K14">
        <v>5</v>
      </c>
    </row>
    <row r="16" spans="1:22" x14ac:dyDescent="0.2">
      <c r="D16" cm="1">
        <f t="array" ref="D16:H16">_xlfn._xlws.PY(10,0)</f>
        <v>1</v>
      </c>
      <c r="E16">
        <v>2</v>
      </c>
      <c r="F16">
        <v>3</v>
      </c>
      <c r="G16">
        <v>4</v>
      </c>
      <c r="H16">
        <v>5</v>
      </c>
      <c r="J16" t="s">
        <v>138</v>
      </c>
      <c r="K16" cm="1">
        <f t="array" ref="K16:O16">_xlfn._xlws.PY(11,0)</f>
        <v>1</v>
      </c>
      <c r="L16">
        <v>2</v>
      </c>
      <c r="M16">
        <v>3</v>
      </c>
      <c r="N16">
        <v>4</v>
      </c>
      <c r="O16">
        <v>5</v>
      </c>
    </row>
    <row r="18" spans="3:11" x14ac:dyDescent="0.2">
      <c r="J18" t="s">
        <v>139</v>
      </c>
      <c r="K18" cm="1">
        <f t="array" ref="K18:K22">_xlfn._xlws.PY(12,0)</f>
        <v>1</v>
      </c>
    </row>
    <row r="19" spans="3:11" x14ac:dyDescent="0.2">
      <c r="K19">
        <v>2</v>
      </c>
    </row>
    <row r="20" spans="3:11" x14ac:dyDescent="0.2">
      <c r="K20">
        <v>3</v>
      </c>
    </row>
    <row r="21" spans="3:11" ht="16.8" x14ac:dyDescent="0.3">
      <c r="C21" s="3"/>
      <c r="K21">
        <v>4</v>
      </c>
    </row>
    <row r="22" spans="3:11" x14ac:dyDescent="0.2">
      <c r="K22">
        <v>5</v>
      </c>
    </row>
  </sheetData>
  <conditionalFormatting sqref="F4">
    <cfRule type="cellIs" dxfId="6" priority="1" operator="notEqual">
      <formula>0</formula>
    </cfRule>
  </conditionalFormatting>
  <hyperlinks>
    <hyperlink ref="F4" location="Overall_Error_Check" tooltip="Go to Overall Error Check" display="Overall_Error_Check" xr:uid="{24166CDB-5FF8-4860-85BE-7BDA85352431}"/>
    <hyperlink ref="A3:E3" location="HL_Navigator" tooltip="Go to Navigator (Table of Contents)" display="Navigator" xr:uid="{F3236852-AE38-4657-B38A-3C1F3141D584}"/>
    <hyperlink ref="A3" location="HL_Navigator" display="Navigator" xr:uid="{BD4C4780-9AF4-4FE7-AC52-AE6874E08158}"/>
  </hyperlink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8EE2-7FA2-4769-AC8C-B5556A67BC3F}">
  <sheetPr codeName="Sheet11">
    <outlinePr summaryBelow="0" summaryRight="0"/>
  </sheetPr>
  <dimension ref="A1:U50"/>
  <sheetViews>
    <sheetView showGridLines="0" topLeftCell="D1" zoomScale="111" workbookViewId="0">
      <pane ySplit="4" topLeftCell="A40" activePane="bottomLeft" state="frozen"/>
      <selection pane="bottomLeft" activeCell="J44" sqref="J44"/>
    </sheetView>
  </sheetViews>
  <sheetFormatPr defaultRowHeight="11.4" x14ac:dyDescent="0.2"/>
  <cols>
    <col min="1" max="2" width="3.75" customWidth="1"/>
    <col min="3" max="3" width="33.375" bestFit="1" customWidth="1"/>
    <col min="4" max="4" width="14.875" customWidth="1"/>
    <col min="5" max="5" width="11.75" customWidth="1"/>
    <col min="6" max="6" width="12.875" bestFit="1" customWidth="1"/>
    <col min="7" max="7" width="2" bestFit="1" customWidth="1"/>
    <col min="8" max="8" width="5.625" customWidth="1"/>
    <col min="9" max="9" width="28.5" customWidth="1"/>
    <col min="10" max="10" width="15.5" customWidth="1"/>
    <col min="11" max="11" width="14" bestFit="1" customWidth="1"/>
    <col min="12" max="12" width="11" bestFit="1" customWidth="1"/>
    <col min="15" max="15" width="9" customWidth="1"/>
    <col min="16" max="16" width="10.125" bestFit="1" customWidth="1"/>
    <col min="21" max="21" width="12.125" bestFit="1" customWidth="1"/>
    <col min="23" max="23" width="58.25" bestFit="1" customWidth="1"/>
  </cols>
  <sheetData>
    <row r="1" spans="1:19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Matplotlib</v>
      </c>
    </row>
    <row r="2" spans="1:19" ht="17.399999999999999" x14ac:dyDescent="0.3">
      <c r="A2" s="41" t="str">
        <f>Model_Name</f>
        <v>SP Python in Excel Example Starter File Chapter 3</v>
      </c>
    </row>
    <row r="3" spans="1:19" ht="12" x14ac:dyDescent="0.25">
      <c r="A3" s="11" t="s">
        <v>0</v>
      </c>
      <c r="B3" s="11"/>
      <c r="C3" s="11"/>
      <c r="D3" s="11"/>
      <c r="E3" s="11"/>
    </row>
    <row r="4" spans="1:19" ht="13.8" x14ac:dyDescent="0.25">
      <c r="B4" t="s">
        <v>5</v>
      </c>
      <c r="F4" s="1">
        <f>Overall_Error_Check</f>
        <v>0</v>
      </c>
    </row>
    <row r="6" spans="1:19" ht="16.2" thickBot="1" x14ac:dyDescent="0.35">
      <c r="B6" s="42">
        <f>MAX($B$5:$B5)+1</f>
        <v>1</v>
      </c>
      <c r="C6" s="2" t="str">
        <f ca="1">A1</f>
        <v>Matplotlib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9" ht="12" thickTop="1" x14ac:dyDescent="0.2"/>
    <row r="8" spans="1:19" ht="16.8" x14ac:dyDescent="0.3">
      <c r="C8" s="50" t="s">
        <v>73</v>
      </c>
      <c r="F8" s="3"/>
      <c r="G8" s="3"/>
      <c r="I8" s="3"/>
      <c r="J8" s="3" t="s">
        <v>84</v>
      </c>
    </row>
    <row r="9" spans="1:19" ht="16.8" x14ac:dyDescent="0.3">
      <c r="C9" s="50"/>
      <c r="I9" s="3"/>
    </row>
    <row r="10" spans="1:19" ht="12" x14ac:dyDescent="0.25">
      <c r="C10" s="52" t="s">
        <v>85</v>
      </c>
      <c r="D10" s="53" t="s">
        <v>86</v>
      </c>
      <c r="E10" s="53" t="s">
        <v>87</v>
      </c>
      <c r="I10" t="s">
        <v>140</v>
      </c>
      <c r="J10" t="e" cm="1" vm="1">
        <f t="array" ref="J10">_xlfn._xlws.PY(13,1,C10:E13)</f>
        <v>#VALUE!</v>
      </c>
    </row>
    <row r="11" spans="1:19" x14ac:dyDescent="0.2">
      <c r="C11" s="54" t="s">
        <v>123</v>
      </c>
      <c r="D11" s="55">
        <v>5776</v>
      </c>
      <c r="E11" s="55">
        <v>5776</v>
      </c>
    </row>
    <row r="12" spans="1:19" ht="16.8" x14ac:dyDescent="0.3">
      <c r="C12" s="56" t="s">
        <v>88</v>
      </c>
      <c r="D12" s="57">
        <v>3895</v>
      </c>
      <c r="E12" s="57">
        <v>3895</v>
      </c>
      <c r="N12" s="3"/>
      <c r="O12" s="3"/>
      <c r="S12" s="3"/>
    </row>
    <row r="13" spans="1:19" x14ac:dyDescent="0.2">
      <c r="C13" s="54" t="s">
        <v>89</v>
      </c>
      <c r="D13" s="55">
        <v>7737</v>
      </c>
      <c r="E13" s="55">
        <v>3031</v>
      </c>
    </row>
    <row r="14" spans="1:19" x14ac:dyDescent="0.2">
      <c r="C14" s="56" t="s">
        <v>90</v>
      </c>
      <c r="D14" s="57">
        <v>3102</v>
      </c>
      <c r="E14" s="57">
        <v>3102</v>
      </c>
    </row>
    <row r="15" spans="1:19" x14ac:dyDescent="0.2">
      <c r="C15" s="54" t="s">
        <v>91</v>
      </c>
      <c r="D15" s="55">
        <v>6527</v>
      </c>
      <c r="E15" s="55">
        <v>3843</v>
      </c>
    </row>
    <row r="16" spans="1:19" x14ac:dyDescent="0.2">
      <c r="C16" s="56" t="s">
        <v>92</v>
      </c>
      <c r="D16" s="57">
        <v>3315</v>
      </c>
      <c r="E16" s="57">
        <v>3315</v>
      </c>
    </row>
    <row r="17" spans="3:10" x14ac:dyDescent="0.2">
      <c r="C17" s="54" t="s">
        <v>93</v>
      </c>
      <c r="D17" s="55">
        <v>3363</v>
      </c>
      <c r="E17" s="55">
        <v>3363</v>
      </c>
    </row>
    <row r="18" spans="3:10" x14ac:dyDescent="0.2">
      <c r="C18" s="56" t="s">
        <v>94</v>
      </c>
      <c r="D18" s="57">
        <v>8885</v>
      </c>
      <c r="E18" s="57">
        <v>4526</v>
      </c>
    </row>
    <row r="19" spans="3:10" x14ac:dyDescent="0.2">
      <c r="C19" s="54" t="s">
        <v>76</v>
      </c>
      <c r="D19" s="55">
        <v>3326</v>
      </c>
      <c r="E19" s="55">
        <v>3326</v>
      </c>
    </row>
    <row r="20" spans="3:10" x14ac:dyDescent="0.2">
      <c r="C20" s="56" t="s">
        <v>95</v>
      </c>
      <c r="D20" s="57">
        <v>3061</v>
      </c>
      <c r="E20" s="57">
        <v>3061</v>
      </c>
    </row>
    <row r="21" spans="3:10" x14ac:dyDescent="0.2">
      <c r="C21" s="54" t="s">
        <v>96</v>
      </c>
      <c r="D21" s="55">
        <v>8765</v>
      </c>
      <c r="E21" s="55">
        <v>1579</v>
      </c>
    </row>
    <row r="22" spans="3:10" x14ac:dyDescent="0.2">
      <c r="C22" s="56" t="s">
        <v>97</v>
      </c>
      <c r="D22" s="57">
        <v>6201</v>
      </c>
      <c r="E22" s="57">
        <v>2951</v>
      </c>
    </row>
    <row r="23" spans="3:10" x14ac:dyDescent="0.2">
      <c r="C23" s="54" t="s">
        <v>98</v>
      </c>
      <c r="D23" s="55">
        <v>5578</v>
      </c>
      <c r="E23" s="55">
        <v>5578</v>
      </c>
    </row>
    <row r="24" spans="3:10" x14ac:dyDescent="0.2">
      <c r="C24" s="56" t="s">
        <v>99</v>
      </c>
      <c r="D24" s="57">
        <v>5813</v>
      </c>
      <c r="E24" s="57">
        <v>1385</v>
      </c>
    </row>
    <row r="25" spans="3:10" x14ac:dyDescent="0.2">
      <c r="C25" s="54" t="s">
        <v>100</v>
      </c>
      <c r="D25" s="55">
        <v>5140</v>
      </c>
      <c r="E25" s="55">
        <v>5140</v>
      </c>
    </row>
    <row r="26" spans="3:10" x14ac:dyDescent="0.2">
      <c r="C26" s="56" t="s">
        <v>101</v>
      </c>
      <c r="D26" s="57">
        <v>9998</v>
      </c>
      <c r="E26" s="57">
        <v>3179</v>
      </c>
    </row>
    <row r="27" spans="3:10" x14ac:dyDescent="0.2">
      <c r="C27" s="54" t="s">
        <v>102</v>
      </c>
      <c r="D27" s="55">
        <v>9037</v>
      </c>
      <c r="E27" s="55">
        <v>2167</v>
      </c>
    </row>
    <row r="28" spans="3:10" x14ac:dyDescent="0.2">
      <c r="C28" s="56" t="s">
        <v>103</v>
      </c>
      <c r="D28" s="57">
        <v>5452</v>
      </c>
      <c r="E28" s="57">
        <v>2168</v>
      </c>
      <c r="I28" t="s">
        <v>141</v>
      </c>
      <c r="J28" t="e" cm="1" vm="2">
        <f t="array" ref="J28">_xlfn._xlws.PY(14,1,D10:E50)</f>
        <v>#VALUE!</v>
      </c>
    </row>
    <row r="29" spans="3:10" x14ac:dyDescent="0.2">
      <c r="C29" s="54" t="s">
        <v>104</v>
      </c>
      <c r="D29" s="55">
        <v>7818</v>
      </c>
      <c r="E29" s="55">
        <v>6857</v>
      </c>
    </row>
    <row r="30" spans="3:10" x14ac:dyDescent="0.2">
      <c r="C30" s="56" t="s">
        <v>105</v>
      </c>
      <c r="D30" s="57">
        <v>8176</v>
      </c>
      <c r="E30" s="57">
        <v>7922</v>
      </c>
    </row>
    <row r="31" spans="3:10" x14ac:dyDescent="0.2">
      <c r="C31" s="54" t="s">
        <v>106</v>
      </c>
      <c r="D31" s="55">
        <v>4521</v>
      </c>
      <c r="E31" s="55">
        <v>1234</v>
      </c>
    </row>
    <row r="32" spans="3:10" x14ac:dyDescent="0.2">
      <c r="C32" s="56" t="s">
        <v>107</v>
      </c>
      <c r="D32" s="57">
        <v>6571</v>
      </c>
      <c r="E32" s="57">
        <v>4526</v>
      </c>
    </row>
    <row r="33" spans="3:21" x14ac:dyDescent="0.2">
      <c r="C33" s="54" t="s">
        <v>108</v>
      </c>
      <c r="D33" s="55">
        <v>9557</v>
      </c>
      <c r="E33" s="55">
        <v>8366</v>
      </c>
    </row>
    <row r="34" spans="3:21" x14ac:dyDescent="0.2">
      <c r="C34" s="56" t="s">
        <v>109</v>
      </c>
      <c r="D34" s="57">
        <v>5494</v>
      </c>
      <c r="E34" s="57">
        <v>1390</v>
      </c>
    </row>
    <row r="35" spans="3:21" x14ac:dyDescent="0.2">
      <c r="C35" s="54" t="s">
        <v>110</v>
      </c>
      <c r="D35" s="55">
        <v>8319</v>
      </c>
      <c r="E35" s="55">
        <v>3964</v>
      </c>
    </row>
    <row r="36" spans="3:21" x14ac:dyDescent="0.2">
      <c r="C36" s="56" t="s">
        <v>111</v>
      </c>
      <c r="D36" s="57">
        <v>5776</v>
      </c>
      <c r="E36" s="57">
        <v>3914</v>
      </c>
    </row>
    <row r="37" spans="3:21" x14ac:dyDescent="0.2">
      <c r="C37" s="54" t="s">
        <v>112</v>
      </c>
      <c r="D37" s="55">
        <v>5986</v>
      </c>
      <c r="E37" s="55">
        <v>5986</v>
      </c>
    </row>
    <row r="38" spans="3:21" x14ac:dyDescent="0.2">
      <c r="C38" s="56" t="s">
        <v>113</v>
      </c>
      <c r="D38" s="57">
        <v>4229</v>
      </c>
      <c r="E38" s="57">
        <v>4229</v>
      </c>
    </row>
    <row r="39" spans="3:21" x14ac:dyDescent="0.2">
      <c r="C39" s="54" t="s">
        <v>114</v>
      </c>
      <c r="D39" s="55">
        <v>8511</v>
      </c>
      <c r="E39" s="55">
        <v>5127</v>
      </c>
    </row>
    <row r="40" spans="3:21" x14ac:dyDescent="0.2">
      <c r="C40" s="56" t="s">
        <v>115</v>
      </c>
      <c r="D40" s="57">
        <v>3397</v>
      </c>
      <c r="E40" s="57">
        <v>3397</v>
      </c>
    </row>
    <row r="41" spans="3:21" x14ac:dyDescent="0.2">
      <c r="C41" s="54" t="s">
        <v>116</v>
      </c>
      <c r="D41" s="55">
        <v>5716</v>
      </c>
      <c r="E41" s="55">
        <v>5716</v>
      </c>
    </row>
    <row r="42" spans="3:21" x14ac:dyDescent="0.2">
      <c r="C42" s="56" t="s">
        <v>78</v>
      </c>
      <c r="D42" s="57">
        <v>5418</v>
      </c>
      <c r="E42" s="57">
        <v>4556</v>
      </c>
    </row>
    <row r="43" spans="3:21" x14ac:dyDescent="0.2">
      <c r="C43" s="54" t="s">
        <v>117</v>
      </c>
      <c r="D43" s="55">
        <v>5962</v>
      </c>
      <c r="E43" s="55">
        <v>1123</v>
      </c>
    </row>
    <row r="44" spans="3:21" x14ac:dyDescent="0.2">
      <c r="C44" s="56" t="s">
        <v>79</v>
      </c>
      <c r="D44" s="57">
        <v>3907</v>
      </c>
      <c r="E44" s="57">
        <v>2484</v>
      </c>
      <c r="I44" t="s">
        <v>142</v>
      </c>
      <c r="J44" t="e" cm="1" vm="3">
        <f t="array" ref="J44">_xlfn._xlws.PY(15,1,D10:E50)</f>
        <v>#VALUE!</v>
      </c>
    </row>
    <row r="45" spans="3:21" x14ac:dyDescent="0.2">
      <c r="C45" s="54" t="s">
        <v>118</v>
      </c>
      <c r="D45" s="55">
        <v>8864</v>
      </c>
      <c r="E45" s="55">
        <v>1159</v>
      </c>
    </row>
    <row r="46" spans="3:21" x14ac:dyDescent="0.2">
      <c r="C46" s="56" t="s">
        <v>77</v>
      </c>
      <c r="D46" s="57">
        <v>3249</v>
      </c>
      <c r="E46" s="57">
        <v>3249</v>
      </c>
      <c r="U46" s="57"/>
    </row>
    <row r="47" spans="3:21" x14ac:dyDescent="0.2">
      <c r="C47" s="54" t="s">
        <v>119</v>
      </c>
      <c r="D47" s="55">
        <v>8693</v>
      </c>
      <c r="E47" s="55">
        <v>8581</v>
      </c>
    </row>
    <row r="48" spans="3:21" x14ac:dyDescent="0.2">
      <c r="C48" s="56" t="s">
        <v>120</v>
      </c>
      <c r="D48" s="57">
        <v>3299</v>
      </c>
      <c r="E48" s="57">
        <v>3299</v>
      </c>
    </row>
    <row r="49" spans="3:5" x14ac:dyDescent="0.2">
      <c r="C49" s="54" t="s">
        <v>121</v>
      </c>
      <c r="D49" s="55">
        <v>5316</v>
      </c>
      <c r="E49" s="55">
        <v>5316</v>
      </c>
    </row>
    <row r="50" spans="3:5" x14ac:dyDescent="0.2">
      <c r="C50" s="51" t="s">
        <v>122</v>
      </c>
      <c r="D50" s="58">
        <v>9169</v>
      </c>
      <c r="E50" s="58">
        <v>7606</v>
      </c>
    </row>
  </sheetData>
  <conditionalFormatting sqref="F4">
    <cfRule type="cellIs" dxfId="5" priority="1" operator="notEqual">
      <formula>0</formula>
    </cfRule>
  </conditionalFormatting>
  <hyperlinks>
    <hyperlink ref="A3:E3" location="HL_Navigator" tooltip="Go to Navigator (Table of Contents)" display="Navigator" xr:uid="{17073DED-64F1-4F1D-B2A9-B4AE9A14E430}"/>
    <hyperlink ref="A3" location="HL_Navigator" display="Navigator" xr:uid="{1C69BA6D-688A-471C-8D17-9329B7667BAB}"/>
    <hyperlink ref="F4" location="Overall_Error_Check" tooltip="Go to Overall Error Check" display="Overall_Error_Check" xr:uid="{9FDCD5D1-B9DD-4BD4-8B93-430CE56D594F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7E82B-F706-4833-90F1-9F74BA3E16CB}">
  <sheetPr codeName="Sheet12">
    <outlinePr summaryBelow="0" summaryRight="0"/>
  </sheetPr>
  <dimension ref="A1:M30"/>
  <sheetViews>
    <sheetView showGridLines="0" workbookViewId="0">
      <pane ySplit="4" topLeftCell="A28" activePane="bottomLeft" state="frozen"/>
      <selection pane="bottomLeft" activeCell="C30" sqref="C30"/>
    </sheetView>
  </sheetViews>
  <sheetFormatPr defaultRowHeight="11.4" x14ac:dyDescent="0.2"/>
  <cols>
    <col min="1" max="2" width="3.75" customWidth="1"/>
    <col min="3" max="3" width="10.75" customWidth="1"/>
    <col min="4" max="4" width="14.875" hidden="1" customWidth="1"/>
    <col min="5" max="5" width="6.875" customWidth="1"/>
    <col min="6" max="6" width="12.875" bestFit="1" customWidth="1"/>
    <col min="7" max="7" width="2" bestFit="1" customWidth="1"/>
    <col min="8" max="8" width="5.625" customWidth="1"/>
    <col min="9" max="9" width="11.125" bestFit="1" customWidth="1"/>
    <col min="10" max="10" width="8.375" customWidth="1"/>
    <col min="11" max="11" width="14" bestFit="1" customWidth="1"/>
    <col min="12" max="12" width="11" bestFit="1" customWidth="1"/>
    <col min="15" max="15" width="9" customWidth="1"/>
    <col min="16" max="16" width="10.125" bestFit="1" customWidth="1"/>
    <col min="21" max="21" width="12.125" bestFit="1" customWidth="1"/>
    <col min="23" max="23" width="58.25" bestFit="1" customWidth="1"/>
  </cols>
  <sheetData>
    <row r="1" spans="1:13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Seaborn</v>
      </c>
    </row>
    <row r="2" spans="1:13" ht="17.399999999999999" x14ac:dyDescent="0.3">
      <c r="A2" s="41" t="str">
        <f>Model_Name</f>
        <v>SP Python in Excel Example Starter File Chapter 3</v>
      </c>
    </row>
    <row r="3" spans="1:13" ht="12" x14ac:dyDescent="0.25">
      <c r="A3" s="11" t="s">
        <v>0</v>
      </c>
      <c r="B3" s="11"/>
      <c r="C3" s="11"/>
      <c r="D3" s="11"/>
      <c r="E3" s="11"/>
    </row>
    <row r="4" spans="1:13" ht="13.8" x14ac:dyDescent="0.25">
      <c r="B4" t="s">
        <v>5</v>
      </c>
      <c r="F4" s="1">
        <f>Overall_Error_Check</f>
        <v>0</v>
      </c>
    </row>
    <row r="6" spans="1:13" ht="16.2" thickBot="1" x14ac:dyDescent="0.35">
      <c r="B6" s="42">
        <f>MAX($B$5:$B5)+1</f>
        <v>1</v>
      </c>
      <c r="C6" s="2" t="str">
        <f ca="1">A1</f>
        <v>Seaborn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" thickTop="1" x14ac:dyDescent="0.2"/>
    <row r="8" spans="1:13" ht="16.8" x14ac:dyDescent="0.3">
      <c r="C8" s="50" t="s">
        <v>84</v>
      </c>
      <c r="F8" s="3"/>
      <c r="G8" s="3"/>
      <c r="I8" s="3"/>
      <c r="J8" s="3"/>
    </row>
    <row r="10" spans="1:13" x14ac:dyDescent="0.2">
      <c r="C10" t="e" cm="1" vm="4">
        <f t="array" ref="C10">_xlfn._xlws.PY(16,1)</f>
        <v>#VALUE!</v>
      </c>
      <c r="E10" t="s">
        <v>143</v>
      </c>
    </row>
    <row r="30" spans="3:5" x14ac:dyDescent="0.2">
      <c r="C30" t="e" cm="1" vm="5">
        <f t="array" ref="C30">_xlfn._xlws.PY(17,1)</f>
        <v>#VALUE!</v>
      </c>
      <c r="E30" t="s">
        <v>144</v>
      </c>
    </row>
  </sheetData>
  <conditionalFormatting sqref="F4">
    <cfRule type="cellIs" dxfId="4" priority="1" operator="notEqual">
      <formula>0</formula>
    </cfRule>
  </conditionalFormatting>
  <hyperlinks>
    <hyperlink ref="A3:E3" location="HL_Navigator" tooltip="Go to Navigator (Table of Contents)" display="Navigator" xr:uid="{27EF50FE-D824-47D1-B866-D8B9BDB2749D}"/>
    <hyperlink ref="A3" location="HL_Navigator" display="Navigator" xr:uid="{83C97F39-06F8-4E0F-9B74-A1246F783364}"/>
    <hyperlink ref="F4" location="Overall_Error_Check" tooltip="Go to Overall Error Check" display="Overall_Error_Check" xr:uid="{477848AA-8FAD-4000-99D5-A568BC2A4B85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A0FB3-9678-4866-8DAA-6CF4D6CCB755}">
  <sheetPr codeName="Sheet13">
    <outlinePr summaryBelow="0" summaryRight="0"/>
  </sheetPr>
  <dimension ref="A1:M15"/>
  <sheetViews>
    <sheetView showGridLines="0" tabSelected="1" workbookViewId="0">
      <pane ySplit="4" topLeftCell="A5" activePane="bottomLeft" state="frozen"/>
      <selection pane="bottomLeft" activeCell="E9" sqref="E9"/>
    </sheetView>
  </sheetViews>
  <sheetFormatPr defaultRowHeight="11.4" x14ac:dyDescent="0.2"/>
  <cols>
    <col min="1" max="2" width="3.75" customWidth="1"/>
    <col min="3" max="3" width="15" bestFit="1" customWidth="1"/>
    <col min="4" max="4" width="14.875" hidden="1" customWidth="1"/>
    <col min="5" max="5" width="6.875" customWidth="1"/>
    <col min="6" max="6" width="12.875" bestFit="1" customWidth="1"/>
    <col min="7" max="7" width="2" bestFit="1" customWidth="1"/>
    <col min="8" max="8" width="5.625" customWidth="1"/>
    <col min="9" max="9" width="11.125" bestFit="1" customWidth="1"/>
    <col min="10" max="10" width="8.375" customWidth="1"/>
    <col min="11" max="11" width="14" bestFit="1" customWidth="1"/>
    <col min="12" max="12" width="11" bestFit="1" customWidth="1"/>
    <col min="15" max="15" width="9" customWidth="1"/>
    <col min="16" max="16" width="10.125" bestFit="1" customWidth="1"/>
    <col min="21" max="21" width="12.125" bestFit="1" customWidth="1"/>
    <col min="23" max="23" width="58.25" bestFit="1" customWidth="1"/>
  </cols>
  <sheetData>
    <row r="1" spans="1:13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Statsmodels</v>
      </c>
    </row>
    <row r="2" spans="1:13" ht="17.399999999999999" x14ac:dyDescent="0.3">
      <c r="A2" s="41" t="str">
        <f>Model_Name</f>
        <v>SP Python in Excel Example Starter File Chapter 3</v>
      </c>
    </row>
    <row r="3" spans="1:13" ht="12" x14ac:dyDescent="0.25">
      <c r="A3" s="11" t="s">
        <v>0</v>
      </c>
      <c r="B3" s="11"/>
      <c r="C3" s="11"/>
      <c r="D3" s="11"/>
      <c r="E3" s="11"/>
    </row>
    <row r="4" spans="1:13" ht="13.8" x14ac:dyDescent="0.25">
      <c r="B4" t="s">
        <v>5</v>
      </c>
      <c r="F4" s="1">
        <f>Overall_Error_Check</f>
        <v>0</v>
      </c>
    </row>
    <row r="6" spans="1:13" ht="16.2" thickBot="1" x14ac:dyDescent="0.35">
      <c r="B6" s="42">
        <f>MAX($B$5:$B5)+1</f>
        <v>1</v>
      </c>
      <c r="C6" s="2" t="str">
        <f ca="1">A1</f>
        <v>Statsmodels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" thickTop="1" x14ac:dyDescent="0.2"/>
    <row r="8" spans="1:13" ht="16.8" x14ac:dyDescent="0.3">
      <c r="C8" s="50" t="s">
        <v>84</v>
      </c>
      <c r="E8" t="s">
        <v>145</v>
      </c>
      <c r="F8" s="3"/>
      <c r="G8" s="3"/>
      <c r="I8" s="3"/>
      <c r="J8" s="3"/>
    </row>
    <row r="10" spans="1:13" x14ac:dyDescent="0.2">
      <c r="C10" cm="1">
        <f t="array" ref="C10:C15">_xlfn._xlws.PY(18,0)</f>
        <v>1.5852701744561313</v>
      </c>
    </row>
    <row r="11" spans="1:13" x14ac:dyDescent="0.2">
      <c r="C11">
        <v>-0.10905699616541398</v>
      </c>
    </row>
    <row r="12" spans="1:13" x14ac:dyDescent="0.2">
      <c r="C12">
        <v>0.57635765946227169</v>
      </c>
    </row>
    <row r="13" spans="1:13" x14ac:dyDescent="0.2">
      <c r="C13">
        <v>20.875738956201282</v>
      </c>
    </row>
    <row r="14" spans="1:13" x14ac:dyDescent="0.2">
      <c r="C14">
        <v>-1.1044486393561264</v>
      </c>
    </row>
    <row r="15" spans="1:13" x14ac:dyDescent="0.2">
      <c r="C15">
        <v>5.8663577016386954</v>
      </c>
    </row>
  </sheetData>
  <conditionalFormatting sqref="F4">
    <cfRule type="cellIs" dxfId="3" priority="1" operator="notEqual">
      <formula>0</formula>
    </cfRule>
  </conditionalFormatting>
  <hyperlinks>
    <hyperlink ref="A3:E3" location="HL_Navigator" tooltip="Go to Navigator (Table of Contents)" display="Navigator" xr:uid="{9B51332E-9517-4348-8CCB-F87C46ECFA7F}"/>
    <hyperlink ref="A3" location="HL_Navigator" display="Navigator" xr:uid="{D5A4AE68-1621-431C-949D-42758E2BA72F}"/>
    <hyperlink ref="F4" location="Overall_Error_Check" tooltip="Go to Overall Error Check" display="Overall_Error_Check" xr:uid="{603E69FB-EB7D-46BC-968C-E2467E5B5959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outlinePr summaryBelow="0" showOutlineSymbols="0"/>
  </sheetPr>
  <dimension ref="A1:R19"/>
  <sheetViews>
    <sheetView showGridLines="0" showOutlineSymbols="0" workbookViewId="0">
      <pane ySplit="4" topLeftCell="A9" activePane="bottomLeft" state="frozen"/>
      <selection activeCell="A3" sqref="A3:E3"/>
      <selection pane="bottomLeft"/>
    </sheetView>
  </sheetViews>
  <sheetFormatPr defaultColWidth="0" defaultRowHeight="11.4" outlineLevelRow="1" x14ac:dyDescent="0.2"/>
  <cols>
    <col min="1" max="5" width="3.75" customWidth="1"/>
    <col min="6" max="12" width="9.125" customWidth="1"/>
    <col min="13" max="18" width="0" hidden="1" customWidth="1"/>
    <col min="19" max="16384" width="9.125" hidden="1"/>
  </cols>
  <sheetData>
    <row r="1" spans="1:11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Error Checks</v>
      </c>
      <c r="I1" s="60"/>
      <c r="J1" s="60"/>
    </row>
    <row r="2" spans="1:11" ht="17.399999999999999" x14ac:dyDescent="0.3">
      <c r="A2" s="41" t="str">
        <f>Model_Name</f>
        <v>SP Python in Excel Example Starter File Chapter 3</v>
      </c>
    </row>
    <row r="3" spans="1:11" ht="12" x14ac:dyDescent="0.25">
      <c r="A3" s="60" t="s">
        <v>0</v>
      </c>
      <c r="B3" s="60"/>
      <c r="C3" s="60"/>
      <c r="D3" s="60"/>
      <c r="E3" s="60"/>
    </row>
    <row r="4" spans="1:11" ht="13.8" x14ac:dyDescent="0.25">
      <c r="B4" t="s">
        <v>5</v>
      </c>
      <c r="F4" s="1">
        <f>Overall_Error_Check</f>
        <v>0</v>
      </c>
    </row>
    <row r="6" spans="1:11" ht="16.2" thickBot="1" x14ac:dyDescent="0.35">
      <c r="B6" s="42">
        <f>MAX($B$5:$B5)+1</f>
        <v>1</v>
      </c>
      <c r="C6" s="2" t="s">
        <v>10</v>
      </c>
      <c r="D6" s="2"/>
      <c r="E6" s="2"/>
      <c r="F6" s="2"/>
      <c r="G6" s="2"/>
      <c r="H6" s="2"/>
      <c r="I6" s="2"/>
      <c r="J6" s="2"/>
      <c r="K6" s="2"/>
    </row>
    <row r="7" spans="1:11" ht="12" outlineLevel="1" thickTop="1" x14ac:dyDescent="0.2"/>
    <row r="8" spans="1:11" ht="16.8" outlineLevel="1" x14ac:dyDescent="0.3">
      <c r="C8" s="3" t="s">
        <v>67</v>
      </c>
    </row>
    <row r="9" spans="1:11" ht="16.8" outlineLevel="1" x14ac:dyDescent="0.3">
      <c r="C9" s="3"/>
    </row>
    <row r="10" spans="1:11" ht="16.8" outlineLevel="1" x14ac:dyDescent="0.3">
      <c r="C10" s="3"/>
      <c r="D10" s="4" t="s">
        <v>68</v>
      </c>
    </row>
    <row r="11" spans="1:11" outlineLevel="1" x14ac:dyDescent="0.2"/>
    <row r="12" spans="1:11" ht="13.8" outlineLevel="1" x14ac:dyDescent="0.25">
      <c r="E12" t="s">
        <v>69</v>
      </c>
      <c r="I12" s="36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9" ht="13.8" outlineLevel="1" x14ac:dyDescent="0.25">
      <c r="E17" s="4" t="str">
        <f>C8</f>
        <v>Summary of Errors</v>
      </c>
      <c r="I17" s="1">
        <f>MIN(1,SUM(I11:I15))</f>
        <v>0</v>
      </c>
    </row>
    <row r="18" spans="5:9" outlineLevel="1" x14ac:dyDescent="0.2"/>
    <row r="19" spans="5:9" outlineLevel="1" x14ac:dyDescent="0.2"/>
  </sheetData>
  <mergeCells count="2">
    <mergeCell ref="I1:J1"/>
    <mergeCell ref="A3:E3"/>
  </mergeCells>
  <conditionalFormatting sqref="I17 F4">
    <cfRule type="cellIs" dxfId="2" priority="3" operator="notEqual">
      <formula>0</formula>
    </cfRule>
  </conditionalFormatting>
  <conditionalFormatting sqref="I12">
    <cfRule type="cellIs" dxfId="1" priority="2" operator="notEqual">
      <formula>0</formula>
    </cfRule>
  </conditionalFormatting>
  <conditionalFormatting sqref="I12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8" ma:contentTypeDescription="Create a new document." ma:contentTypeScope="" ma:versionID="2065a112f9ac8af0572f0fe5183967ae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0af206870a95402b1da570ef0bccdd5c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ECBEBB-D65A-431A-99BD-68DEECEAEE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8d06b-05e3-4c65-85ba-22cd93c7683f"/>
    <ds:schemaRef ds:uri="ac914b5e-6dd4-4de9-b905-57df3d5402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6C8B711-BAF6-47A2-B864-71F94FDFDAFF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F1C49CD1-C924-4188-A85C-82CA20713BD8}">
  <ds:schemaRefs>
    <ds:schemaRef ds:uri="http://schemas.microsoft.com/office/2006/metadata/properties"/>
    <ds:schemaRef ds:uri="http://schemas.microsoft.com/office/infopath/2007/PartnerControls"/>
    <ds:schemaRef ds:uri="ff58d06b-05e3-4c65-85ba-22cd93c7683f"/>
    <ds:schemaRef ds:uri="ac914b5e-6dd4-4de9-b905-57df3d54023d"/>
  </ds:schemaRefs>
</ds:datastoreItem>
</file>

<file path=customXml/itemProps4.xml><?xml version="1.0" encoding="utf-8"?>
<ds:datastoreItem xmlns:ds="http://schemas.openxmlformats.org/officeDocument/2006/customXml" ds:itemID="{50296B77-767E-4405-A8C0-063FC5E94C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Cover</vt:lpstr>
      <vt:lpstr>Navigator</vt:lpstr>
      <vt:lpstr>Model Parameters</vt:lpstr>
      <vt:lpstr>Style Guide</vt:lpstr>
      <vt:lpstr>Pandas clean and transform</vt:lpstr>
      <vt:lpstr>NumPy arrays</vt:lpstr>
      <vt:lpstr>Matplotlib</vt:lpstr>
      <vt:lpstr>Seaborn</vt:lpstr>
      <vt:lpstr>Statsmodels</vt:lpstr>
      <vt:lpstr>Error Checks</vt:lpstr>
      <vt:lpstr>Client_Name</vt:lpstr>
      <vt:lpstr>Days_in_Year</vt:lpstr>
      <vt:lpstr>Days_in_Yr</vt:lpstr>
      <vt:lpstr>HL_1</vt:lpstr>
      <vt:lpstr>HL_10</vt:lpstr>
      <vt:lpstr>HL_2</vt:lpstr>
      <vt:lpstr>HL_3</vt:lpstr>
      <vt:lpstr>Matplotlib!HL_4</vt:lpstr>
      <vt:lpstr>'NumPy arrays'!HL_4</vt:lpstr>
      <vt:lpstr>'Pandas clean and transform'!HL_4</vt:lpstr>
      <vt:lpstr>Seaborn!HL_4</vt:lpstr>
      <vt:lpstr>Statsmodels!HL_4</vt:lpstr>
      <vt:lpstr>HL_4</vt:lpstr>
      <vt:lpstr>Matplotlib!HL_5</vt:lpstr>
      <vt:lpstr>'NumPy arrays'!HL_5</vt:lpstr>
      <vt:lpstr>Seaborn!HL_5</vt:lpstr>
      <vt:lpstr>Statsmodels!HL_5</vt:lpstr>
      <vt:lpstr>HL_5</vt:lpstr>
      <vt:lpstr>Matplotlib!HL_6</vt:lpstr>
      <vt:lpstr>'NumPy arrays'!HL_6</vt:lpstr>
      <vt:lpstr>'Pandas clean and transform'!HL_6</vt:lpstr>
      <vt:lpstr>Seaborn!HL_6</vt:lpstr>
      <vt:lpstr>Statsmodels!HL_6</vt:lpstr>
      <vt:lpstr>HL_6</vt:lpstr>
      <vt:lpstr>HL_7</vt:lpstr>
      <vt:lpstr>HL_8</vt:lpstr>
      <vt:lpstr>HL_9</vt:lpstr>
      <vt:lpstr>HL_Model_Parameters</vt:lpstr>
      <vt:lpstr>HL_Navigator</vt:lpstr>
      <vt:lpstr>Months_in_Half_Yr</vt:lpstr>
      <vt:lpstr>Months_in_Month</vt:lpstr>
      <vt:lpstr>Months_in_Qtr</vt:lpstr>
      <vt:lpstr>Months_in_Quarter</vt:lpstr>
      <vt:lpstr>Months_in_Year</vt:lpstr>
      <vt:lpstr>Overall_Error_Check</vt:lpstr>
      <vt:lpstr>Quarters_in_Year</vt:lpstr>
      <vt:lpstr>Rounding_Accuracy</vt:lpstr>
      <vt:lpstr>Thousand</vt:lpstr>
      <vt:lpstr>Very_Large_Number</vt:lpstr>
      <vt:lpstr>Very_Small_Number</vt:lpstr>
    </vt:vector>
  </TitlesOfParts>
  <Manager/>
  <Company>SumProduct Pty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Liam</dc:creator>
  <cp:keywords/>
  <dc:description/>
  <cp:lastModifiedBy>Tim Ryder</cp:lastModifiedBy>
  <cp:revision/>
  <dcterms:created xsi:type="dcterms:W3CDTF">2012-10-20T20:39:47Z</dcterms:created>
  <dcterms:modified xsi:type="dcterms:W3CDTF">2026-03-16T19:12:57Z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