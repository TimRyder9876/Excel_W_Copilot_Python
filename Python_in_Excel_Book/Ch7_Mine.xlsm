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587838ffad9f248/Documents/Books/Python_In_Excel/"/>
    </mc:Choice>
  </mc:AlternateContent>
  <xr:revisionPtr revIDLastSave="459" documentId="13_ncr:1_{19FDDAE7-681C-475D-8BC0-28127AFAB222}" xr6:coauthVersionLast="47" xr6:coauthVersionMax="47" xr10:uidLastSave="{5F11A27E-F7D9-494F-868A-5395AD60FB3C}"/>
  <bookViews>
    <workbookView xWindow="-108" yWindow="-108" windowWidth="23256" windowHeight="12456" tabRatio="571" firstSheet="7" activeTab="7" xr2:uid="{00000000-000D-0000-FFFF-FFFF00000000}"/>
  </bookViews>
  <sheets>
    <sheet name="Cover" sheetId="1" r:id="rId1"/>
    <sheet name="Navigator" sheetId="3" r:id="rId2"/>
    <sheet name="Model Parameters" sheetId="2" r:id="rId3"/>
    <sheet name="Style Guide" sheetId="4" r:id="rId4"/>
    <sheet name="Car_Sales_Data" sheetId="25" r:id="rId5"/>
    <sheet name="Northwind" sheetId="28" r:id="rId6"/>
    <sheet name="Prompts" sheetId="32" r:id="rId7"/>
    <sheet name="Adventure Works" sheetId="31" r:id="rId8"/>
    <sheet name="Error Checks" sheetId="5" r:id="rId9"/>
    <sheet name="Car_Sales_Analysis" sheetId="34" r:id="rId10"/>
  </sheets>
  <definedNames>
    <definedName name="Alphabetical_list_of_products">Northwind!$E$21:$H$36</definedName>
    <definedName name="Categories">Northwind!$E$9:$G$17</definedName>
    <definedName name="Client_Name">'Model Parameters'!$G$12</definedName>
    <definedName name="Days_in_Year">'Model Parameters'!$G$19</definedName>
    <definedName name="Days_in_Yr">'Model Parameters'!$G$19</definedName>
    <definedName name="HL_1">Cover!$A$3</definedName>
    <definedName name="HL_10">'Error Checks'!$A$3</definedName>
    <definedName name="HL_2">'Model Parameters'!$A$3</definedName>
    <definedName name="HL_3">'Model Parameters'!$A$3</definedName>
    <definedName name="HL_4" localSheetId="7">'Adventure Works'!$A$3</definedName>
    <definedName name="HL_4" localSheetId="4">Car_Sales_Data!$A$3</definedName>
    <definedName name="HL_4" localSheetId="5">Northwind!$A$3</definedName>
    <definedName name="HL_4">'Style Guide'!$A$3</definedName>
    <definedName name="HL_5" localSheetId="7">'Adventure Works'!$A$3</definedName>
    <definedName name="HL_5" localSheetId="4">Car_Sales_Data!$A$3</definedName>
    <definedName name="HL_5" localSheetId="5">Northwind!$A$3</definedName>
    <definedName name="HL_5">Car_Sales_Data!$A$3</definedName>
    <definedName name="HL_6" localSheetId="7">'Adventure Works'!$A$3</definedName>
    <definedName name="HL_6" localSheetId="4">Car_Sales_Data!$A$3</definedName>
    <definedName name="HL_6" localSheetId="5">Northwind!$A$3</definedName>
    <definedName name="HL_6">Northwind!$A$3</definedName>
    <definedName name="HL_7">'Adventure Works'!$A$3</definedName>
    <definedName name="HL_8">'Error Checks'!$A$3</definedName>
    <definedName name="HL_Model_Parameters">'Model Parameters'!$A$5</definedName>
    <definedName name="HL_Navigator">Navigator!$A$1</definedName>
    <definedName name="Model_Name">"SP Python in Excel Example Starter File Chapter 7"</definedName>
    <definedName name="Months_in_Half_Yr">'Model Parameters'!$G$22</definedName>
    <definedName name="Months_in_Month">'Model Parameters'!$G$20</definedName>
    <definedName name="Months_in_Qtr">'Model Parameters'!$G$21</definedName>
    <definedName name="Months_in_Quarter">'Model Parameters'!$G$21</definedName>
    <definedName name="Months_in_Year">'Model Parameters'!$G$23</definedName>
    <definedName name="Overall_Error_Check">'Error Checks'!$I$17</definedName>
    <definedName name="Quarters_in_Year">'Model Parameters'!$G$24</definedName>
    <definedName name="Region">'Adventure Works'!$E$8:$I$23</definedName>
    <definedName name="Rounding_Accuracy">'Model Parameters'!$G$26</definedName>
    <definedName name="Thousand">'Model Parameters'!$G$31</definedName>
    <definedName name="Very_Large_Number">'Model Parameters'!$G$28</definedName>
    <definedName name="Very_Small_Number">'Model Parameters'!$G$29</definedName>
    <definedName name="VRange">#REF!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ales_0da1a550-5849-4970-9ac0-646f0b2b1f0a" name="Sales" connection="Query - Sales"/>
          <x15:modelTable id="Region_f483559b-e98e-4917-9e1c-d63376f0ebc5" name="Region" connection="Query - Region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7" i="5" l="1"/>
  <c r="E17" i="5"/>
  <c r="B6" i="5"/>
  <c r="F4" i="5"/>
  <c r="A2" i="5"/>
  <c r="A1" i="5"/>
  <c r="B6" i="31"/>
  <c r="F4" i="31"/>
  <c r="A2" i="31"/>
  <c r="A1" i="31"/>
  <c r="C6" i="31" s="1"/>
  <c r="B6" i="28"/>
  <c r="F4" i="28"/>
  <c r="A2" i="28"/>
  <c r="A1" i="28"/>
  <c r="C6" i="28" s="1"/>
  <c r="B6" i="25"/>
  <c r="F4" i="25"/>
  <c r="A2" i="25"/>
  <c r="A1" i="25"/>
  <c r="C6" i="25" s="1"/>
  <c r="K74" i="4"/>
  <c r="K72" i="4"/>
  <c r="K70" i="4"/>
  <c r="I70" i="4"/>
  <c r="K68" i="4"/>
  <c r="I68" i="4"/>
  <c r="K66" i="4"/>
  <c r="K64" i="4"/>
  <c r="K62" i="4"/>
  <c r="K60" i="4"/>
  <c r="B56" i="4"/>
  <c r="K53" i="4"/>
  <c r="K51" i="4"/>
  <c r="K49" i="4"/>
  <c r="I49" i="4"/>
  <c r="I47" i="4"/>
  <c r="K45" i="4"/>
  <c r="K43" i="4"/>
  <c r="K41" i="4"/>
  <c r="I41" i="4"/>
  <c r="K37" i="4"/>
  <c r="I37" i="4"/>
  <c r="K35" i="4"/>
  <c r="K33" i="4"/>
  <c r="K31" i="4"/>
  <c r="K29" i="4"/>
  <c r="I29" i="4"/>
  <c r="K27" i="4"/>
  <c r="B23" i="4"/>
  <c r="I20" i="4"/>
  <c r="I18" i="4"/>
  <c r="I16" i="4"/>
  <c r="I15" i="4"/>
  <c r="I14" i="4"/>
  <c r="I13" i="4"/>
  <c r="I11" i="4"/>
  <c r="I10" i="4"/>
  <c r="B6" i="4"/>
  <c r="I4" i="4"/>
  <c r="A2" i="4"/>
  <c r="A1" i="4"/>
  <c r="B15" i="2"/>
  <c r="G11" i="2"/>
  <c r="B6" i="2"/>
  <c r="I4" i="2"/>
  <c r="A2" i="2"/>
  <c r="A1" i="2"/>
  <c r="G4" i="3"/>
  <c r="A2" i="3"/>
  <c r="C6" i="1"/>
  <c r="C5" i="1"/>
  <c r="C9" i="25" a="1"/>
  <c r="K26" i="34" l="1"/>
  <c r="K22" i="34"/>
  <c r="E43" i="34"/>
  <c r="E42" i="34"/>
  <c r="E41" i="34"/>
  <c r="E35" i="34"/>
  <c r="E34" i="34"/>
  <c r="E33" i="34"/>
  <c r="E32" i="34"/>
  <c r="E31" i="34"/>
  <c r="E25" i="34"/>
  <c r="E24" i="34"/>
  <c r="E23" i="34"/>
  <c r="E22" i="34"/>
  <c r="E21" i="34"/>
  <c r="D14" i="34"/>
  <c r="D10" i="34"/>
  <c r="M34" i="34"/>
  <c r="M33" i="34"/>
  <c r="M32" i="34"/>
  <c r="D41" i="34"/>
  <c r="D35" i="34"/>
  <c r="D34" i="34"/>
  <c r="D33" i="34"/>
  <c r="D32" i="34"/>
  <c r="D31" i="34"/>
  <c r="D25" i="34"/>
  <c r="D24" i="34"/>
  <c r="D22" i="34"/>
  <c r="D12" i="34"/>
  <c r="K32" i="34"/>
  <c r="K23" i="34"/>
  <c r="F43" i="34"/>
  <c r="F41" i="34"/>
  <c r="M45" i="34"/>
  <c r="M44" i="34"/>
  <c r="M43" i="34"/>
  <c r="M42" i="34"/>
  <c r="M41" i="34"/>
  <c r="M35" i="34"/>
  <c r="M31" i="34"/>
  <c r="K25" i="34"/>
  <c r="K21" i="34"/>
  <c r="D43" i="34"/>
  <c r="D42" i="34"/>
  <c r="D23" i="34"/>
  <c r="D21" i="34"/>
  <c r="D13" i="34"/>
  <c r="D9" i="34"/>
  <c r="G24" i="34"/>
  <c r="G23" i="34"/>
  <c r="G22" i="34"/>
  <c r="G21" i="34"/>
  <c r="D16" i="34"/>
  <c r="K31" i="34"/>
  <c r="L45" i="34"/>
  <c r="L44" i="34"/>
  <c r="L43" i="34"/>
  <c r="L42" i="34"/>
  <c r="L41" i="34"/>
  <c r="L35" i="34"/>
  <c r="L34" i="34"/>
  <c r="L33" i="34"/>
  <c r="L32" i="34"/>
  <c r="L31" i="34"/>
  <c r="K24" i="34"/>
  <c r="G43" i="34"/>
  <c r="G42" i="34"/>
  <c r="G41" i="34"/>
  <c r="G35" i="34"/>
  <c r="G34" i="34"/>
  <c r="G33" i="34"/>
  <c r="G32" i="34"/>
  <c r="G31" i="34"/>
  <c r="G25" i="34"/>
  <c r="F42" i="34"/>
  <c r="F35" i="34"/>
  <c r="K45" i="34"/>
  <c r="K44" i="34"/>
  <c r="K43" i="34"/>
  <c r="K42" i="34"/>
  <c r="K41" i="34"/>
  <c r="K35" i="34"/>
  <c r="K34" i="34"/>
  <c r="K33" i="34"/>
  <c r="F34" i="34"/>
  <c r="F33" i="34"/>
  <c r="F32" i="34"/>
  <c r="F31" i="34"/>
  <c r="F25" i="34"/>
  <c r="F24" i="34"/>
  <c r="F23" i="34"/>
  <c r="F22" i="34"/>
  <c r="F21" i="34"/>
  <c r="D15" i="34"/>
  <c r="D11" i="34"/>
  <c r="C9" i="25"/>
  <c r="C9" i="28" a="1"/>
  <c r="N33" i="34" l="1"/>
  <c r="C9" i="28"/>
  <c r="N45" i="34"/>
  <c r="N42" i="34"/>
  <c r="M36" i="34"/>
  <c r="N34" i="34"/>
  <c r="N43" i="34"/>
  <c r="N35" i="34"/>
  <c r="N44" i="34"/>
  <c r="D26" i="34"/>
  <c r="M46" i="34"/>
  <c r="E26" i="34"/>
  <c r="D36" i="34"/>
  <c r="E36" i="34"/>
  <c r="E44" i="34"/>
  <c r="L46" i="34"/>
  <c r="N32" i="34"/>
  <c r="G36" i="34"/>
  <c r="F44" i="34"/>
  <c r="F26" i="34"/>
  <c r="F36" i="34"/>
  <c r="G44" i="34"/>
  <c r="L36" i="34"/>
  <c r="G26" i="34"/>
  <c r="D44" i="34"/>
  <c r="N41" i="34"/>
  <c r="K46" i="34"/>
  <c r="N31" i="34"/>
  <c r="K36" i="34"/>
  <c r="C11" i="28" a="1"/>
  <c r="C11" i="28" l="1"/>
  <c r="N36" i="34"/>
  <c r="N46" i="34"/>
  <c r="C14" i="28" a="1"/>
  <c r="C14" i="28" l="1"/>
  <c r="C9" i="31" a="1"/>
  <c r="C9" i="31" l="1"/>
  <c r="C11" i="31" a="1"/>
  <c r="C11" i="31" l="1"/>
  <c r="C13" i="31" a="1"/>
  <c r="C48" i="34" a="1"/>
  <c r="C13" i="31" l="1"/>
  <c r="C48" i="34"/>
  <c r="C59" i="34" a="1"/>
  <c r="C59" i="3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2EC607D-5D76-4AE9-848B-8F768D453F7E}" keepAlive="1" name="Query - Alphabetical_list_of_products" description="Connection to the 'Alphabetical_list_of_products' query in the workbook." type="5" refreshedVersion="0" background="1">
    <dbPr connection="Provider=Microsoft.Mashup.OleDb.1;Data Source=$Workbook$;Location=Alphabetical_list_of_products;Extended Properties=&quot;&quot;" command="SELECT * FROM [Alphabetical_list_of_products]"/>
  </connection>
  <connection id="2" xr16:uid="{05E1D1BD-07B1-4F2D-BFC4-BCF93E720E64}" keepAlive="1" name="Query - car_sales_data" description="Connection to the 'car_sales_data' query in the workbook." type="5" refreshedVersion="0" background="1">
    <dbPr connection="Provider=Microsoft.Mashup.OleDb.1;Data Source=$Workbook$;Location=car_sales_data;Extended Properties=&quot;&quot;" command="SELECT * FROM [car_sales_data]"/>
  </connection>
  <connection id="3" xr16:uid="{CCBB12A4-09FB-46C8-B5BA-7BC1256B0795}" keepAlive="1" name="Query - Categories" description="Connection to the 'Categories' query in the workbook." type="5" refreshedVersion="0" background="1">
    <dbPr connection="Provider=Microsoft.Mashup.OleDb.1;Data Source=$Workbook$;Location=Categories;Extended Properties=&quot;&quot;" command="SELECT * FROM [Categories]"/>
  </connection>
  <connection id="4" xr16:uid="{67931214-E3DA-40B9-8D83-D7885817D9EE}" keepAlive="1" name="Query - ProductsInCategories" description="Connection to the 'ProductsInCategories' query in the workbook." type="5" refreshedVersion="0" background="1">
    <dbPr connection="Provider=Microsoft.Mashup.OleDb.1;Data Source=$Workbook$;Location=ProductsInCategories;Extended Properties=&quot;&quot;" command="SELECT * FROM [ProductsInCategories]"/>
  </connection>
  <connection id="5" xr16:uid="{A5C2E193-E596-4D54-A95C-F77B9FF75A58}" name="Query - Region" description="Connection to the 'Region' query in the workbook." type="100" refreshedVersion="8" minRefreshableVersion="5">
    <extLst>
      <ext xmlns:x15="http://schemas.microsoft.com/office/spreadsheetml/2010/11/main" uri="{DE250136-89BD-433C-8126-D09CA5730AF9}">
        <x15:connection id="cf54deaa-66ce-4b89-859c-10816c1afe40"/>
      </ext>
    </extLst>
  </connection>
  <connection id="6" xr16:uid="{82F4CE55-B8E6-4868-87CF-77B5B9A90BDE}" name="Query - Sales" description="Connection to the 'Sales' query in the workbook." type="100" refreshedVersion="8" minRefreshableVersion="5">
    <extLst>
      <ext xmlns:x15="http://schemas.microsoft.com/office/spreadsheetml/2010/11/main" uri="{DE250136-89BD-433C-8126-D09CA5730AF9}">
        <x15:connection id="60cb78d0-49f4-4faa-9d2e-6559d381d93e"/>
      </ext>
    </extLst>
  </connection>
  <connection id="7" xr16:uid="{3FFEE07F-3C83-4F01-A754-16356397EDF5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df_car_Sales = xl(%P2%)</code>
    </pythonScript>
    <pythonScript>
      <code>df_nw_categories = xl(%P2%, headers=True)
df_nw_categories</code>
    </pythonScript>
    <pythonScript>
      <code>df_nw_products = xl(%P2%, headers=True)
df_nw_products</code>
    </pythonScript>
    <pythonScript>
      <code># Load the dataframes
df_nw_categories = xl(%P2%, headers=True)
df_nw_products = xl(%P3%, headers=True)
# Merge categories with products on CategoryID
df_merged = df_nw_products.merge(df_nw_categories, on="CategoryID", how="left")
df_merged</code>
    </pythonScript>
    <pythonScript>
      <code>df_aw_region = xl(%P2%, headers=True)
df_aw_region</code>
    </pythonScript>
    <pythonScript>
      <code># Clean the region data
import pandas as pd
# Load the raw data
df_aw_region = xl(%P2%, headers=True)
# Create a copy for cleaning
df_clean = df_aw_region.copy()
# 1. Strip whitespace from all string columns
for col in df_clean.select_dtypes(include=['object']).columns:
    df_clean[col] = df_clean[col].astype(str).str.strip()
# 2. Replace empty strings and whitespace-only with NaN
df_clean = df_clean.replace(r'^\s*$', pd.NA, regex=True)
df_clean = df_clean.replace('', pd.NA)
df_clean = df_clean.replace('nan', pd.NA)
# 3. Standardize RegionName to Title Case
df_clean['RegionName'] = df_clean['RegionName'].str.title()
# 4. Standardize Country to Title Case
df_clean['Country'] = df_clean['Country'].str.title()
# 5. Standardize SalesManager to Title Case
df_clean['SalesManager'] = df_clean['SalesManager'].str.title()
# 6. Standardize Status to Title Case and fix invalid values
df_clean['Status'] = df_clean['Status'].str.title()
df_clean['Status'] = df_clean['Status'].replace({'N/A': 'Unknown', 'Na': 'Unknown'})
# 7. Fill missing Status with 'Unknown'
df_clean['Status'] = df_clean['Status'].fillna('Unknown')
# 8. Remove duplicate regions (keep first occurrence based on RegionName + Country)
df_clean = df_clean.drop_duplicates(subset=['RegionName', 'Country'], keep='first')
# 9. Remove rows where RegionName is missing/NA
df_clean = df_clean.dropna(subset=['RegionName'])
# 10. Reset the index
df_clean = df_clean.reset_index(drop=True)
# Store as df_aw_region_clean
df_aw_region_clean = df_clean
df_aw_region_clean</code>
    </pythonScript>
    <pythonScript>
      <code># Generate cleaning summary
import pandas as pd
df_raw = xl(%P2%, headers=True)
df_cleaned = df_aw_region_clean
summary = pd.DataFrame({
    'Metric': [
        'Original Row Count',
        'Cleaned Row Count',
        'Rows Removed',
        'Unique Regions (Cleaned)',
        'Unique Countries (Cleaned)',
        'Missing SalesManager Count',
        'Unknown Status Count'
    ],
    'Value': [
        len(df_raw),
        len(df_cleaned),
        len(df_raw) - len(df_cleaned),
        df_cleaned['RegionName'].nunique(),
        df_cleaned['Country'].nunique(),
        df_cleaned['SalesManager'].isna().sum(),
        (df_cleaned['Status'] == 'Unknown').sum()
    ]
})
summary</code>
    </pythonScript>
    <pythonScript>
      <code>info = df_car_Sales.dtypes.to_frame('dtype')
info['non_null']= df_car_Sales.count()
info['unique_values']=df_car_Sales.apply(lambda srs: len(srs.unique()))
info['first_row'] = df_car_Sales.iloc[0]
info['last_row'] = df_car_Sales.iloc[-1]
info['memory_usage'] = df_car_Sales.memory_usage().sum()
info</code>
    </pythonScript>
    <pythonScript>
      <code>df_car_Sales.describe()</code>
    </pythonScript>
  </pythonScripts>
</python>
</file>

<file path=xl/sharedStrings.xml><?xml version="1.0" encoding="utf-8"?>
<sst xmlns="http://schemas.openxmlformats.org/spreadsheetml/2006/main" count="313" uniqueCount="232">
  <si>
    <t>Navigator</t>
  </si>
  <si>
    <t>General Cover Notes:</t>
  </si>
  <si>
    <t>Any queries, please e-mail:</t>
  </si>
  <si>
    <t>Website:</t>
  </si>
  <si>
    <t>www.sumproduct.com</t>
  </si>
  <si>
    <t>Error Checks:</t>
  </si>
  <si>
    <t>Table of Contents</t>
  </si>
  <si>
    <t>Cover</t>
  </si>
  <si>
    <t>Style Guide</t>
  </si>
  <si>
    <t>Model Parameters</t>
  </si>
  <si>
    <t>Error Checks</t>
  </si>
  <si>
    <t>Formatting of Headers / Dividers</t>
  </si>
  <si>
    <t>Description</t>
  </si>
  <si>
    <t>Display</t>
  </si>
  <si>
    <t>Style Name</t>
  </si>
  <si>
    <t>Sheet Title</t>
  </si>
  <si>
    <t>Model Name</t>
  </si>
  <si>
    <t>Header 1</t>
  </si>
  <si>
    <t>Header 2</t>
  </si>
  <si>
    <t>Header 3</t>
  </si>
  <si>
    <t>Header 4</t>
  </si>
  <si>
    <t>Notes</t>
  </si>
  <si>
    <t>Table Heading</t>
  </si>
  <si>
    <t>Individual Cell Styles</t>
  </si>
  <si>
    <t>Assumption</t>
  </si>
  <si>
    <t>Constraint</t>
  </si>
  <si>
    <t>Empty</t>
  </si>
  <si>
    <t>Error Check</t>
  </si>
  <si>
    <t>Hyperlink</t>
  </si>
  <si>
    <t>Internal Reference</t>
  </si>
  <si>
    <t>Line Calculation</t>
  </si>
  <si>
    <t>Line Calc</t>
  </si>
  <si>
    <t>Line Total</t>
  </si>
  <si>
    <t>Parameter</t>
  </si>
  <si>
    <t>Range Name Description</t>
  </si>
  <si>
    <t>Not_Named</t>
  </si>
  <si>
    <t>Row Reference</t>
  </si>
  <si>
    <t>Row Ref</t>
  </si>
  <si>
    <t>Row Summary</t>
  </si>
  <si>
    <t>Units</t>
  </si>
  <si>
    <t>A$</t>
  </si>
  <si>
    <t>WIP</t>
  </si>
  <si>
    <t>Numerical Styles</t>
  </si>
  <si>
    <t>Comma</t>
  </si>
  <si>
    <t>Comma [0]</t>
  </si>
  <si>
    <t>Currency</t>
  </si>
  <si>
    <t>Currency [0]</t>
  </si>
  <si>
    <t>Date</t>
  </si>
  <si>
    <t>Date Heading</t>
  </si>
  <si>
    <t>Numbers 0</t>
  </si>
  <si>
    <t>Percent</t>
  </si>
  <si>
    <t>General</t>
  </si>
  <si>
    <t>Key Inputs</t>
  </si>
  <si>
    <t>Client Name</t>
  </si>
  <si>
    <t>SumProduct Pty Limited</t>
  </si>
  <si>
    <t>General Range Names</t>
  </si>
  <si>
    <t>Technical Assumptions</t>
  </si>
  <si>
    <t>Days in Year</t>
  </si>
  <si>
    <t>Months in Month</t>
  </si>
  <si>
    <t>Months in Quarter</t>
  </si>
  <si>
    <t>Months in Half Yr</t>
  </si>
  <si>
    <t>Months in Year</t>
  </si>
  <si>
    <t>Quarters in Year</t>
  </si>
  <si>
    <t>Rounding Accuracy</t>
  </si>
  <si>
    <t>Very Large Number</t>
  </si>
  <si>
    <t>Very Small Number</t>
  </si>
  <si>
    <t>Thousand</t>
  </si>
  <si>
    <t>Summary of Errors</t>
  </si>
  <si>
    <t>Assumptions</t>
  </si>
  <si>
    <t>Example</t>
  </si>
  <si>
    <t>Examples of Python in Excel</t>
  </si>
  <si>
    <t>Primary Developer:  KTN</t>
  </si>
  <si>
    <t>kathryn.newitt@sumproduct.com</t>
  </si>
  <si>
    <t>Data</t>
  </si>
  <si>
    <t>Car_Sales_Data</t>
  </si>
  <si>
    <t>Northwind</t>
  </si>
  <si>
    <t>Adventure Works</t>
  </si>
  <si>
    <t>Results</t>
  </si>
  <si>
    <t>Prompt</t>
  </si>
  <si>
    <t>In the Car_Sales_Data sheet, using the df_car_sales, analyze the data in a new sheet</t>
  </si>
  <si>
    <t>Car_Sales_Analysis</t>
  </si>
  <si>
    <t>SP Python in Excel Example Starter File Chapter 7</t>
  </si>
  <si>
    <t>Metric</t>
  </si>
  <si>
    <t>Value</t>
  </si>
  <si>
    <t>Total Revenue</t>
  </si>
  <si>
    <t>Average Sale Price</t>
  </si>
  <si>
    <t>Overall Summary Statistics</t>
  </si>
  <si>
    <t>Total Number of Sales</t>
  </si>
  <si>
    <t>Total Commission Paid</t>
  </si>
  <si>
    <t>Average Commission Rate</t>
  </si>
  <si>
    <t>Minimum Sale Price</t>
  </si>
  <si>
    <t>Maximum Sale Price</t>
  </si>
  <si>
    <t>Median Sale Price</t>
  </si>
  <si>
    <t>Sales by Car Make</t>
  </si>
  <si>
    <t>Car Make</t>
  </si>
  <si>
    <t>Number of Sales</t>
  </si>
  <si>
    <t>Avg Sale Price</t>
  </si>
  <si>
    <t>Total Commission</t>
  </si>
  <si>
    <t>Chevrolet</t>
  </si>
  <si>
    <t>Ford</t>
  </si>
  <si>
    <t>Honda</t>
  </si>
  <si>
    <t>Nissan</t>
  </si>
  <si>
    <t>Toyota</t>
  </si>
  <si>
    <t>Total</t>
  </si>
  <si>
    <t>Sales by Car Model</t>
  </si>
  <si>
    <t>Car Model</t>
  </si>
  <si>
    <t>Altima</t>
  </si>
  <si>
    <t>Civic</t>
  </si>
  <si>
    <t>Corolla</t>
  </si>
  <si>
    <t>F-150</t>
  </si>
  <si>
    <t>Silverado</t>
  </si>
  <si>
    <t>Sales by Car Year</t>
  </si>
  <si>
    <t>Car Year</t>
  </si>
  <si>
    <t>Top 10 Salespeople by Revenue</t>
  </si>
  <si>
    <t>Salesperson</t>
  </si>
  <si>
    <t>(Use PivotTable or Data &gt; Sort for detailed ranking)</t>
  </si>
  <si>
    <t>Commission Rate Analysis</t>
  </si>
  <si>
    <t>Min Commission Rate</t>
  </si>
  <si>
    <t>Max Commission Rate</t>
  </si>
  <si>
    <t>Std Dev Commission Rate</t>
  </si>
  <si>
    <t>Avg Commission per Sale</t>
  </si>
  <si>
    <t>Revenue by Car Make and Year (Cross-Tab)</t>
  </si>
  <si>
    <t>Units Sold by Car Make and Year</t>
  </si>
  <si>
    <t>þ</t>
  </si>
  <si>
    <t>Created the Car_Sales_Analysis sheet</t>
  </si>
  <si>
    <t>Manual Python Additions</t>
  </si>
  <si>
    <t>Merge the data in df_dw_categories with the data in df_nw_products</t>
  </si>
  <si>
    <t>Categories Data</t>
  </si>
  <si>
    <t>CategoryID</t>
  </si>
  <si>
    <t>CategoryName</t>
  </si>
  <si>
    <t>Beverages</t>
  </si>
  <si>
    <t>Soft drinks, coffees, teas, beers, and ales</t>
  </si>
  <si>
    <t>Condiments</t>
  </si>
  <si>
    <t>Sweet and savory sauces, relishes, spreads, and seasonings</t>
  </si>
  <si>
    <t>Confections</t>
  </si>
  <si>
    <t>Desserts, candies, and sweet breads</t>
  </si>
  <si>
    <t>Dairy Products</t>
  </si>
  <si>
    <t>Cheeses</t>
  </si>
  <si>
    <t>Grains/Cereals</t>
  </si>
  <si>
    <t>Breads, crackers, pasta, and cereal</t>
  </si>
  <si>
    <t>Meat/Poultry</t>
  </si>
  <si>
    <t>Prepared meats</t>
  </si>
  <si>
    <t>Produce</t>
  </si>
  <si>
    <t>Dried fruit and bean curd</t>
  </si>
  <si>
    <t>Seafood</t>
  </si>
  <si>
    <t>Seaweed and fish</t>
  </si>
  <si>
    <t>Products Data</t>
  </si>
  <si>
    <t>ProductID</t>
  </si>
  <si>
    <t>ProductName</t>
  </si>
  <si>
    <t>UnitPrice</t>
  </si>
  <si>
    <t>Chai</t>
  </si>
  <si>
    <t>Chang</t>
  </si>
  <si>
    <t>Aniseed Syrup</t>
  </si>
  <si>
    <t>Chef Anton's Cajun Seasoning</t>
  </si>
  <si>
    <t>Chef Anton's Gumbo Mix</t>
  </si>
  <si>
    <t>Grandma's Boysenberry Spread</t>
  </si>
  <si>
    <t>Uncle Bob's Organic Dried Pears</t>
  </si>
  <si>
    <t>Northwoods Cranberry Sauce</t>
  </si>
  <si>
    <t>Mishi Kobe Niku</t>
  </si>
  <si>
    <t>Ikura</t>
  </si>
  <si>
    <t>Queso Cabrales</t>
  </si>
  <si>
    <t>Queso Manchego La Pastora</t>
  </si>
  <si>
    <t>Konbu</t>
  </si>
  <si>
    <t>Tofu</t>
  </si>
  <si>
    <t>Genen Shouyu</t>
  </si>
  <si>
    <t>Merged Data</t>
  </si>
  <si>
    <t>DataFrame</t>
  </si>
  <si>
    <t>Categories DataFrame</t>
  </si>
  <si>
    <t>Products DataFrame</t>
  </si>
  <si>
    <t>Merged DataFrame (Products + Categories)</t>
  </si>
  <si>
    <t>Created merged DataFrame df_merged in Northwind sheet (C14)</t>
  </si>
  <si>
    <t>Use python to clean the data in df_aw_region</t>
  </si>
  <si>
    <t>RegionID</t>
  </si>
  <si>
    <t>RegionName</t>
  </si>
  <si>
    <t>Country</t>
  </si>
  <si>
    <t>SalesManager</t>
  </si>
  <si>
    <t>Status</t>
  </si>
  <si>
    <t xml:space="preserve">  North America</t>
  </si>
  <si>
    <t>USA</t>
  </si>
  <si>
    <t>John Smith</t>
  </si>
  <si>
    <t>Active</t>
  </si>
  <si>
    <t>north america</t>
  </si>
  <si>
    <t>usa</t>
  </si>
  <si>
    <t>JANE DOE</t>
  </si>
  <si>
    <t>active</t>
  </si>
  <si>
    <t xml:space="preserve">Europe </t>
  </si>
  <si>
    <t>Germany</t>
  </si>
  <si>
    <t xml:space="preserve">  Hans Mueller</t>
  </si>
  <si>
    <t>EUROPE</t>
  </si>
  <si>
    <t>France</t>
  </si>
  <si>
    <t>Marie Dubois</t>
  </si>
  <si>
    <t xml:space="preserve"> ACTIVE </t>
  </si>
  <si>
    <t>Asia Pacific</t>
  </si>
  <si>
    <t>Japan</t>
  </si>
  <si>
    <t xml:space="preserve"> asia pacific </t>
  </si>
  <si>
    <t>China</t>
  </si>
  <si>
    <t>Wei Zhang</t>
  </si>
  <si>
    <t>Latin America</t>
  </si>
  <si>
    <t>Brazil</t>
  </si>
  <si>
    <t>Carlos Silva</t>
  </si>
  <si>
    <t>Inactive</t>
  </si>
  <si>
    <t>Mexico</t>
  </si>
  <si>
    <t>Maria Garcia</t>
  </si>
  <si>
    <t>inactive</t>
  </si>
  <si>
    <t>Australia</t>
  </si>
  <si>
    <t>James Cook</t>
  </si>
  <si>
    <t>Middle East</t>
  </si>
  <si>
    <t>UAE</t>
  </si>
  <si>
    <t xml:space="preserve">Ahmed Hassan  </t>
  </si>
  <si>
    <t>middle east</t>
  </si>
  <si>
    <t>Saudi Arabia</t>
  </si>
  <si>
    <t>Fatima Ali</t>
  </si>
  <si>
    <t xml:space="preserve"> active</t>
  </si>
  <si>
    <t>Africa</t>
  </si>
  <si>
    <t>South Africa</t>
  </si>
  <si>
    <t>Nelson Mandela</t>
  </si>
  <si>
    <t>N/A</t>
  </si>
  <si>
    <t>Nigeria</t>
  </si>
  <si>
    <t>Chidi Okonkwo</t>
  </si>
  <si>
    <t xml:space="preserve">   </t>
  </si>
  <si>
    <t>India</t>
  </si>
  <si>
    <t>Raj Patel</t>
  </si>
  <si>
    <t>South America</t>
  </si>
  <si>
    <t>Argentina</t>
  </si>
  <si>
    <t>Juan Perez</t>
  </si>
  <si>
    <t>INACTIVE</t>
  </si>
  <si>
    <t>Region Data (with data quality issues)</t>
  </si>
  <si>
    <t>DataFrames</t>
  </si>
  <si>
    <t>Raw Region Data</t>
  </si>
  <si>
    <t>Cleaned Region Data</t>
  </si>
  <si>
    <t>Data Quality Report</t>
  </si>
  <si>
    <t>Adventure works sheet - see C13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</si>
</sst>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_-&quot;$&quot;* #,##0_-;\-&quot;$&quot;* #,##0_-;_-&quot;$&quot;* &quot;-&quot;_-;_-@_-"/>
    <numFmt numFmtId="167" formatCode="_-&quot;$&quot;* #,##0.00_-;\-&quot;$&quot;* #,##0.00_-;_-&quot;$&quot;* &quot;-&quot;??_-;_-@_-"/>
    <numFmt numFmtId="168" formatCode="&quot;ý&quot;;&quot;ý&quot;;&quot;þ&quot;"/>
    <numFmt numFmtId="169" formatCode="#,##0&quot;.&quot;"/>
    <numFmt numFmtId="170" formatCode="0.E+00"/>
    <numFmt numFmtId="171" formatCode=";;;"/>
    <numFmt numFmtId="172" formatCode="_(#,##0_);[Red]\(#,##0\);_(\-_);"/>
    <numFmt numFmtId="173" formatCode="_(&quot;$&quot;#,##0.0_);\(&quot;$&quot;#,##0.0\);_(&quot;-&quot;_)"/>
    <numFmt numFmtId="174" formatCode="_(#,##0.0_);\(#,##0.0\);_(&quot;-&quot;_)"/>
    <numFmt numFmtId="175" formatCode="&quot;Row &quot;###0"/>
    <numFmt numFmtId="176" formatCode="#,##0."/>
    <numFmt numFmtId="177" formatCode="_(#,##0_);\(#,##0\);_(\-_)"/>
    <numFmt numFmtId="178" formatCode="_(#,##0.00_);\(#,##0.00\);_(\-_._0_0_)"/>
    <numFmt numFmtId="179" formatCode="&quot;$&quot;* _(#,##0.00_);&quot;$&quot;* \(#,##0.00\);&quot;$&quot;* _(\-_._0_0_)"/>
    <numFmt numFmtId="180" formatCode="&quot;$&quot;* _(#,##0_);&quot;$&quot;* \(#,##0\);&quot;$&quot;* _(\-_)"/>
    <numFmt numFmtId="181" formatCode="[$-C09]dd\ mmm\ yy;@"/>
    <numFmt numFmtId="182" formatCode="mmm\ yy"/>
    <numFmt numFmtId="183" formatCode="[$-C09]d\ mmm\ yy;@"/>
    <numFmt numFmtId="184" formatCode="&quot;$&quot;#,##0.00"/>
    <numFmt numFmtId="185" formatCode="&quot;$&quot;#,##0"/>
  </numFmts>
  <fonts count="41" x14ac:knownFonts="1">
    <font>
      <sz val="9"/>
      <color theme="1"/>
      <name val="Arial"/>
      <family val="2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Wingdings"/>
      <charset val="2"/>
    </font>
    <font>
      <i/>
      <sz val="11"/>
      <color theme="0" tint="-0.34998626667073579"/>
      <name val="Calibri"/>
      <family val="2"/>
      <scheme val="minor"/>
    </font>
    <font>
      <b/>
      <u/>
      <sz val="8"/>
      <color indexed="56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i/>
      <sz val="11"/>
      <color theme="0" tint="-0.499984740745262"/>
      <name val="Calibri"/>
      <family val="2"/>
      <scheme val="minor"/>
    </font>
    <font>
      <sz val="8"/>
      <name val="Arial"/>
      <family val="2"/>
    </font>
    <font>
      <sz val="10"/>
      <color theme="1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b/>
      <sz val="16"/>
      <color theme="8" tint="-0.499984740745262"/>
      <name val="Arial"/>
      <family val="2"/>
    </font>
    <font>
      <sz val="14"/>
      <color theme="8" tint="-0.499984740745262"/>
      <name val="Arial"/>
      <family val="2"/>
    </font>
    <font>
      <b/>
      <sz val="12"/>
      <color theme="0"/>
      <name val="Arial"/>
      <family val="2"/>
    </font>
    <font>
      <b/>
      <sz val="13"/>
      <color theme="8" tint="-0.499984740745262"/>
      <name val="Arial"/>
      <family val="2"/>
    </font>
    <font>
      <b/>
      <sz val="11"/>
      <color theme="1"/>
      <name val="Arial"/>
      <family val="2"/>
    </font>
    <font>
      <b/>
      <sz val="11"/>
      <color theme="3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sz val="18"/>
      <color theme="3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8" tint="-0.499984740745262"/>
      <name val="Arial"/>
      <family val="2"/>
    </font>
    <font>
      <sz val="9"/>
      <color theme="0" tint="-0.499984740745262"/>
      <name val="Arial"/>
      <family val="2"/>
    </font>
    <font>
      <b/>
      <u/>
      <sz val="9"/>
      <color theme="1"/>
      <name val="Arial"/>
      <family val="2"/>
    </font>
    <font>
      <sz val="9"/>
      <name val="Arial"/>
      <family val="2"/>
    </font>
    <font>
      <i/>
      <sz val="9"/>
      <color theme="8" tint="-0.499984740745262"/>
      <name val="Arial"/>
      <family val="2"/>
    </font>
    <font>
      <sz val="9"/>
      <color theme="8" tint="0.39988402966399123"/>
      <name val="Arial"/>
      <family val="2"/>
    </font>
    <font>
      <sz val="9"/>
      <color rgb="FFFF0000"/>
      <name val="Arial"/>
      <family val="2"/>
    </font>
    <font>
      <i/>
      <sz val="8"/>
      <color rgb="FFFF0000"/>
      <name val="Arial"/>
      <family val="2"/>
    </font>
    <font>
      <u/>
      <sz val="20"/>
      <color theme="10"/>
      <name val="Calibri"/>
      <family val="2"/>
      <scheme val="minor"/>
    </font>
    <font>
      <b/>
      <sz val="9"/>
      <color rgb="FFFFFFFF"/>
      <name val="Arial"/>
      <family val="2"/>
    </font>
    <font>
      <b/>
      <sz val="18"/>
      <color rgb="FF1F4E79"/>
      <name val="Arial"/>
      <family val="2"/>
    </font>
    <font>
      <i/>
      <sz val="10"/>
      <color theme="1"/>
      <name val="Arial"/>
      <family val="2"/>
    </font>
    <font>
      <b/>
      <sz val="12"/>
      <color rgb="FF2E75B6"/>
      <name val="Arial"/>
      <family val="2"/>
    </font>
    <font>
      <u/>
      <sz val="9"/>
      <color rgb="FF0563C1"/>
      <name val="Arial"/>
      <family val="2"/>
    </font>
    <font>
      <b/>
      <sz val="9"/>
      <color rgb="FFC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gray125">
        <fgColor theme="8" tint="-0.499984740745262"/>
        <bgColor theme="8" tint="0.59996337778862885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6">
    <xf numFmtId="0" fontId="0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5" fillId="0" borderId="0" applyNumberFormat="0" applyFill="0" applyBorder="0" applyProtection="0"/>
    <xf numFmtId="0" fontId="28" fillId="0" borderId="0" applyNumberFormat="0" applyFill="0" applyBorder="0">
      <alignment horizontal="left"/>
      <protection locked="0"/>
    </xf>
    <xf numFmtId="0" fontId="16" fillId="0" borderId="0" applyNumberFormat="0" applyFill="0" applyBorder="0" applyProtection="0"/>
    <xf numFmtId="0" fontId="17" fillId="3" borderId="1" applyNumberFormat="0" applyProtection="0"/>
    <xf numFmtId="0" fontId="18" fillId="0" borderId="0" applyNumberFormat="0" applyFill="0" applyAlignment="0" applyProtection="0"/>
    <xf numFmtId="0" fontId="19" fillId="0" borderId="0" applyNumberFormat="0" applyFill="0" applyAlignment="0" applyProtection="0"/>
    <xf numFmtId="0" fontId="27" fillId="0" borderId="3" applyNumberFormat="0" applyAlignment="0">
      <alignment horizontal="center"/>
    </xf>
    <xf numFmtId="0" fontId="26" fillId="4" borderId="7" applyNumberFormat="0" applyAlignment="0">
      <protection locked="0"/>
    </xf>
    <xf numFmtId="0" fontId="4" fillId="0" borderId="0" applyNumberFormat="0" applyFill="0" applyBorder="0"/>
    <xf numFmtId="183" fontId="24" fillId="0" borderId="0" applyFill="0" applyBorder="0" applyProtection="0">
      <alignment horizontal="center"/>
    </xf>
    <xf numFmtId="182" fontId="25" fillId="0" borderId="0" applyFill="0" applyBorder="0" applyProtection="0">
      <alignment horizontal="center"/>
    </xf>
    <xf numFmtId="171" fontId="2" fillId="5" borderId="7" applyAlignment="0"/>
    <xf numFmtId="168" fontId="3" fillId="2" borderId="2">
      <alignment horizontal="center"/>
      <protection locked="0"/>
    </xf>
    <xf numFmtId="0" fontId="5" fillId="0" borderId="0" applyFill="0" applyBorder="0">
      <alignment horizontal="left" vertical="center"/>
      <protection locked="0"/>
    </xf>
    <xf numFmtId="164" fontId="29" fillId="6" borderId="8" applyNumberFormat="0" applyAlignment="0"/>
    <xf numFmtId="164" fontId="2" fillId="0" borderId="9" applyNumberFormat="0" applyFont="0" applyFill="0" applyAlignment="0"/>
    <xf numFmtId="172" fontId="2" fillId="0" borderId="10" applyNumberFormat="0" applyFont="0" applyFill="0" applyAlignment="0" applyProtection="0"/>
    <xf numFmtId="0" fontId="7" fillId="0" borderId="0"/>
    <xf numFmtId="0" fontId="33" fillId="0" borderId="11" applyNumberFormat="0" applyFill="0" applyBorder="0"/>
    <xf numFmtId="172" fontId="2" fillId="0" borderId="0" applyFont="0" applyFill="0" applyBorder="0" applyAlignment="0" applyProtection="0"/>
    <xf numFmtId="0" fontId="27" fillId="7" borderId="2" applyNumberFormat="0" applyAlignment="0" applyProtection="0"/>
    <xf numFmtId="0" fontId="8" fillId="0" borderId="0" applyNumberFormat="0" applyFill="0" applyBorder="0" applyAlignment="0" applyProtection="0"/>
    <xf numFmtId="173" fontId="9" fillId="0" borderId="0" applyFill="0" applyBorder="0">
      <alignment horizontal="right" vertical="center"/>
    </xf>
    <xf numFmtId="174" fontId="9" fillId="0" borderId="0" applyFill="0" applyBorder="0">
      <alignment horizontal="right" vertical="center"/>
    </xf>
    <xf numFmtId="175" fontId="30" fillId="7" borderId="7">
      <alignment horizontal="center"/>
    </xf>
    <xf numFmtId="164" fontId="6" fillId="8" borderId="8" applyFont="0" applyAlignment="0"/>
    <xf numFmtId="0" fontId="14" fillId="11" borderId="0" applyNumberFormat="0">
      <alignment horizontal="center"/>
    </xf>
    <xf numFmtId="0" fontId="31" fillId="0" borderId="0" applyNumberFormat="0" applyFill="0" applyBorder="0" applyProtection="0"/>
    <xf numFmtId="0" fontId="32" fillId="9" borderId="12" applyNumberFormat="0" applyAlignment="0">
      <protection locked="0"/>
    </xf>
    <xf numFmtId="0" fontId="23" fillId="0" borderId="0" applyNumberFormat="0" applyFill="0" applyBorder="0" applyAlignment="0" applyProtection="0"/>
    <xf numFmtId="0" fontId="21" fillId="0" borderId="1" applyNumberFormat="0" applyFill="0" applyAlignment="0" applyProtection="0"/>
    <xf numFmtId="0" fontId="22" fillId="0" borderId="13" applyNumberFormat="0" applyFill="0" applyAlignment="0" applyProtection="0"/>
    <xf numFmtId="0" fontId="20" fillId="0" borderId="14" applyNumberFormat="0" applyFill="0" applyAlignment="0" applyProtection="0"/>
    <xf numFmtId="0" fontId="19" fillId="0" borderId="15" applyNumberFormat="0" applyFill="0" applyAlignment="0" applyProtection="0"/>
    <xf numFmtId="176" fontId="17" fillId="3" borderId="1"/>
    <xf numFmtId="0" fontId="1" fillId="0" borderId="0"/>
    <xf numFmtId="0" fontId="34" fillId="0" borderId="0" applyNumberForma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79">
    <xf numFmtId="0" fontId="0" fillId="0" borderId="0" xfId="0"/>
    <xf numFmtId="168" fontId="3" fillId="2" borderId="2" xfId="0" applyNumberFormat="1" applyFont="1" applyFill="1" applyBorder="1" applyAlignment="1" applyProtection="1">
      <alignment horizontal="center"/>
      <protection locked="0"/>
    </xf>
    <xf numFmtId="0" fontId="17" fillId="3" borderId="1" xfId="10"/>
    <xf numFmtId="0" fontId="18" fillId="0" borderId="0" xfId="11"/>
    <xf numFmtId="0" fontId="19" fillId="0" borderId="0" xfId="12"/>
    <xf numFmtId="0" fontId="27" fillId="0" borderId="3" xfId="13" applyAlignment="1">
      <alignment horizontal="center"/>
    </xf>
    <xf numFmtId="170" fontId="27" fillId="0" borderId="3" xfId="13" applyNumberFormat="1" applyAlignment="1">
      <alignment horizontal="center"/>
    </xf>
    <xf numFmtId="0" fontId="10" fillId="0" borderId="0" xfId="0" applyFont="1"/>
    <xf numFmtId="0" fontId="11" fillId="0" borderId="0" xfId="12" applyFont="1" applyAlignment="1">
      <alignment horizontal="left" vertical="center"/>
    </xf>
    <xf numFmtId="0" fontId="12" fillId="0" borderId="0" xfId="0" applyFont="1"/>
    <xf numFmtId="0" fontId="12" fillId="0" borderId="0" xfId="6" applyFont="1" applyAlignment="1">
      <alignment horizontal="left" vertical="center"/>
    </xf>
    <xf numFmtId="0" fontId="28" fillId="0" borderId="0" xfId="8">
      <alignment horizontal="left"/>
      <protection locked="0"/>
    </xf>
    <xf numFmtId="0" fontId="28" fillId="0" borderId="0" xfId="8" applyAlignment="1">
      <alignment horizontal="right"/>
      <protection locked="0"/>
    </xf>
    <xf numFmtId="0" fontId="14" fillId="11" borderId="0" xfId="33">
      <alignment horizontal="center"/>
    </xf>
    <xf numFmtId="0" fontId="15" fillId="0" borderId="0" xfId="7" applyBorder="1"/>
    <xf numFmtId="0" fontId="13" fillId="0" borderId="0" xfId="0" applyFont="1" applyAlignment="1">
      <alignment horizontal="left"/>
    </xf>
    <xf numFmtId="0" fontId="16" fillId="0" borderId="0" xfId="9" applyBorder="1"/>
    <xf numFmtId="0" fontId="0" fillId="0" borderId="0" xfId="0" applyAlignment="1">
      <alignment horizontal="left"/>
    </xf>
    <xf numFmtId="0" fontId="20" fillId="0" borderId="0" xfId="6" applyBorder="1"/>
    <xf numFmtId="0" fontId="33" fillId="0" borderId="0" xfId="25" applyBorder="1"/>
    <xf numFmtId="0" fontId="26" fillId="4" borderId="7" xfId="14">
      <protection locked="0"/>
    </xf>
    <xf numFmtId="0" fontId="13" fillId="0" borderId="0" xfId="0" applyFont="1"/>
    <xf numFmtId="0" fontId="27" fillId="0" borderId="3" xfId="13" applyAlignment="1"/>
    <xf numFmtId="171" fontId="2" fillId="5" borderId="7" xfId="18"/>
    <xf numFmtId="168" fontId="3" fillId="2" borderId="2" xfId="19">
      <alignment horizontal="center"/>
      <protection locked="0"/>
    </xf>
    <xf numFmtId="0" fontId="29" fillId="6" borderId="8" xfId="21" applyNumberFormat="1"/>
    <xf numFmtId="0" fontId="0" fillId="0" borderId="9" xfId="22" applyNumberFormat="1" applyFont="1"/>
    <xf numFmtId="0" fontId="0" fillId="0" borderId="10" xfId="23" applyNumberFormat="1" applyFont="1"/>
    <xf numFmtId="0" fontId="27" fillId="7" borderId="2" xfId="27"/>
    <xf numFmtId="0" fontId="8" fillId="0" borderId="0" xfId="28"/>
    <xf numFmtId="175" fontId="30" fillId="7" borderId="7" xfId="31">
      <alignment horizontal="center"/>
    </xf>
    <xf numFmtId="164" fontId="0" fillId="8" borderId="8" xfId="32" applyFont="1"/>
    <xf numFmtId="0" fontId="31" fillId="0" borderId="0" xfId="34"/>
    <xf numFmtId="0" fontId="32" fillId="9" borderId="12" xfId="35">
      <protection locked="0"/>
    </xf>
    <xf numFmtId="172" fontId="0" fillId="0" borderId="0" xfId="26" applyFont="1"/>
    <xf numFmtId="9" fontId="0" fillId="0" borderId="0" xfId="5" applyFont="1"/>
    <xf numFmtId="168" fontId="3" fillId="10" borderId="2" xfId="0" applyNumberFormat="1" applyFont="1" applyFill="1" applyBorder="1" applyAlignment="1" applyProtection="1">
      <alignment horizontal="center"/>
      <protection locked="0"/>
    </xf>
    <xf numFmtId="0" fontId="4" fillId="0" borderId="0" xfId="15"/>
    <xf numFmtId="169" fontId="17" fillId="3" borderId="1" xfId="10" applyNumberFormat="1"/>
    <xf numFmtId="0" fontId="15" fillId="0" borderId="0" xfId="7"/>
    <xf numFmtId="0" fontId="16" fillId="0" borderId="0" xfId="9"/>
    <xf numFmtId="176" fontId="17" fillId="3" borderId="1" xfId="41"/>
    <xf numFmtId="177" fontId="0" fillId="0" borderId="0" xfId="2" applyNumberFormat="1" applyFont="1"/>
    <xf numFmtId="178" fontId="0" fillId="0" borderId="0" xfId="1" applyNumberFormat="1" applyFont="1"/>
    <xf numFmtId="179" fontId="0" fillId="0" borderId="0" xfId="3" applyNumberFormat="1" applyFont="1"/>
    <xf numFmtId="180" fontId="0" fillId="0" borderId="0" xfId="4" applyNumberFormat="1" applyFont="1"/>
    <xf numFmtId="181" fontId="24" fillId="0" borderId="0" xfId="16" applyNumberFormat="1" applyBorder="1">
      <alignment horizontal="center"/>
    </xf>
    <xf numFmtId="182" fontId="25" fillId="0" borderId="0" xfId="17" applyBorder="1">
      <alignment horizontal="center"/>
    </xf>
    <xf numFmtId="1" fontId="24" fillId="0" borderId="0" xfId="16" applyNumberFormat="1">
      <alignment horizontal="center"/>
    </xf>
    <xf numFmtId="0" fontId="2" fillId="0" borderId="0" xfId="44"/>
    <xf numFmtId="0" fontId="0" fillId="0" borderId="16" xfId="0" applyBorder="1"/>
    <xf numFmtId="0" fontId="0" fillId="0" borderId="16" xfId="0" applyBorder="1" applyAlignment="1">
      <alignment wrapText="1"/>
    </xf>
    <xf numFmtId="0" fontId="0" fillId="0" borderId="0" xfId="0" applyAlignment="1">
      <alignment wrapText="1"/>
    </xf>
    <xf numFmtId="0" fontId="35" fillId="12" borderId="0" xfId="0" applyFont="1" applyFill="1"/>
    <xf numFmtId="3" fontId="0" fillId="0" borderId="0" xfId="0" applyNumberFormat="1"/>
    <xf numFmtId="184" fontId="0" fillId="0" borderId="0" xfId="0" applyNumberFormat="1"/>
    <xf numFmtId="10" fontId="0" fillId="0" borderId="0" xfId="0" applyNumberFormat="1"/>
    <xf numFmtId="185" fontId="0" fillId="0" borderId="0" xfId="0" applyNumberFormat="1"/>
    <xf numFmtId="0" fontId="36" fillId="0" borderId="0" xfId="0" applyFont="1"/>
    <xf numFmtId="0" fontId="37" fillId="0" borderId="0" xfId="0" applyFont="1"/>
    <xf numFmtId="0" fontId="38" fillId="0" borderId="0" xfId="0" applyFont="1"/>
    <xf numFmtId="0" fontId="25" fillId="13" borderId="0" xfId="0" applyFont="1" applyFill="1"/>
    <xf numFmtId="3" fontId="25" fillId="13" borderId="0" xfId="0" applyNumberFormat="1" applyFont="1" applyFill="1"/>
    <xf numFmtId="185" fontId="25" fillId="13" borderId="0" xfId="0" applyNumberFormat="1" applyFont="1" applyFill="1"/>
    <xf numFmtId="184" fontId="25" fillId="13" borderId="0" xfId="0" applyNumberFormat="1" applyFont="1" applyFill="1"/>
    <xf numFmtId="0" fontId="39" fillId="0" borderId="0" xfId="0" applyFont="1"/>
    <xf numFmtId="0" fontId="0" fillId="9" borderId="0" xfId="0" applyFill="1"/>
    <xf numFmtId="0" fontId="25" fillId="0" borderId="16" xfId="0" applyFont="1" applyBorder="1"/>
    <xf numFmtId="0" fontId="12" fillId="0" borderId="0" xfId="6" applyFont="1" applyAlignment="1">
      <alignment horizontal="left" vertical="center"/>
    </xf>
    <xf numFmtId="0" fontId="28" fillId="0" borderId="0" xfId="8">
      <alignment horizontal="left"/>
      <protection locked="0"/>
    </xf>
    <xf numFmtId="0" fontId="27" fillId="0" borderId="4" xfId="13" applyBorder="1" applyAlignment="1">
      <alignment horizontal="left"/>
    </xf>
    <xf numFmtId="0" fontId="27" fillId="0" borderId="5" xfId="13" applyBorder="1" applyAlignment="1">
      <alignment horizontal="left"/>
    </xf>
    <xf numFmtId="0" fontId="27" fillId="0" borderId="6" xfId="13" applyBorder="1" applyAlignment="1">
      <alignment horizontal="left"/>
    </xf>
    <xf numFmtId="0" fontId="26" fillId="4" borderId="7" xfId="14" applyAlignment="1">
      <alignment horizontal="left"/>
      <protection locked="0"/>
    </xf>
    <xf numFmtId="0" fontId="0" fillId="0" borderId="0" xfId="0"/>
    <xf numFmtId="0" fontId="14" fillId="11" borderId="0" xfId="33">
      <alignment horizontal="center"/>
    </xf>
    <xf numFmtId="0" fontId="25" fillId="0" borderId="0" xfId="0" applyFont="1"/>
    <xf numFmtId="0" fontId="18" fillId="0" borderId="0" xfId="11" applyFont="1"/>
    <xf numFmtId="0" fontId="40" fillId="0" borderId="0" xfId="0" applyFont="1"/>
  </cellXfs>
  <cellStyles count="46">
    <cellStyle name="Accounts Ref" xfId="15" xr:uid="{00000000-0005-0000-0000-000000000000}"/>
    <cellStyle name="Assumption" xfId="14" xr:uid="{00000000-0005-0000-0000-000001000000}"/>
    <cellStyle name="Comma" xfId="1" builtinId="3"/>
    <cellStyle name="Comma [0]" xfId="2" builtinId="6"/>
    <cellStyle name="Comma 2" xfId="45" xr:uid="{032F7BFB-8488-4E8D-8A34-981B08299812}"/>
    <cellStyle name="Constraint" xfId="13" xr:uid="{00000000-0005-0000-0000-000004000000}"/>
    <cellStyle name="Currency" xfId="3" builtinId="4"/>
    <cellStyle name="Currency [0]" xfId="4" builtinId="7"/>
    <cellStyle name="Date" xfId="16" xr:uid="{00000000-0005-0000-0000-000007000000}"/>
    <cellStyle name="Date Heading" xfId="17" xr:uid="{00000000-0005-0000-0000-000008000000}"/>
    <cellStyle name="Empty" xfId="18" xr:uid="{00000000-0005-0000-0000-000009000000}"/>
    <cellStyle name="Error_Checks" xfId="19" xr:uid="{00000000-0005-0000-0000-00000A000000}"/>
    <cellStyle name="Heading 1" xfId="37" builtinId="16" customBuiltin="1"/>
    <cellStyle name="Heading 1 Number" xfId="41" xr:uid="{00000000-0005-0000-0000-00000C000000}"/>
    <cellStyle name="Heading 1 Text" xfId="10" xr:uid="{00000000-0005-0000-0000-00000D000000}"/>
    <cellStyle name="Heading 2" xfId="38" builtinId="17" customBuiltin="1"/>
    <cellStyle name="Heading 2 Text" xfId="11" xr:uid="{00000000-0005-0000-0000-00000F000000}"/>
    <cellStyle name="Heading 3" xfId="39" builtinId="18" customBuiltin="1"/>
    <cellStyle name="Heading 3 Text" xfId="12" xr:uid="{00000000-0005-0000-0000-000011000000}"/>
    <cellStyle name="Heading 4" xfId="6" builtinId="19" customBuiltin="1"/>
    <cellStyle name="Hyperlink" xfId="8" builtinId="8" customBuiltin="1"/>
    <cellStyle name="Hyperlink 2" xfId="43" xr:uid="{E5E29EAE-8245-4F95-B751-D9C883F65AC7}"/>
    <cellStyle name="Hyperlink Text" xfId="20" xr:uid="{00000000-0005-0000-0000-000014000000}"/>
    <cellStyle name="Internal Ref" xfId="21" xr:uid="{00000000-0005-0000-0000-000015000000}"/>
    <cellStyle name="Line Calc" xfId="22" xr:uid="{00000000-0005-0000-0000-000016000000}"/>
    <cellStyle name="Line Total" xfId="23" xr:uid="{00000000-0005-0000-0000-000017000000}"/>
    <cellStyle name="Model Name" xfId="9" xr:uid="{00000000-0005-0000-0000-000018000000}"/>
    <cellStyle name="Normal" xfId="0" builtinId="0" customBuiltin="1"/>
    <cellStyle name="Normal 2" xfId="24" xr:uid="{00000000-0005-0000-0000-00001A000000}"/>
    <cellStyle name="Normal 3" xfId="42" xr:uid="{9D915720-914F-4917-A575-5220F55A30DC}"/>
    <cellStyle name="Normal 4" xfId="44" xr:uid="{59A5E0BA-1BB9-4E28-AF82-CA931F05F012}"/>
    <cellStyle name="Notes" xfId="25" xr:uid="{00000000-0005-0000-0000-00001B000000}"/>
    <cellStyle name="Numbers 0" xfId="26" xr:uid="{00000000-0005-0000-0000-00001C000000}"/>
    <cellStyle name="Parameter" xfId="27" xr:uid="{00000000-0005-0000-0000-00001D000000}"/>
    <cellStyle name="Percent" xfId="5" builtinId="5"/>
    <cellStyle name="Range Name Description" xfId="28" xr:uid="{00000000-0005-0000-0000-00001F000000}"/>
    <cellStyle name="Right Currency" xfId="29" xr:uid="{00000000-0005-0000-0000-000020000000}"/>
    <cellStyle name="Right Number" xfId="30" xr:uid="{00000000-0005-0000-0000-000021000000}"/>
    <cellStyle name="Row Ref" xfId="31" xr:uid="{00000000-0005-0000-0000-000022000000}"/>
    <cellStyle name="Row_Summary" xfId="32" xr:uid="{00000000-0005-0000-0000-000023000000}"/>
    <cellStyle name="Sheet Title" xfId="7" xr:uid="{00000000-0005-0000-0000-000024000000}"/>
    <cellStyle name="Table_Heading" xfId="33" xr:uid="{00000000-0005-0000-0000-000025000000}"/>
    <cellStyle name="Title" xfId="36" builtinId="15" customBuiltin="1"/>
    <cellStyle name="Total" xfId="40" builtinId="25" customBuiltin="1"/>
    <cellStyle name="Units" xfId="34" xr:uid="{00000000-0005-0000-0000-000028000000}"/>
    <cellStyle name="WIP" xfId="35" xr:uid="{00000000-0005-0000-0000-000029000000}"/>
  </cellStyles>
  <dxfs count="11"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1" tint="0.49998474074526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Table Style 1" pivot="0" count="3" xr9:uid="{00000000-0011-0000-FFFF-FFFF00000000}">
      <tableStyleElement type="headerRow" dxfId="10"/>
      <tableStyleElement type="firstRowStripe" dxfId="9"/>
      <tableStyleElement type="secondRowStripe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Types" Target="richData/rdRichValueTypes.xml"/><Relationship Id="rId26" Type="http://schemas.microsoft.com/office/2023/09/relationships/Python" Target="python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06/relationships/rdRichValueStructure" Target="richData/rdrichvaluestructure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1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6</xdr:row>
      <xdr:rowOff>168378</xdr:rowOff>
    </xdr:from>
    <xdr:to>
      <xdr:col>6</xdr:col>
      <xdr:colOff>334433</xdr:colOff>
      <xdr:row>11</xdr:row>
      <xdr:rowOff>117475</xdr:rowOff>
    </xdr:to>
    <xdr:pic>
      <xdr:nvPicPr>
        <xdr:cNvPr id="2" name="Picture 1" descr="SP Logo 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7667" y="1533628"/>
          <a:ext cx="2048933" cy="7841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9</v>
    <v>20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sumproduct.com/" TargetMode="External"/><Relationship Id="rId1" Type="http://schemas.openxmlformats.org/officeDocument/2006/relationships/hyperlink" Target="mailto:kathryn.newitt@sumproduct.com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S22"/>
  <sheetViews>
    <sheetView showGridLines="0" topLeftCell="F1" zoomScaleNormal="100" workbookViewId="0"/>
  </sheetViews>
  <sheetFormatPr defaultRowHeight="11.4" x14ac:dyDescent="0.2"/>
  <cols>
    <col min="3" max="4" width="3.75" customWidth="1"/>
  </cols>
  <sheetData>
    <row r="3" spans="1:19" ht="12" x14ac:dyDescent="0.25">
      <c r="A3" s="11" t="s">
        <v>0</v>
      </c>
    </row>
    <row r="5" spans="1:19" ht="21" x14ac:dyDescent="0.4">
      <c r="C5" s="39" t="str">
        <f>Client_Name</f>
        <v>SumProduct Pty Limited</v>
      </c>
      <c r="D5" s="7"/>
      <c r="E5" s="7"/>
      <c r="F5" s="7"/>
      <c r="G5" s="7"/>
      <c r="H5" s="7"/>
      <c r="I5" s="7"/>
      <c r="J5" s="7"/>
    </row>
    <row r="6" spans="1:19" ht="17.399999999999999" x14ac:dyDescent="0.3">
      <c r="C6" s="40" t="str">
        <f>Model_Name</f>
        <v>SP Python in Excel Example Starter File Chapter 7</v>
      </c>
      <c r="D6" s="7"/>
      <c r="E6" s="7"/>
      <c r="F6" s="7"/>
      <c r="G6" s="7"/>
      <c r="H6" s="7"/>
      <c r="I6" s="7"/>
      <c r="J6" s="7"/>
    </row>
    <row r="7" spans="1:19" ht="13.8" x14ac:dyDescent="0.3">
      <c r="C7" s="7"/>
      <c r="D7" s="7"/>
      <c r="E7" s="7"/>
      <c r="F7" s="7"/>
      <c r="G7" s="7"/>
      <c r="H7" s="7"/>
      <c r="I7" s="7"/>
      <c r="J7" s="7"/>
    </row>
    <row r="8" spans="1:19" ht="13.8" x14ac:dyDescent="0.3">
      <c r="C8" s="7"/>
      <c r="D8" s="7"/>
      <c r="E8" s="7"/>
      <c r="F8" s="7"/>
      <c r="G8" s="7"/>
      <c r="H8" s="7"/>
      <c r="I8" s="7"/>
      <c r="J8" s="7"/>
    </row>
    <row r="9" spans="1:19" ht="13.8" x14ac:dyDescent="0.3">
      <c r="C9" s="7"/>
      <c r="D9" s="7"/>
      <c r="E9" s="7"/>
      <c r="F9" s="7"/>
      <c r="G9" s="7"/>
      <c r="H9" s="7"/>
      <c r="I9" s="7"/>
      <c r="J9" s="7"/>
    </row>
    <row r="10" spans="1:19" ht="13.8" x14ac:dyDescent="0.3">
      <c r="C10" s="7"/>
      <c r="D10" s="7"/>
      <c r="E10" s="7"/>
      <c r="F10" s="7"/>
      <c r="G10" s="7"/>
      <c r="H10" s="7"/>
      <c r="I10" s="7"/>
      <c r="J10" s="7"/>
    </row>
    <row r="11" spans="1:19" ht="14.4" x14ac:dyDescent="0.3">
      <c r="C11" s="7"/>
      <c r="D11" s="7"/>
      <c r="E11" s="7"/>
      <c r="F11" s="7"/>
      <c r="G11" s="7"/>
      <c r="H11" s="7"/>
      <c r="I11" s="7"/>
      <c r="J11" s="7"/>
      <c r="S11" s="37"/>
    </row>
    <row r="12" spans="1:19" ht="13.8" x14ac:dyDescent="0.3">
      <c r="C12" s="7"/>
      <c r="D12" s="7"/>
      <c r="E12" s="7"/>
      <c r="F12" s="7"/>
      <c r="G12" s="7"/>
      <c r="H12" s="7"/>
      <c r="I12" s="7"/>
      <c r="J12" s="7"/>
    </row>
    <row r="13" spans="1:19" ht="13.8" x14ac:dyDescent="0.3">
      <c r="C13" s="7"/>
      <c r="D13" s="7"/>
      <c r="E13" s="7"/>
      <c r="F13" s="7"/>
      <c r="G13" s="7"/>
      <c r="H13" s="7"/>
      <c r="I13" s="7"/>
      <c r="J13" s="7"/>
    </row>
    <row r="14" spans="1:19" ht="13.8" x14ac:dyDescent="0.3">
      <c r="C14" s="8" t="s">
        <v>71</v>
      </c>
      <c r="D14" s="9"/>
      <c r="E14" s="7"/>
      <c r="F14" s="7"/>
      <c r="G14" s="7"/>
      <c r="H14" s="7"/>
      <c r="I14" s="7"/>
      <c r="J14" s="7"/>
    </row>
    <row r="15" spans="1:19" ht="13.8" x14ac:dyDescent="0.3">
      <c r="C15" s="9"/>
      <c r="D15" s="9"/>
      <c r="E15" s="7"/>
      <c r="F15" s="7"/>
      <c r="G15" s="7"/>
      <c r="H15" s="7"/>
      <c r="I15" s="7"/>
      <c r="J15" s="7"/>
    </row>
    <row r="16" spans="1:19" ht="13.8" x14ac:dyDescent="0.3">
      <c r="C16" s="8" t="s">
        <v>1</v>
      </c>
      <c r="D16" s="9"/>
      <c r="E16" s="7"/>
      <c r="F16" s="7"/>
      <c r="G16" s="7"/>
      <c r="H16" s="7"/>
      <c r="I16" s="7"/>
      <c r="J16" s="7"/>
    </row>
    <row r="17" spans="3:10" ht="13.8" x14ac:dyDescent="0.2">
      <c r="C17" s="68" t="s">
        <v>70</v>
      </c>
      <c r="D17" s="68"/>
      <c r="E17" s="68"/>
      <c r="F17" s="68"/>
      <c r="G17" s="68"/>
      <c r="H17" s="68"/>
      <c r="I17" s="68"/>
      <c r="J17" s="68"/>
    </row>
    <row r="18" spans="3:10" ht="13.8" x14ac:dyDescent="0.2">
      <c r="C18" s="68"/>
      <c r="D18" s="68"/>
      <c r="E18" s="68"/>
      <c r="F18" s="68"/>
      <c r="G18" s="68"/>
      <c r="H18" s="68"/>
      <c r="I18" s="68"/>
      <c r="J18" s="68"/>
    </row>
    <row r="19" spans="3:10" ht="13.8" x14ac:dyDescent="0.3">
      <c r="C19" s="10"/>
      <c r="D19" s="9"/>
      <c r="E19" s="7"/>
      <c r="F19" s="7"/>
      <c r="G19" s="7"/>
      <c r="H19" s="7"/>
      <c r="I19" s="7"/>
      <c r="J19" s="7"/>
    </row>
    <row r="20" spans="3:10" ht="13.8" x14ac:dyDescent="0.3">
      <c r="C20" s="10"/>
      <c r="D20" s="9"/>
      <c r="E20" s="7"/>
      <c r="F20" s="7"/>
      <c r="G20" s="7"/>
      <c r="H20" s="7"/>
      <c r="I20" s="7"/>
      <c r="J20" s="7"/>
    </row>
    <row r="21" spans="3:10" ht="13.8" x14ac:dyDescent="0.3">
      <c r="C21" s="10" t="s">
        <v>2</v>
      </c>
      <c r="D21" s="9"/>
      <c r="E21" s="7"/>
      <c r="F21" s="7"/>
      <c r="G21" s="69" t="s">
        <v>72</v>
      </c>
      <c r="H21" s="69"/>
      <c r="I21" s="69"/>
      <c r="J21" s="7"/>
    </row>
    <row r="22" spans="3:10" ht="13.8" x14ac:dyDescent="0.3">
      <c r="C22" s="10" t="s">
        <v>3</v>
      </c>
      <c r="D22" s="9"/>
      <c r="E22" s="7"/>
      <c r="F22" s="7"/>
      <c r="G22" s="69" t="s">
        <v>4</v>
      </c>
      <c r="H22" s="69"/>
      <c r="I22" s="69"/>
      <c r="J22" s="7"/>
    </row>
  </sheetData>
  <mergeCells count="4">
    <mergeCell ref="C17:J17"/>
    <mergeCell ref="C18:J18"/>
    <mergeCell ref="G21:I21"/>
    <mergeCell ref="G22:I22"/>
  </mergeCells>
  <hyperlinks>
    <hyperlink ref="G21" r:id="rId1" xr:uid="{00000000-0004-0000-0000-000000000000}"/>
    <hyperlink ref="G22" r:id="rId2" xr:uid="{00000000-0004-0000-0000-000001000000}"/>
    <hyperlink ref="A3" location="HL_Navigator" display="Navigator" xr:uid="{00000000-0004-0000-0000-000002000000}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7"/>
  <sheetViews>
    <sheetView showGridLines="0" zoomScaleNormal="100" workbookViewId="0">
      <pane ySplit="4" topLeftCell="A5" activePane="bottomLeft" state="frozen"/>
      <selection pane="bottomLeft"/>
    </sheetView>
  </sheetViews>
  <sheetFormatPr defaultRowHeight="11.4" x14ac:dyDescent="0.2"/>
  <cols>
    <col min="1" max="5" width="3.75" customWidth="1"/>
    <col min="6" max="6" width="17.75" customWidth="1"/>
  </cols>
  <sheetData>
    <row r="1" spans="1:12" ht="21" x14ac:dyDescent="0.4">
      <c r="A1" s="39" t="s">
        <v>0</v>
      </c>
      <c r="F1" s="12"/>
      <c r="G1" s="12"/>
    </row>
    <row r="2" spans="1:12" ht="17.399999999999999" x14ac:dyDescent="0.3">
      <c r="A2" s="40" t="str">
        <f>Model_Name</f>
        <v>SP Python in Excel Example Starter File Chapter 7</v>
      </c>
    </row>
    <row r="3" spans="1:12" ht="12" x14ac:dyDescent="0.25">
      <c r="A3" s="11" t="s">
        <v>0</v>
      </c>
      <c r="B3" s="11"/>
      <c r="C3" s="11"/>
      <c r="D3" s="11"/>
      <c r="E3" s="11"/>
    </row>
    <row r="4" spans="1:12" ht="13.8" x14ac:dyDescent="0.25">
      <c r="E4" t="s">
        <v>5</v>
      </c>
      <c r="G4" s="24">
        <f>Overall_Error_Check</f>
        <v>0</v>
      </c>
    </row>
    <row r="7" spans="1:12" ht="16.2" thickBot="1" x14ac:dyDescent="0.35">
      <c r="B7" s="41">
        <v>1</v>
      </c>
      <c r="C7" s="41" t="s">
        <v>6</v>
      </c>
      <c r="D7" s="41"/>
      <c r="E7" s="41"/>
      <c r="F7" s="41"/>
      <c r="G7" s="41"/>
      <c r="H7" s="41"/>
      <c r="I7" s="41"/>
      <c r="J7" s="41"/>
      <c r="K7" s="41"/>
      <c r="L7" s="41"/>
    </row>
    <row r="8" spans="1:12" ht="12" thickTop="1" x14ac:dyDescent="0.2"/>
    <row r="9" spans="1:12" ht="12" x14ac:dyDescent="0.25">
      <c r="F9" s="11" t="s">
        <v>7</v>
      </c>
    </row>
    <row r="10" spans="1:12" ht="12" x14ac:dyDescent="0.25">
      <c r="F10" s="11" t="s">
        <v>9</v>
      </c>
    </row>
    <row r="11" spans="1:12" ht="12" x14ac:dyDescent="0.25">
      <c r="F11" s="11" t="s">
        <v>8</v>
      </c>
    </row>
    <row r="12" spans="1:12" ht="12" x14ac:dyDescent="0.25">
      <c r="F12" s="11" t="s">
        <v>74</v>
      </c>
    </row>
    <row r="13" spans="1:12" ht="12" x14ac:dyDescent="0.25">
      <c r="F13" s="11" t="s">
        <v>75</v>
      </c>
    </row>
    <row r="14" spans="1:12" ht="12" x14ac:dyDescent="0.25">
      <c r="F14" s="11" t="s">
        <v>76</v>
      </c>
    </row>
    <row r="15" spans="1:12" ht="12" x14ac:dyDescent="0.25">
      <c r="F15" s="11" t="s">
        <v>10</v>
      </c>
    </row>
    <row r="16" spans="1:12" ht="12" x14ac:dyDescent="0.25">
      <c r="F16" s="11"/>
    </row>
    <row r="17" spans="6:6" ht="12" x14ac:dyDescent="0.25">
      <c r="F17" s="11"/>
    </row>
  </sheetData>
  <hyperlinks>
    <hyperlink ref="A3:E3" location="HL_Navigator" tooltip="Go to Navigator (Table of Contents)" display="Navigator" xr:uid="{00000000-0004-0000-0100-000000000000}"/>
    <hyperlink ref="F9" location="HL_1" display="Cover" xr:uid="{3D8A14E5-E265-4C20-BD05-A2CB2564A58B}"/>
    <hyperlink ref="F10" location="HL_3" display="Model Parameters" xr:uid="{F9E83CC1-0118-461E-B7ED-D9C4C87C8F8C}"/>
    <hyperlink ref="F11" location="HL_4" display="Style Guide" xr:uid="{678BAE88-5D6F-42E8-A629-A6EA20293A0D}"/>
    <hyperlink ref="F12" location="HL_5" display="Car_Sales_Data" xr:uid="{C2E90882-6820-498E-A3A3-88AB219642D6}"/>
    <hyperlink ref="F13" location="HL_6" display="Northwind" xr:uid="{9299DFDA-8CB6-4AF9-8C6C-86152A74FBCC}"/>
    <hyperlink ref="F14" location="HL_7" display="Adventure Works" xr:uid="{758DE621-7D59-49BA-9A11-6C2503F4D210}"/>
    <hyperlink ref="F15" location="HL_8" display="Error Checks" xr:uid="{D6680714-E6AE-4B88-8999-D73F4942245E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2">
    <outlinePr summaryBelow="0" showOutlineSymbols="0"/>
  </sheetPr>
  <dimension ref="A1:S33"/>
  <sheetViews>
    <sheetView showGridLines="0" showOutlineSymbols="0" zoomScaleNormal="100" workbookViewId="0">
      <pane ySplit="4" topLeftCell="A5" activePane="bottomLeft" state="frozen"/>
      <selection activeCell="A3" sqref="A3:E3"/>
      <selection pane="bottomLeft"/>
    </sheetView>
  </sheetViews>
  <sheetFormatPr defaultColWidth="0" defaultRowHeight="11.4" outlineLevelRow="1" x14ac:dyDescent="0.2"/>
  <cols>
    <col min="1" max="5" width="3.75" customWidth="1"/>
    <col min="6" max="6" width="16.125" customWidth="1"/>
    <col min="7" max="7" width="14.375" customWidth="1"/>
    <col min="8" max="8" width="3" customWidth="1"/>
    <col min="9" max="18" width="9.125" customWidth="1"/>
    <col min="19" max="19" width="1.75" customWidth="1"/>
    <col min="20" max="16384" width="9.125" hidden="1"/>
  </cols>
  <sheetData>
    <row r="1" spans="1:18" ht="21" x14ac:dyDescent="0.4">
      <c r="A1" s="39" t="str">
        <f ca="1">IF(ISERROR(RIGHT(CELL("filename",A1),LEN(CELL("filename",A1))-FIND("]",CELL("filename",A1)))),
"",
RIGHT(CELL("filename",A1),LEN(CELL("filename",A1))-FIND("]",CELL("filename",A1))))</f>
        <v>Model Parameters</v>
      </c>
      <c r="J1" s="69"/>
      <c r="K1" s="69"/>
    </row>
    <row r="2" spans="1:18" ht="17.399999999999999" x14ac:dyDescent="0.3">
      <c r="A2" s="40" t="str">
        <f>Model_Name</f>
        <v>SP Python in Excel Example Starter File Chapter 7</v>
      </c>
    </row>
    <row r="3" spans="1:18" ht="12" x14ac:dyDescent="0.25">
      <c r="A3" s="69" t="s">
        <v>0</v>
      </c>
      <c r="B3" s="69"/>
      <c r="C3" s="69"/>
      <c r="D3" s="69"/>
      <c r="E3" s="69"/>
    </row>
    <row r="4" spans="1:18" ht="13.8" x14ac:dyDescent="0.25">
      <c r="E4" t="s">
        <v>5</v>
      </c>
      <c r="I4" s="1">
        <f>Overall_Error_Check</f>
        <v>0</v>
      </c>
    </row>
    <row r="6" spans="1:18" ht="16.2" thickBot="1" x14ac:dyDescent="0.35">
      <c r="B6" s="41">
        <f>MAX($B$5:$B5)+1</f>
        <v>1</v>
      </c>
      <c r="C6" s="2" t="s">
        <v>51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2" outlineLevel="1" thickTop="1" x14ac:dyDescent="0.2"/>
    <row r="8" spans="1:18" ht="16.8" outlineLevel="1" x14ac:dyDescent="0.3">
      <c r="C8" s="3" t="s">
        <v>52</v>
      </c>
    </row>
    <row r="9" spans="1:18" ht="16.8" outlineLevel="1" x14ac:dyDescent="0.3">
      <c r="C9" s="3"/>
    </row>
    <row r="10" spans="1:18" ht="16.8" outlineLevel="1" x14ac:dyDescent="0.3">
      <c r="C10" s="3"/>
      <c r="E10" s="4" t="s">
        <v>51</v>
      </c>
    </row>
    <row r="11" spans="1:18" outlineLevel="1" x14ac:dyDescent="0.2">
      <c r="E11" t="s">
        <v>16</v>
      </c>
      <c r="G11" s="70" t="str">
        <f ca="1">IF(ISERROR(OR(FIND("[",CELL("filename",A1)),FIND("]",CELL("filename",A1)))),"",MID(CELL("filename",A1),FIND("[",CELL("filename",A1))+1,FIND("]",CELL("filename",A1))-FIND("[",CELL("filename",A1))-1))</f>
        <v>Ch7_Mine.xlsm</v>
      </c>
      <c r="H11" s="71"/>
      <c r="I11" s="71"/>
      <c r="J11" s="71"/>
      <c r="K11" s="71"/>
      <c r="L11" s="71"/>
      <c r="M11" s="71"/>
      <c r="N11" s="72"/>
    </row>
    <row r="12" spans="1:18" outlineLevel="1" x14ac:dyDescent="0.2">
      <c r="E12" t="s">
        <v>53</v>
      </c>
      <c r="G12" s="73" t="s">
        <v>54</v>
      </c>
      <c r="H12" s="73"/>
      <c r="I12" s="73"/>
      <c r="J12" s="73"/>
      <c r="K12" s="73"/>
      <c r="L12" s="73"/>
      <c r="M12" s="73"/>
      <c r="N12" s="73"/>
    </row>
    <row r="13" spans="1:18" outlineLevel="1" x14ac:dyDescent="0.2"/>
    <row r="14" spans="1:18" outlineLevel="1" x14ac:dyDescent="0.2"/>
    <row r="15" spans="1:18" ht="16.2" thickBot="1" x14ac:dyDescent="0.35">
      <c r="B15" s="41">
        <f>MAX($B$5:$B14)+1</f>
        <v>2</v>
      </c>
      <c r="C15" s="2" t="s">
        <v>55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1:18" ht="12" outlineLevel="1" thickTop="1" x14ac:dyDescent="0.2"/>
    <row r="17" spans="3:7" ht="16.8" outlineLevel="1" x14ac:dyDescent="0.3">
      <c r="C17" s="3" t="s">
        <v>56</v>
      </c>
    </row>
    <row r="18" spans="3:7" outlineLevel="1" x14ac:dyDescent="0.2"/>
    <row r="19" spans="3:7" outlineLevel="1" x14ac:dyDescent="0.2">
      <c r="E19" t="s">
        <v>57</v>
      </c>
      <c r="G19" s="5">
        <v>365</v>
      </c>
    </row>
    <row r="20" spans="3:7" outlineLevel="1" x14ac:dyDescent="0.2">
      <c r="E20" t="s">
        <v>58</v>
      </c>
      <c r="G20" s="5">
        <v>1</v>
      </c>
    </row>
    <row r="21" spans="3:7" outlineLevel="1" x14ac:dyDescent="0.2">
      <c r="E21" t="s">
        <v>59</v>
      </c>
      <c r="G21" s="5">
        <v>3</v>
      </c>
    </row>
    <row r="22" spans="3:7" outlineLevel="1" x14ac:dyDescent="0.2">
      <c r="E22" t="s">
        <v>60</v>
      </c>
      <c r="G22" s="5">
        <v>6</v>
      </c>
    </row>
    <row r="23" spans="3:7" outlineLevel="1" x14ac:dyDescent="0.2">
      <c r="E23" t="s">
        <v>61</v>
      </c>
      <c r="G23" s="5">
        <v>12</v>
      </c>
    </row>
    <row r="24" spans="3:7" outlineLevel="1" x14ac:dyDescent="0.2">
      <c r="E24" t="s">
        <v>62</v>
      </c>
      <c r="G24" s="5">
        <v>4</v>
      </c>
    </row>
    <row r="25" spans="3:7" outlineLevel="1" x14ac:dyDescent="0.2"/>
    <row r="26" spans="3:7" outlineLevel="1" x14ac:dyDescent="0.2">
      <c r="E26" t="s">
        <v>63</v>
      </c>
      <c r="G26" s="5">
        <v>5</v>
      </c>
    </row>
    <row r="27" spans="3:7" outlineLevel="1" x14ac:dyDescent="0.2"/>
    <row r="28" spans="3:7" outlineLevel="1" x14ac:dyDescent="0.2">
      <c r="E28" t="s">
        <v>64</v>
      </c>
      <c r="G28" s="6">
        <v>9.9999999999999997E+98</v>
      </c>
    </row>
    <row r="29" spans="3:7" outlineLevel="1" x14ac:dyDescent="0.2">
      <c r="E29" t="s">
        <v>65</v>
      </c>
      <c r="G29" s="6">
        <v>1E-8</v>
      </c>
    </row>
    <row r="30" spans="3:7" outlineLevel="1" x14ac:dyDescent="0.2"/>
    <row r="31" spans="3:7" outlineLevel="1" x14ac:dyDescent="0.2">
      <c r="E31" t="s">
        <v>66</v>
      </c>
      <c r="G31" s="5">
        <v>1000</v>
      </c>
    </row>
    <row r="32" spans="3:7" outlineLevel="1" x14ac:dyDescent="0.2"/>
    <row r="33" outlineLevel="1" x14ac:dyDescent="0.2"/>
  </sheetData>
  <sheetProtection formatColumns="0" formatRows="0"/>
  <mergeCells count="4">
    <mergeCell ref="J1:K1"/>
    <mergeCell ref="A3:E3"/>
    <mergeCell ref="G11:N11"/>
    <mergeCell ref="G12:N12"/>
  </mergeCells>
  <conditionalFormatting sqref="I4">
    <cfRule type="cellIs" dxfId="6" priority="1" operator="notEqual">
      <formula>0</formula>
    </cfRule>
  </conditionalFormatting>
  <hyperlinks>
    <hyperlink ref="A3:E3" location="HL_Navigator" tooltip="Go to Navigator (Table of Contents)" display="Navigator" xr:uid="{00000000-0004-0000-0300-000000000000}"/>
    <hyperlink ref="A3" location="HL_Navigator" display="Navigator" xr:uid="{00000000-0004-0000-0300-000001000000}"/>
    <hyperlink ref="I4" location="Overall_Error_Check" tooltip="Go to Overall Error Check" display="Overall_Error_Check" xr:uid="{00000000-0004-0000-0300-000002000000}"/>
  </hyperlinks>
  <pageMargins left="0.70866141732283472" right="0.70866141732283472" top="0.74803149606299213" bottom="0.74803149606299213" header="0.31496062992125984" footer="0.31496062992125984"/>
  <pageSetup paperSize="8" scale="73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howOutlineSymbols="0"/>
  </sheetPr>
  <dimension ref="A1:O81"/>
  <sheetViews>
    <sheetView showGridLines="0" showOutlineSymbols="0" zoomScaleNormal="100" workbookViewId="0">
      <pane ySplit="4" topLeftCell="A5" activePane="bottomLeft" state="frozen"/>
      <selection pane="bottomLeft"/>
    </sheetView>
  </sheetViews>
  <sheetFormatPr defaultColWidth="0" defaultRowHeight="11.4" outlineLevelRow="1" x14ac:dyDescent="0.2"/>
  <cols>
    <col min="1" max="5" width="3.75" customWidth="1"/>
    <col min="6" max="7" width="9.125" customWidth="1"/>
    <col min="8" max="8" width="1.75" customWidth="1"/>
    <col min="9" max="9" width="17.125" bestFit="1" customWidth="1"/>
    <col min="10" max="10" width="1.75" customWidth="1"/>
    <col min="11" max="11" width="23.375" customWidth="1"/>
    <col min="12" max="13" width="9.125" customWidth="1"/>
    <col min="14" max="14" width="1.75" customWidth="1"/>
    <col min="15" max="15" width="0" hidden="1" customWidth="1"/>
    <col min="16" max="16384" width="9.125" hidden="1"/>
  </cols>
  <sheetData>
    <row r="1" spans="1:13" ht="21" x14ac:dyDescent="0.4">
      <c r="A1" s="39" t="str">
        <f ca="1">IF(ISERROR(RIGHT(CELL("filename",A1),LEN(CELL("filename",A1))-FIND("]",CELL("filename",A1)))),
"",
RIGHT(CELL("filename",A1),LEN(CELL("filename",A1))-FIND("]",CELL("filename",A1))))</f>
        <v>Style Guide</v>
      </c>
      <c r="K1" s="11"/>
    </row>
    <row r="2" spans="1:13" ht="17.399999999999999" x14ac:dyDescent="0.3">
      <c r="A2" s="40" t="str">
        <f>Model_Name</f>
        <v>SP Python in Excel Example Starter File Chapter 7</v>
      </c>
    </row>
    <row r="3" spans="1:13" ht="12" x14ac:dyDescent="0.25">
      <c r="A3" s="69" t="s">
        <v>0</v>
      </c>
      <c r="B3" s="69"/>
      <c r="C3" s="69"/>
      <c r="D3" s="69"/>
      <c r="E3" s="69"/>
    </row>
    <row r="4" spans="1:13" ht="13.8" x14ac:dyDescent="0.25">
      <c r="E4" t="s">
        <v>5</v>
      </c>
      <c r="I4" s="1">
        <f>Overall_Error_Check</f>
        <v>0</v>
      </c>
    </row>
    <row r="6" spans="1:13" ht="16.2" thickBot="1" x14ac:dyDescent="0.35">
      <c r="B6" s="41">
        <f>MAX($B$5:$B5)+1</f>
        <v>1</v>
      </c>
      <c r="C6" s="2" t="s">
        <v>11</v>
      </c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ht="12" outlineLevel="1" thickTop="1" x14ac:dyDescent="0.2"/>
    <row r="8" spans="1:13" ht="12" outlineLevel="1" x14ac:dyDescent="0.25">
      <c r="C8" s="75" t="s">
        <v>12</v>
      </c>
      <c r="D8" s="75"/>
      <c r="E8" s="75"/>
      <c r="F8" s="75"/>
      <c r="G8" s="75"/>
      <c r="H8" s="13"/>
      <c r="I8" s="13" t="s">
        <v>13</v>
      </c>
      <c r="J8" s="13"/>
      <c r="K8" s="13" t="s">
        <v>14</v>
      </c>
    </row>
    <row r="9" spans="1:13" outlineLevel="1" x14ac:dyDescent="0.2">
      <c r="C9" s="74"/>
      <c r="D9" s="74"/>
      <c r="E9" s="74"/>
      <c r="F9" s="74"/>
      <c r="G9" s="74"/>
      <c r="K9" s="17"/>
    </row>
    <row r="10" spans="1:13" ht="21" outlineLevel="1" x14ac:dyDescent="0.4">
      <c r="C10" s="74" t="s">
        <v>15</v>
      </c>
      <c r="D10" s="74"/>
      <c r="E10" s="74"/>
      <c r="F10" s="74"/>
      <c r="G10" s="74"/>
      <c r="I10" s="14" t="str">
        <f>C10</f>
        <v>Sheet Title</v>
      </c>
      <c r="K10" s="15" t="s">
        <v>15</v>
      </c>
    </row>
    <row r="11" spans="1:13" ht="17.399999999999999" outlineLevel="1" x14ac:dyDescent="0.3">
      <c r="C11" s="74" t="s">
        <v>16</v>
      </c>
      <c r="D11" s="74"/>
      <c r="E11" s="74"/>
      <c r="F11" s="74"/>
      <c r="G11" s="74"/>
      <c r="I11" s="16" t="str">
        <f>C11</f>
        <v>Model Name</v>
      </c>
      <c r="K11" s="15" t="s">
        <v>16</v>
      </c>
    </row>
    <row r="12" spans="1:13" outlineLevel="1" x14ac:dyDescent="0.2">
      <c r="C12" s="74"/>
      <c r="D12" s="74"/>
      <c r="E12" s="74"/>
      <c r="F12" s="74"/>
      <c r="G12" s="74"/>
      <c r="K12" s="17"/>
    </row>
    <row r="13" spans="1:13" ht="16.2" outlineLevel="1" thickBot="1" x14ac:dyDescent="0.35">
      <c r="C13" s="74" t="s">
        <v>17</v>
      </c>
      <c r="D13" s="74"/>
      <c r="E13" s="74"/>
      <c r="F13" s="74"/>
      <c r="G13" s="74"/>
      <c r="I13" s="38" t="str">
        <f>C13</f>
        <v>Header 1</v>
      </c>
      <c r="K13" s="15" t="s">
        <v>17</v>
      </c>
    </row>
    <row r="14" spans="1:13" ht="17.399999999999999" outlineLevel="1" thickTop="1" x14ac:dyDescent="0.3">
      <c r="C14" s="74" t="s">
        <v>18</v>
      </c>
      <c r="D14" s="74"/>
      <c r="E14" s="74"/>
      <c r="F14" s="74"/>
      <c r="G14" s="74"/>
      <c r="I14" s="3" t="str">
        <f>C14</f>
        <v>Header 2</v>
      </c>
      <c r="K14" s="15" t="s">
        <v>18</v>
      </c>
    </row>
    <row r="15" spans="1:13" ht="14.4" outlineLevel="1" x14ac:dyDescent="0.3">
      <c r="C15" s="74" t="s">
        <v>19</v>
      </c>
      <c r="D15" s="74"/>
      <c r="E15" s="74"/>
      <c r="F15" s="74"/>
      <c r="G15" s="74"/>
      <c r="I15" s="4" t="str">
        <f>C15</f>
        <v>Header 3</v>
      </c>
      <c r="K15" s="15" t="s">
        <v>19</v>
      </c>
    </row>
    <row r="16" spans="1:13" ht="14.4" outlineLevel="1" x14ac:dyDescent="0.3">
      <c r="C16" s="74" t="s">
        <v>20</v>
      </c>
      <c r="D16" s="74"/>
      <c r="E16" s="74"/>
      <c r="F16" s="74"/>
      <c r="G16" s="74"/>
      <c r="I16" s="18" t="str">
        <f>C16</f>
        <v>Header 4</v>
      </c>
      <c r="K16" s="15" t="s">
        <v>20</v>
      </c>
    </row>
    <row r="17" spans="2:14" outlineLevel="1" x14ac:dyDescent="0.2">
      <c r="C17" s="74"/>
      <c r="D17" s="74"/>
      <c r="E17" s="74"/>
      <c r="F17" s="74"/>
      <c r="G17" s="74"/>
      <c r="K17" s="17"/>
    </row>
    <row r="18" spans="2:14" ht="14.4" outlineLevel="1" x14ac:dyDescent="0.3">
      <c r="C18" s="74" t="s">
        <v>21</v>
      </c>
      <c r="D18" s="74"/>
      <c r="E18" s="74"/>
      <c r="F18" s="74"/>
      <c r="G18" s="74"/>
      <c r="I18" s="19" t="str">
        <f>C18</f>
        <v>Notes</v>
      </c>
      <c r="K18" s="15" t="s">
        <v>21</v>
      </c>
    </row>
    <row r="19" spans="2:14" outlineLevel="1" x14ac:dyDescent="0.2">
      <c r="C19" s="74"/>
      <c r="D19" s="74"/>
      <c r="E19" s="74"/>
      <c r="F19" s="74"/>
      <c r="G19" s="74"/>
      <c r="K19" s="17"/>
      <c r="N19" s="19"/>
    </row>
    <row r="20" spans="2:14" ht="14.4" outlineLevel="1" x14ac:dyDescent="0.3">
      <c r="C20" s="74" t="s">
        <v>22</v>
      </c>
      <c r="D20" s="74"/>
      <c r="E20" s="74"/>
      <c r="F20" s="74"/>
      <c r="G20" s="74"/>
      <c r="I20" s="13" t="str">
        <f>C20</f>
        <v>Table Heading</v>
      </c>
      <c r="K20" s="15" t="s">
        <v>22</v>
      </c>
    </row>
    <row r="21" spans="2:14" outlineLevel="1" x14ac:dyDescent="0.2"/>
    <row r="22" spans="2:14" outlineLevel="1" x14ac:dyDescent="0.2"/>
    <row r="23" spans="2:14" ht="16.2" thickBot="1" x14ac:dyDescent="0.35">
      <c r="B23" s="41">
        <f>MAX($B$5:$B22)+1</f>
        <v>2</v>
      </c>
      <c r="C23" s="2" t="s">
        <v>23</v>
      </c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2:14" ht="12" outlineLevel="1" thickTop="1" x14ac:dyDescent="0.2"/>
    <row r="25" spans="2:14" ht="12" outlineLevel="1" x14ac:dyDescent="0.25">
      <c r="C25" s="75" t="s">
        <v>12</v>
      </c>
      <c r="D25" s="75"/>
      <c r="E25" s="75"/>
      <c r="F25" s="75"/>
      <c r="G25" s="75"/>
      <c r="H25" s="13"/>
      <c r="I25" s="13" t="s">
        <v>13</v>
      </c>
      <c r="J25" s="13"/>
      <c r="K25" s="13" t="s">
        <v>14</v>
      </c>
    </row>
    <row r="26" spans="2:14" ht="14.4" outlineLevel="1" x14ac:dyDescent="0.3">
      <c r="C26" s="74"/>
      <c r="D26" s="74"/>
      <c r="E26" s="74"/>
      <c r="F26" s="74"/>
      <c r="G26" s="74"/>
      <c r="K26" s="15"/>
    </row>
    <row r="27" spans="2:14" ht="14.4" outlineLevel="1" x14ac:dyDescent="0.3">
      <c r="C27" s="74" t="s">
        <v>24</v>
      </c>
      <c r="D27" s="74"/>
      <c r="E27" s="74"/>
      <c r="F27" s="74"/>
      <c r="G27" s="74"/>
      <c r="I27" s="20" t="s">
        <v>24</v>
      </c>
      <c r="K27" s="21" t="str">
        <f>C27</f>
        <v>Assumption</v>
      </c>
    </row>
    <row r="28" spans="2:14" ht="14.4" outlineLevel="1" x14ac:dyDescent="0.3">
      <c r="C28" s="74"/>
      <c r="D28" s="74"/>
      <c r="E28" s="74"/>
      <c r="F28" s="74"/>
      <c r="G28" s="74"/>
      <c r="K28" s="21"/>
    </row>
    <row r="29" spans="2:14" ht="14.4" outlineLevel="1" x14ac:dyDescent="0.3">
      <c r="C29" s="74" t="s">
        <v>25</v>
      </c>
      <c r="D29" s="74"/>
      <c r="E29" s="74"/>
      <c r="F29" s="74"/>
      <c r="G29" s="74"/>
      <c r="I29" s="22" t="str">
        <f>C29</f>
        <v>Constraint</v>
      </c>
      <c r="K29" s="21" t="str">
        <f>C29</f>
        <v>Constraint</v>
      </c>
    </row>
    <row r="30" spans="2:14" ht="14.4" outlineLevel="1" x14ac:dyDescent="0.3">
      <c r="C30" s="74"/>
      <c r="D30" s="74"/>
      <c r="E30" s="74"/>
      <c r="F30" s="74"/>
      <c r="G30" s="74"/>
      <c r="K30" s="21"/>
    </row>
    <row r="31" spans="2:14" ht="14.4" outlineLevel="1" x14ac:dyDescent="0.3">
      <c r="C31" s="74" t="s">
        <v>26</v>
      </c>
      <c r="D31" s="74"/>
      <c r="E31" s="74"/>
      <c r="F31" s="74"/>
      <c r="G31" s="74"/>
      <c r="I31" s="23"/>
      <c r="K31" s="21" t="str">
        <f>C31</f>
        <v>Empty</v>
      </c>
    </row>
    <row r="32" spans="2:14" ht="14.4" outlineLevel="1" x14ac:dyDescent="0.3">
      <c r="C32" s="74"/>
      <c r="D32" s="74"/>
      <c r="E32" s="74"/>
      <c r="F32" s="74"/>
      <c r="G32" s="74"/>
      <c r="K32" s="21"/>
    </row>
    <row r="33" spans="3:11" ht="14.4" outlineLevel="1" x14ac:dyDescent="0.3">
      <c r="C33" t="s">
        <v>27</v>
      </c>
      <c r="I33" s="24">
        <v>0</v>
      </c>
      <c r="K33" s="21" t="str">
        <f>C33</f>
        <v>Error Check</v>
      </c>
    </row>
    <row r="34" spans="3:11" ht="14.4" outlineLevel="1" x14ac:dyDescent="0.3">
      <c r="K34" s="21"/>
    </row>
    <row r="35" spans="3:11" ht="14.4" outlineLevel="1" x14ac:dyDescent="0.3">
      <c r="C35" s="74" t="s">
        <v>28</v>
      </c>
      <c r="D35" s="74"/>
      <c r="E35" s="74"/>
      <c r="F35" s="74"/>
      <c r="G35" s="74"/>
      <c r="I35" s="11" t="s">
        <v>28</v>
      </c>
      <c r="K35" s="21" t="str">
        <f>C35</f>
        <v>Hyperlink</v>
      </c>
    </row>
    <row r="36" spans="3:11" ht="14.4" outlineLevel="1" x14ac:dyDescent="0.3">
      <c r="C36" s="74"/>
      <c r="D36" s="74"/>
      <c r="E36" s="74"/>
      <c r="F36" s="74"/>
      <c r="G36" s="74"/>
      <c r="K36" s="21"/>
    </row>
    <row r="37" spans="3:11" ht="14.4" outlineLevel="1" x14ac:dyDescent="0.3">
      <c r="C37" s="74" t="s">
        <v>29</v>
      </c>
      <c r="D37" s="74"/>
      <c r="E37" s="74"/>
      <c r="F37" s="74"/>
      <c r="G37" s="74"/>
      <c r="I37" s="25" t="str">
        <f>'Error Checks'!E12</f>
        <v>Example</v>
      </c>
      <c r="K37" s="21" t="str">
        <f>C37</f>
        <v>Internal Reference</v>
      </c>
    </row>
    <row r="38" spans="3:11" ht="14.4" outlineLevel="1" x14ac:dyDescent="0.3">
      <c r="C38" s="74"/>
      <c r="D38" s="74"/>
      <c r="E38" s="74"/>
      <c r="F38" s="74"/>
      <c r="G38" s="74"/>
      <c r="K38" s="21"/>
    </row>
    <row r="39" spans="3:11" ht="14.4" outlineLevel="1" x14ac:dyDescent="0.3">
      <c r="C39" s="74" t="s">
        <v>30</v>
      </c>
      <c r="D39" s="74"/>
      <c r="E39" s="74"/>
      <c r="F39" s="74"/>
      <c r="G39" s="74"/>
      <c r="I39" s="26">
        <v>77</v>
      </c>
      <c r="K39" s="21" t="s">
        <v>31</v>
      </c>
    </row>
    <row r="40" spans="3:11" ht="14.4" outlineLevel="1" x14ac:dyDescent="0.3">
      <c r="C40" s="74"/>
      <c r="D40" s="74"/>
      <c r="E40" s="74"/>
      <c r="F40" s="74"/>
      <c r="G40" s="74"/>
      <c r="K40" s="21"/>
    </row>
    <row r="41" spans="3:11" ht="14.4" outlineLevel="1" x14ac:dyDescent="0.3">
      <c r="C41" s="74" t="s">
        <v>32</v>
      </c>
      <c r="D41" s="74"/>
      <c r="E41" s="74"/>
      <c r="F41" s="74"/>
      <c r="G41" s="74"/>
      <c r="I41" s="27">
        <f>I39</f>
        <v>77</v>
      </c>
      <c r="K41" s="21" t="str">
        <f>C41</f>
        <v>Line Total</v>
      </c>
    </row>
    <row r="42" spans="3:11" ht="14.4" outlineLevel="1" x14ac:dyDescent="0.3">
      <c r="C42" s="74"/>
      <c r="D42" s="74"/>
      <c r="E42" s="74"/>
      <c r="F42" s="74"/>
      <c r="G42" s="74"/>
      <c r="K42" s="21"/>
    </row>
    <row r="43" spans="3:11" ht="14.4" outlineLevel="1" x14ac:dyDescent="0.3">
      <c r="C43" s="74" t="s">
        <v>33</v>
      </c>
      <c r="D43" s="74"/>
      <c r="E43" s="74"/>
      <c r="F43" s="74"/>
      <c r="G43" s="74"/>
      <c r="I43" s="28">
        <v>365</v>
      </c>
      <c r="K43" s="21" t="str">
        <f>C43</f>
        <v>Parameter</v>
      </c>
    </row>
    <row r="44" spans="3:11" ht="14.4" outlineLevel="1" x14ac:dyDescent="0.3">
      <c r="C44" s="74"/>
      <c r="D44" s="74"/>
      <c r="E44" s="74"/>
      <c r="F44" s="74"/>
      <c r="G44" s="74"/>
      <c r="K44" s="21"/>
    </row>
    <row r="45" spans="3:11" ht="14.4" outlineLevel="1" x14ac:dyDescent="0.3">
      <c r="C45" s="74" t="s">
        <v>34</v>
      </c>
      <c r="D45" s="74"/>
      <c r="E45" s="74"/>
      <c r="F45" s="74"/>
      <c r="G45" s="74"/>
      <c r="I45" s="29" t="s">
        <v>35</v>
      </c>
      <c r="K45" s="21" t="str">
        <f>C45</f>
        <v>Range Name Description</v>
      </c>
    </row>
    <row r="46" spans="3:11" ht="14.4" outlineLevel="1" x14ac:dyDescent="0.3">
      <c r="C46" s="74"/>
      <c r="D46" s="74"/>
      <c r="E46" s="74"/>
      <c r="F46" s="74"/>
      <c r="G46" s="74"/>
      <c r="K46" s="21"/>
    </row>
    <row r="47" spans="3:11" ht="14.4" outlineLevel="1" x14ac:dyDescent="0.3">
      <c r="C47" s="74" t="s">
        <v>36</v>
      </c>
      <c r="D47" s="74"/>
      <c r="E47" s="74"/>
      <c r="F47" s="74"/>
      <c r="G47" s="74"/>
      <c r="I47" s="30">
        <f>ROW(C47)</f>
        <v>47</v>
      </c>
      <c r="K47" s="21" t="s">
        <v>37</v>
      </c>
    </row>
    <row r="48" spans="3:11" ht="14.4" outlineLevel="1" x14ac:dyDescent="0.3">
      <c r="C48" s="74"/>
      <c r="D48" s="74"/>
      <c r="E48" s="74"/>
      <c r="F48" s="74"/>
      <c r="G48" s="74"/>
      <c r="K48" s="21"/>
    </row>
    <row r="49" spans="2:13" ht="14.4" outlineLevel="1" x14ac:dyDescent="0.3">
      <c r="C49" s="74" t="s">
        <v>38</v>
      </c>
      <c r="D49" s="74"/>
      <c r="E49" s="74"/>
      <c r="F49" s="74"/>
      <c r="G49" s="74"/>
      <c r="I49" s="31">
        <f>I41</f>
        <v>77</v>
      </c>
      <c r="K49" s="21" t="str">
        <f>C49</f>
        <v>Row Summary</v>
      </c>
    </row>
    <row r="50" spans="2:13" ht="14.4" outlineLevel="1" x14ac:dyDescent="0.3">
      <c r="C50" s="74"/>
      <c r="D50" s="74"/>
      <c r="E50" s="74"/>
      <c r="F50" s="74"/>
      <c r="G50" s="74"/>
      <c r="K50" s="21"/>
    </row>
    <row r="51" spans="2:13" ht="14.4" outlineLevel="1" x14ac:dyDescent="0.3">
      <c r="C51" s="74" t="s">
        <v>39</v>
      </c>
      <c r="D51" s="74"/>
      <c r="E51" s="74"/>
      <c r="F51" s="74"/>
      <c r="G51" s="74"/>
      <c r="I51" s="32" t="s">
        <v>40</v>
      </c>
      <c r="K51" s="21" t="str">
        <f>C51</f>
        <v>Units</v>
      </c>
    </row>
    <row r="52" spans="2:13" ht="14.4" outlineLevel="1" x14ac:dyDescent="0.3">
      <c r="C52" s="74"/>
      <c r="D52" s="74"/>
      <c r="E52" s="74"/>
      <c r="F52" s="74"/>
      <c r="G52" s="74"/>
      <c r="K52" s="21"/>
    </row>
    <row r="53" spans="2:13" ht="14.4" outlineLevel="1" x14ac:dyDescent="0.3">
      <c r="C53" s="74" t="s">
        <v>41</v>
      </c>
      <c r="D53" s="74"/>
      <c r="E53" s="74"/>
      <c r="F53" s="74"/>
      <c r="G53" s="74"/>
      <c r="I53" s="33"/>
      <c r="K53" s="21" t="str">
        <f>C53</f>
        <v>WIP</v>
      </c>
    </row>
    <row r="54" spans="2:13" ht="14.4" outlineLevel="1" x14ac:dyDescent="0.3">
      <c r="C54" s="74"/>
      <c r="D54" s="74"/>
      <c r="E54" s="74"/>
      <c r="F54" s="74"/>
      <c r="G54" s="74"/>
      <c r="K54" s="21"/>
    </row>
    <row r="55" spans="2:13" outlineLevel="1" x14ac:dyDescent="0.2">
      <c r="C55" s="74"/>
      <c r="D55" s="74"/>
      <c r="E55" s="74"/>
      <c r="F55" s="74"/>
      <c r="G55" s="74"/>
    </row>
    <row r="56" spans="2:13" ht="16.2" thickBot="1" x14ac:dyDescent="0.35">
      <c r="B56" s="41">
        <f>MAX($B$5:$B55)+1</f>
        <v>3</v>
      </c>
      <c r="C56" s="2" t="s">
        <v>42</v>
      </c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2:13" ht="12" outlineLevel="1" thickTop="1" x14ac:dyDescent="0.2"/>
    <row r="58" spans="2:13" ht="12" outlineLevel="1" x14ac:dyDescent="0.25">
      <c r="C58" s="75" t="s">
        <v>12</v>
      </c>
      <c r="D58" s="75"/>
      <c r="E58" s="75"/>
      <c r="F58" s="75"/>
      <c r="G58" s="75"/>
      <c r="H58" s="13"/>
      <c r="I58" s="13" t="s">
        <v>13</v>
      </c>
      <c r="J58" s="13"/>
      <c r="K58" s="13" t="s">
        <v>14</v>
      </c>
    </row>
    <row r="59" spans="2:13" outlineLevel="1" x14ac:dyDescent="0.2"/>
    <row r="60" spans="2:13" ht="14.4" outlineLevel="1" x14ac:dyDescent="0.3">
      <c r="C60" s="74" t="s">
        <v>43</v>
      </c>
      <c r="D60" s="74"/>
      <c r="E60" s="74"/>
      <c r="F60" s="74"/>
      <c r="G60" s="74"/>
      <c r="I60" s="43">
        <v>123456.789</v>
      </c>
      <c r="K60" s="21" t="str">
        <f t="shared" ref="K60:K66" si="0">C60</f>
        <v>Comma</v>
      </c>
    </row>
    <row r="61" spans="2:13" ht="14.4" outlineLevel="1" x14ac:dyDescent="0.3">
      <c r="C61" s="74"/>
      <c r="D61" s="74"/>
      <c r="E61" s="74"/>
      <c r="F61" s="74"/>
      <c r="G61" s="74"/>
      <c r="K61" s="21"/>
    </row>
    <row r="62" spans="2:13" ht="14.4" outlineLevel="1" x14ac:dyDescent="0.3">
      <c r="C62" s="74" t="s">
        <v>44</v>
      </c>
      <c r="D62" s="74"/>
      <c r="E62" s="74"/>
      <c r="F62" s="74"/>
      <c r="G62" s="74"/>
      <c r="I62" s="42">
        <v>-123456.789</v>
      </c>
      <c r="K62" s="21" t="str">
        <f t="shared" si="0"/>
        <v>Comma [0]</v>
      </c>
    </row>
    <row r="63" spans="2:13" ht="14.4" outlineLevel="1" x14ac:dyDescent="0.3">
      <c r="C63" s="74"/>
      <c r="D63" s="74"/>
      <c r="E63" s="74"/>
      <c r="F63" s="74"/>
      <c r="G63" s="74"/>
      <c r="K63" s="21"/>
    </row>
    <row r="64" spans="2:13" ht="14.4" outlineLevel="1" x14ac:dyDescent="0.3">
      <c r="C64" s="74" t="s">
        <v>45</v>
      </c>
      <c r="D64" s="74"/>
      <c r="E64" s="74"/>
      <c r="F64" s="74"/>
      <c r="G64" s="74"/>
      <c r="I64" s="44">
        <v>123456.789</v>
      </c>
      <c r="K64" s="21" t="str">
        <f t="shared" si="0"/>
        <v>Currency</v>
      </c>
    </row>
    <row r="65" spans="3:11" ht="14.4" outlineLevel="1" x14ac:dyDescent="0.3">
      <c r="C65" s="74"/>
      <c r="D65" s="74"/>
      <c r="E65" s="74"/>
      <c r="F65" s="74"/>
      <c r="G65" s="74"/>
      <c r="K65" s="21"/>
    </row>
    <row r="66" spans="3:11" ht="14.4" outlineLevel="1" x14ac:dyDescent="0.3">
      <c r="C66" s="74" t="s">
        <v>46</v>
      </c>
      <c r="D66" s="74"/>
      <c r="E66" s="74"/>
      <c r="F66" s="74"/>
      <c r="G66" s="74"/>
      <c r="I66" s="45">
        <v>123456.789</v>
      </c>
      <c r="K66" s="21" t="str">
        <f t="shared" si="0"/>
        <v>Currency [0]</v>
      </c>
    </row>
    <row r="67" spans="3:11" ht="14.4" outlineLevel="1" x14ac:dyDescent="0.3">
      <c r="C67" s="74"/>
      <c r="D67" s="74"/>
      <c r="E67" s="74"/>
      <c r="F67" s="74"/>
      <c r="G67" s="74"/>
      <c r="K67" s="21"/>
    </row>
    <row r="68" spans="3:11" ht="14.4" outlineLevel="1" x14ac:dyDescent="0.3">
      <c r="C68" s="74" t="s">
        <v>47</v>
      </c>
      <c r="D68" s="74"/>
      <c r="E68" s="74"/>
      <c r="F68" s="74"/>
      <c r="G68" s="74"/>
      <c r="I68" s="46">
        <f ca="1">TODAY()</f>
        <v>46100</v>
      </c>
      <c r="K68" s="21" t="str">
        <f>C68</f>
        <v>Date</v>
      </c>
    </row>
    <row r="69" spans="3:11" ht="14.4" outlineLevel="1" x14ac:dyDescent="0.3">
      <c r="C69" s="74"/>
      <c r="D69" s="74"/>
      <c r="E69" s="74"/>
      <c r="F69" s="74"/>
      <c r="G69" s="74"/>
      <c r="K69" s="21"/>
    </row>
    <row r="70" spans="3:11" ht="14.4" outlineLevel="1" x14ac:dyDescent="0.3">
      <c r="C70" s="74" t="s">
        <v>48</v>
      </c>
      <c r="D70" s="74"/>
      <c r="E70" s="74"/>
      <c r="F70" s="74"/>
      <c r="G70" s="74"/>
      <c r="I70" s="47">
        <f ca="1">TODAY()</f>
        <v>46100</v>
      </c>
      <c r="K70" s="21" t="str">
        <f>C70</f>
        <v>Date Heading</v>
      </c>
    </row>
    <row r="71" spans="3:11" ht="14.4" outlineLevel="1" x14ac:dyDescent="0.3">
      <c r="C71" s="74"/>
      <c r="D71" s="74"/>
      <c r="E71" s="74"/>
      <c r="F71" s="74"/>
      <c r="G71" s="74"/>
      <c r="K71" s="21"/>
    </row>
    <row r="72" spans="3:11" ht="14.4" outlineLevel="1" x14ac:dyDescent="0.3">
      <c r="C72" s="74" t="s">
        <v>49</v>
      </c>
      <c r="D72" s="74"/>
      <c r="E72" s="74"/>
      <c r="F72" s="74"/>
      <c r="G72" s="74"/>
      <c r="I72" s="34">
        <v>-123456.789</v>
      </c>
      <c r="K72" s="21" t="str">
        <f>C72</f>
        <v>Numbers 0</v>
      </c>
    </row>
    <row r="73" spans="3:11" ht="14.4" outlineLevel="1" x14ac:dyDescent="0.3">
      <c r="C73" s="74"/>
      <c r="D73" s="74"/>
      <c r="E73" s="74"/>
      <c r="F73" s="74"/>
      <c r="G73" s="74"/>
      <c r="K73" s="21"/>
    </row>
    <row r="74" spans="3:11" ht="14.4" outlineLevel="1" x14ac:dyDescent="0.3">
      <c r="C74" s="74" t="s">
        <v>50</v>
      </c>
      <c r="D74" s="74"/>
      <c r="E74" s="74"/>
      <c r="F74" s="74"/>
      <c r="G74" s="74"/>
      <c r="I74" s="35">
        <v>0.5</v>
      </c>
      <c r="K74" s="21" t="str">
        <f>C74</f>
        <v>Percent</v>
      </c>
    </row>
    <row r="75" spans="3:11" outlineLevel="1" x14ac:dyDescent="0.2">
      <c r="C75" s="74"/>
      <c r="D75" s="74"/>
      <c r="E75" s="74"/>
      <c r="F75" s="74"/>
      <c r="G75" s="74"/>
    </row>
    <row r="76" spans="3:11" outlineLevel="1" x14ac:dyDescent="0.2">
      <c r="C76" s="74"/>
      <c r="D76" s="74"/>
      <c r="E76" s="74"/>
      <c r="F76" s="74"/>
      <c r="G76" s="74"/>
    </row>
    <row r="77" spans="3:11" x14ac:dyDescent="0.2">
      <c r="C77" s="74"/>
      <c r="D77" s="74"/>
      <c r="E77" s="74"/>
      <c r="F77" s="74"/>
      <c r="G77" s="74"/>
    </row>
    <row r="78" spans="3:11" x14ac:dyDescent="0.2">
      <c r="C78" s="74"/>
      <c r="D78" s="74"/>
      <c r="E78" s="74"/>
      <c r="F78" s="74"/>
      <c r="G78" s="74"/>
    </row>
    <row r="79" spans="3:11" x14ac:dyDescent="0.2">
      <c r="C79" s="74"/>
      <c r="D79" s="74"/>
      <c r="E79" s="74"/>
      <c r="F79" s="74"/>
      <c r="G79" s="74"/>
    </row>
    <row r="80" spans="3:11" x14ac:dyDescent="0.2">
      <c r="C80" s="74"/>
      <c r="D80" s="74"/>
      <c r="E80" s="74"/>
      <c r="F80" s="74"/>
      <c r="G80" s="74"/>
    </row>
    <row r="81" spans="3:7" x14ac:dyDescent="0.2">
      <c r="C81" s="74"/>
      <c r="D81" s="74"/>
      <c r="E81" s="74"/>
      <c r="F81" s="74"/>
      <c r="G81" s="74"/>
    </row>
  </sheetData>
  <mergeCells count="66">
    <mergeCell ref="C17:G17"/>
    <mergeCell ref="A3:E3"/>
    <mergeCell ref="C8:G8"/>
    <mergeCell ref="C9:G9"/>
    <mergeCell ref="C10:G10"/>
    <mergeCell ref="C11:G11"/>
    <mergeCell ref="C12:G12"/>
    <mergeCell ref="C13:G13"/>
    <mergeCell ref="C14:G14"/>
    <mergeCell ref="C15:G15"/>
    <mergeCell ref="C16:G16"/>
    <mergeCell ref="C35:G35"/>
    <mergeCell ref="C18:G18"/>
    <mergeCell ref="C19:G19"/>
    <mergeCell ref="C20:G20"/>
    <mergeCell ref="C25:G25"/>
    <mergeCell ref="C26:G26"/>
    <mergeCell ref="C27:G27"/>
    <mergeCell ref="C28:G28"/>
    <mergeCell ref="C29:G29"/>
    <mergeCell ref="C30:G30"/>
    <mergeCell ref="C31:G31"/>
    <mergeCell ref="C32:G32"/>
    <mergeCell ref="C47:G47"/>
    <mergeCell ref="C36:G36"/>
    <mergeCell ref="C37:G37"/>
    <mergeCell ref="C38:G38"/>
    <mergeCell ref="C39:G39"/>
    <mergeCell ref="C40:G40"/>
    <mergeCell ref="C41:G41"/>
    <mergeCell ref="C42:G42"/>
    <mergeCell ref="C43:G43"/>
    <mergeCell ref="C44:G44"/>
    <mergeCell ref="C45:G45"/>
    <mergeCell ref="C46:G46"/>
    <mergeCell ref="C62:G62"/>
    <mergeCell ref="C48:G48"/>
    <mergeCell ref="C49:G49"/>
    <mergeCell ref="C50:G50"/>
    <mergeCell ref="C51:G51"/>
    <mergeCell ref="C52:G52"/>
    <mergeCell ref="C53:G53"/>
    <mergeCell ref="C54:G54"/>
    <mergeCell ref="C55:G55"/>
    <mergeCell ref="C58:G58"/>
    <mergeCell ref="C60:G60"/>
    <mergeCell ref="C61:G61"/>
    <mergeCell ref="C74:G74"/>
    <mergeCell ref="C63:G63"/>
    <mergeCell ref="C64:G64"/>
    <mergeCell ref="C65:G65"/>
    <mergeCell ref="C66:G66"/>
    <mergeCell ref="C67:G67"/>
    <mergeCell ref="C68:G68"/>
    <mergeCell ref="C69:G69"/>
    <mergeCell ref="C70:G70"/>
    <mergeCell ref="C71:G71"/>
    <mergeCell ref="C72:G72"/>
    <mergeCell ref="C73:G73"/>
    <mergeCell ref="C81:G81"/>
    <mergeCell ref="C75:G75"/>
    <mergeCell ref="C76:G76"/>
    <mergeCell ref="C77:G77"/>
    <mergeCell ref="C78:G78"/>
    <mergeCell ref="C79:G79"/>
    <mergeCell ref="C80:G80"/>
  </mergeCells>
  <conditionalFormatting sqref="I4">
    <cfRule type="cellIs" dxfId="5" priority="1" operator="notEqual">
      <formula>0</formula>
    </cfRule>
  </conditionalFormatting>
  <hyperlinks>
    <hyperlink ref="A3:E3" location="HL_Navigator" tooltip="Go to Navigator (Table of Contents)" display="Navigator" xr:uid="{00000000-0004-0000-0200-000000000000}"/>
    <hyperlink ref="A3" location="HL_Navigator" display="Navigator" xr:uid="{00000000-0004-0000-0200-000001000000}"/>
    <hyperlink ref="I4" location="Overall_Error_Check" tooltip="Go to Overall Error Check" display="Overall_Error_Check" xr:uid="{00000000-0004-0000-0200-000002000000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AF139-5DB0-435D-923F-DA7E27B1A5B4}">
  <sheetPr codeName="Sheet11">
    <outlinePr summaryBelow="0" summaryRight="0"/>
  </sheetPr>
  <dimension ref="A1:M1510"/>
  <sheetViews>
    <sheetView showGridLines="0" topLeftCell="C1" workbookViewId="0">
      <pane ySplit="4" topLeftCell="A5" activePane="bottomLeft" state="frozen"/>
      <selection pane="bottomLeft" activeCell="C9" sqref="C9"/>
    </sheetView>
  </sheetViews>
  <sheetFormatPr defaultRowHeight="11.4" x14ac:dyDescent="0.2"/>
  <cols>
    <col min="1" max="2" width="3.75" customWidth="1"/>
    <col min="3" max="3" width="19" bestFit="1" customWidth="1"/>
    <col min="4" max="4" width="12.125" customWidth="1"/>
    <col min="5" max="5" width="27.25" bestFit="1" customWidth="1"/>
    <col min="6" max="6" width="12.25" bestFit="1" customWidth="1"/>
    <col min="7" max="7" width="7.875" bestFit="1" customWidth="1"/>
    <col min="8" max="8" width="9.75" bestFit="1" customWidth="1"/>
    <col min="9" max="9" width="14.875" bestFit="1" customWidth="1"/>
    <col min="10" max="10" width="14.25" bestFit="1" customWidth="1"/>
    <col min="11" max="11" width="15" bestFit="1" customWidth="1"/>
    <col min="12" max="12" width="5" bestFit="1" customWidth="1"/>
    <col min="13" max="13" width="7.25" bestFit="1" customWidth="1"/>
    <col min="14" max="14" width="12.75" bestFit="1" customWidth="1"/>
    <col min="15" max="15" width="10.125" bestFit="1" customWidth="1"/>
    <col min="20" max="20" width="12.125" bestFit="1" customWidth="1"/>
  </cols>
  <sheetData>
    <row r="1" spans="1:12" ht="21" x14ac:dyDescent="0.4">
      <c r="A1" s="39" t="str">
        <f ca="1">IF(ISERROR(RIGHT(CELL("filename",A1),LEN(CELL("filename",A1))-FIND("]",CELL("filename",A1)))),
"",
RIGHT(CELL("filename",A1),LEN(CELL("filename",A1))-FIND("]",CELL("filename",A1))))</f>
        <v>Car_Sales_Data</v>
      </c>
    </row>
    <row r="2" spans="1:12" ht="17.399999999999999" x14ac:dyDescent="0.3">
      <c r="A2" s="40" t="str">
        <f>Model_Name</f>
        <v>SP Python in Excel Example Starter File Chapter 7</v>
      </c>
    </row>
    <row r="3" spans="1:12" ht="12" x14ac:dyDescent="0.25">
      <c r="A3" s="11" t="s">
        <v>0</v>
      </c>
      <c r="B3" s="11"/>
      <c r="C3" s="11"/>
      <c r="D3" s="11"/>
      <c r="E3" s="11"/>
    </row>
    <row r="4" spans="1:12" ht="13.8" x14ac:dyDescent="0.25">
      <c r="B4" t="s">
        <v>5</v>
      </c>
      <c r="F4" s="1">
        <f>Overall_Error_Check</f>
        <v>0</v>
      </c>
    </row>
    <row r="6" spans="1:12" ht="16.2" thickBot="1" x14ac:dyDescent="0.35">
      <c r="B6" s="41">
        <f>MAX($B$5:$B5)+1</f>
        <v>1</v>
      </c>
      <c r="C6" s="2" t="str">
        <f ca="1">A1</f>
        <v>Car_Sales_Data</v>
      </c>
      <c r="D6" s="2"/>
      <c r="E6" s="2"/>
      <c r="F6" s="2"/>
      <c r="G6" s="2"/>
      <c r="H6" s="2"/>
      <c r="I6" s="2"/>
      <c r="J6" s="2"/>
      <c r="K6" s="2"/>
      <c r="L6" s="2"/>
    </row>
    <row r="7" spans="1:12" ht="12" thickTop="1" x14ac:dyDescent="0.2"/>
    <row r="8" spans="1:12" ht="16.8" x14ac:dyDescent="0.3">
      <c r="C8" s="3" t="s">
        <v>73</v>
      </c>
      <c r="F8" s="3"/>
    </row>
    <row r="9" spans="1:12" x14ac:dyDescent="0.2">
      <c r="C9" t="e" cm="1" vm="1">
        <f t="array" ref="C9">_xlfn._xlws.PY(0,0,_xlfn.PQSOURCE("f35d3d8c-3a19-4543-9efd-ec76b18a2455"))</f>
        <v>#VALUE!</v>
      </c>
    </row>
    <row r="10" spans="1:12" s="49" customFormat="1" ht="14.4" x14ac:dyDescent="0.3">
      <c r="C10"/>
      <c r="D10"/>
      <c r="E10"/>
      <c r="F10"/>
      <c r="G10"/>
      <c r="H10"/>
      <c r="I10"/>
      <c r="J10"/>
      <c r="K10"/>
    </row>
    <row r="11" spans="1:12" s="49" customFormat="1" ht="14.4" x14ac:dyDescent="0.3">
      <c r="C11"/>
      <c r="D11"/>
      <c r="E11"/>
      <c r="F11"/>
      <c r="G11"/>
      <c r="H11"/>
      <c r="I11"/>
      <c r="J11"/>
      <c r="K11"/>
    </row>
    <row r="12" spans="1:12" s="49" customFormat="1" ht="14.4" x14ac:dyDescent="0.3">
      <c r="C12"/>
      <c r="D12"/>
      <c r="E12"/>
      <c r="F12"/>
      <c r="G12"/>
      <c r="H12"/>
      <c r="I12"/>
      <c r="J12"/>
      <c r="K12"/>
    </row>
    <row r="13" spans="1:12" s="49" customFormat="1" ht="14.4" x14ac:dyDescent="0.3">
      <c r="C13"/>
      <c r="D13"/>
      <c r="E13"/>
      <c r="F13"/>
      <c r="G13"/>
      <c r="H13"/>
      <c r="I13"/>
      <c r="J13"/>
      <c r="K13"/>
    </row>
    <row r="14" spans="1:12" s="49" customFormat="1" ht="14.4" x14ac:dyDescent="0.3">
      <c r="C14"/>
      <c r="D14"/>
      <c r="E14"/>
      <c r="F14"/>
      <c r="G14"/>
      <c r="H14"/>
      <c r="I14"/>
      <c r="J14"/>
      <c r="K14"/>
    </row>
    <row r="15" spans="1:12" s="49" customFormat="1" ht="14.4" x14ac:dyDescent="0.3">
      <c r="C15"/>
      <c r="D15"/>
      <c r="E15"/>
      <c r="F15"/>
      <c r="G15"/>
      <c r="H15"/>
      <c r="I15"/>
      <c r="J15"/>
      <c r="K15"/>
    </row>
    <row r="16" spans="1:12" s="49" customFormat="1" ht="14.4" x14ac:dyDescent="0.3">
      <c r="C16"/>
      <c r="D16"/>
      <c r="E16"/>
      <c r="F16"/>
      <c r="G16"/>
      <c r="H16"/>
      <c r="I16"/>
      <c r="J16"/>
      <c r="K16"/>
    </row>
    <row r="17" spans="3:13" s="49" customFormat="1" ht="14.4" x14ac:dyDescent="0.3">
      <c r="C17"/>
      <c r="D17"/>
      <c r="E17"/>
      <c r="F17"/>
      <c r="G17"/>
      <c r="H17"/>
      <c r="I17"/>
      <c r="J17"/>
      <c r="K17"/>
    </row>
    <row r="18" spans="3:13" s="49" customFormat="1" ht="14.4" x14ac:dyDescent="0.3">
      <c r="C18"/>
      <c r="D18"/>
      <c r="E18"/>
      <c r="F18"/>
      <c r="G18"/>
      <c r="H18"/>
      <c r="I18"/>
      <c r="J18"/>
      <c r="K18"/>
    </row>
    <row r="19" spans="3:13" s="49" customFormat="1" ht="14.4" x14ac:dyDescent="0.3">
      <c r="C19"/>
      <c r="D19"/>
      <c r="E19"/>
      <c r="F19"/>
      <c r="G19"/>
      <c r="H19"/>
      <c r="I19"/>
      <c r="J19"/>
      <c r="K19"/>
    </row>
    <row r="20" spans="3:13" x14ac:dyDescent="0.2">
      <c r="L20" s="48"/>
      <c r="M20" s="48"/>
    </row>
    <row r="21" spans="3:13" x14ac:dyDescent="0.2">
      <c r="L21" s="48"/>
      <c r="M21" s="48"/>
    </row>
    <row r="22" spans="3:13" x14ac:dyDescent="0.2">
      <c r="L22" s="48"/>
      <c r="M22" s="48"/>
    </row>
    <row r="23" spans="3:13" x14ac:dyDescent="0.2">
      <c r="L23" s="48"/>
      <c r="M23" s="48"/>
    </row>
    <row r="24" spans="3:13" x14ac:dyDescent="0.2">
      <c r="L24" s="48"/>
      <c r="M24" s="48"/>
    </row>
    <row r="25" spans="3:13" x14ac:dyDescent="0.2">
      <c r="L25" s="48"/>
      <c r="M25" s="48"/>
    </row>
    <row r="26" spans="3:13" x14ac:dyDescent="0.2">
      <c r="L26" s="48"/>
      <c r="M26" s="48"/>
    </row>
    <row r="27" spans="3:13" x14ac:dyDescent="0.2">
      <c r="L27" s="48"/>
      <c r="M27" s="48"/>
    </row>
    <row r="28" spans="3:13" x14ac:dyDescent="0.2">
      <c r="L28" s="48"/>
      <c r="M28" s="48"/>
    </row>
    <row r="29" spans="3:13" x14ac:dyDescent="0.2">
      <c r="L29" s="48"/>
      <c r="M29" s="48"/>
    </row>
    <row r="30" spans="3:13" x14ac:dyDescent="0.2">
      <c r="L30" s="48"/>
      <c r="M30" s="48"/>
    </row>
    <row r="31" spans="3:13" x14ac:dyDescent="0.2">
      <c r="L31" s="48"/>
      <c r="M31" s="48"/>
    </row>
    <row r="32" spans="3:13" x14ac:dyDescent="0.2">
      <c r="L32" s="48"/>
      <c r="M32" s="48"/>
    </row>
    <row r="33" spans="12:13" x14ac:dyDescent="0.2">
      <c r="L33" s="48"/>
      <c r="M33" s="48"/>
    </row>
    <row r="34" spans="12:13" x14ac:dyDescent="0.2">
      <c r="L34" s="48"/>
      <c r="M34" s="48"/>
    </row>
    <row r="35" spans="12:13" x14ac:dyDescent="0.2">
      <c r="L35" s="48"/>
      <c r="M35" s="48"/>
    </row>
    <row r="36" spans="12:13" x14ac:dyDescent="0.2">
      <c r="L36" s="48"/>
      <c r="M36" s="48"/>
    </row>
    <row r="37" spans="12:13" x14ac:dyDescent="0.2">
      <c r="L37" s="48"/>
      <c r="M37" s="48"/>
    </row>
    <row r="38" spans="12:13" x14ac:dyDescent="0.2">
      <c r="L38" s="48"/>
      <c r="M38" s="48"/>
    </row>
    <row r="39" spans="12:13" x14ac:dyDescent="0.2">
      <c r="L39" s="48"/>
      <c r="M39" s="48"/>
    </row>
    <row r="40" spans="12:13" x14ac:dyDescent="0.2">
      <c r="L40" s="48"/>
      <c r="M40" s="48"/>
    </row>
    <row r="41" spans="12:13" x14ac:dyDescent="0.2">
      <c r="L41" s="48"/>
      <c r="M41" s="48"/>
    </row>
    <row r="42" spans="12:13" x14ac:dyDescent="0.2">
      <c r="L42" s="48"/>
      <c r="M42" s="48"/>
    </row>
    <row r="43" spans="12:13" x14ac:dyDescent="0.2">
      <c r="L43" s="48"/>
      <c r="M43" s="48"/>
    </row>
    <row r="44" spans="12:13" x14ac:dyDescent="0.2">
      <c r="L44" s="48"/>
      <c r="M44" s="48"/>
    </row>
    <row r="45" spans="12:13" x14ac:dyDescent="0.2">
      <c r="L45" s="48"/>
      <c r="M45" s="48"/>
    </row>
    <row r="46" spans="12:13" x14ac:dyDescent="0.2">
      <c r="L46" s="48"/>
      <c r="M46" s="48"/>
    </row>
    <row r="47" spans="12:13" x14ac:dyDescent="0.2">
      <c r="L47" s="48"/>
      <c r="M47" s="48"/>
    </row>
    <row r="48" spans="12:13" x14ac:dyDescent="0.2">
      <c r="L48" s="48"/>
      <c r="M48" s="48"/>
    </row>
    <row r="49" spans="12:13" x14ac:dyDescent="0.2">
      <c r="L49" s="48"/>
      <c r="M49" s="48"/>
    </row>
    <row r="50" spans="12:13" x14ac:dyDescent="0.2">
      <c r="L50" s="48"/>
      <c r="M50" s="48"/>
    </row>
    <row r="51" spans="12:13" x14ac:dyDescent="0.2">
      <c r="L51" s="48"/>
      <c r="M51" s="48"/>
    </row>
    <row r="52" spans="12:13" x14ac:dyDescent="0.2">
      <c r="L52" s="48"/>
      <c r="M52" s="48"/>
    </row>
    <row r="53" spans="12:13" x14ac:dyDescent="0.2">
      <c r="L53" s="48"/>
      <c r="M53" s="48"/>
    </row>
    <row r="54" spans="12:13" x14ac:dyDescent="0.2">
      <c r="L54" s="48"/>
      <c r="M54" s="48"/>
    </row>
    <row r="55" spans="12:13" x14ac:dyDescent="0.2">
      <c r="L55" s="48"/>
      <c r="M55" s="48"/>
    </row>
    <row r="56" spans="12:13" x14ac:dyDescent="0.2">
      <c r="L56" s="48"/>
      <c r="M56" s="48"/>
    </row>
    <row r="57" spans="12:13" x14ac:dyDescent="0.2">
      <c r="L57" s="48"/>
      <c r="M57" s="48"/>
    </row>
    <row r="58" spans="12:13" x14ac:dyDescent="0.2">
      <c r="L58" s="48"/>
      <c r="M58" s="48"/>
    </row>
    <row r="59" spans="12:13" x14ac:dyDescent="0.2">
      <c r="L59" s="48"/>
      <c r="M59" s="48"/>
    </row>
    <row r="60" spans="12:13" x14ac:dyDescent="0.2">
      <c r="L60" s="48"/>
      <c r="M60" s="48"/>
    </row>
    <row r="61" spans="12:13" x14ac:dyDescent="0.2">
      <c r="L61" s="48"/>
      <c r="M61" s="48"/>
    </row>
    <row r="62" spans="12:13" x14ac:dyDescent="0.2">
      <c r="L62" s="48"/>
      <c r="M62" s="48"/>
    </row>
    <row r="63" spans="12:13" x14ac:dyDescent="0.2">
      <c r="L63" s="48"/>
      <c r="M63" s="48"/>
    </row>
    <row r="64" spans="12:13" x14ac:dyDescent="0.2">
      <c r="L64" s="48"/>
      <c r="M64" s="48"/>
    </row>
    <row r="65" spans="12:13" x14ac:dyDescent="0.2">
      <c r="L65" s="48"/>
      <c r="M65" s="48"/>
    </row>
    <row r="66" spans="12:13" x14ac:dyDescent="0.2">
      <c r="L66" s="48"/>
      <c r="M66" s="48"/>
    </row>
    <row r="67" spans="12:13" x14ac:dyDescent="0.2">
      <c r="L67" s="48"/>
      <c r="M67" s="48"/>
    </row>
    <row r="68" spans="12:13" x14ac:dyDescent="0.2">
      <c r="L68" s="48"/>
      <c r="M68" s="48"/>
    </row>
    <row r="69" spans="12:13" x14ac:dyDescent="0.2">
      <c r="L69" s="48"/>
      <c r="M69" s="48"/>
    </row>
    <row r="70" spans="12:13" x14ac:dyDescent="0.2">
      <c r="L70" s="48"/>
      <c r="M70" s="48"/>
    </row>
    <row r="71" spans="12:13" x14ac:dyDescent="0.2">
      <c r="L71" s="48"/>
      <c r="M71" s="48"/>
    </row>
    <row r="72" spans="12:13" x14ac:dyDescent="0.2">
      <c r="L72" s="48"/>
      <c r="M72" s="48"/>
    </row>
    <row r="73" spans="12:13" x14ac:dyDescent="0.2">
      <c r="L73" s="48"/>
      <c r="M73" s="48"/>
    </row>
    <row r="74" spans="12:13" x14ac:dyDescent="0.2">
      <c r="L74" s="48"/>
      <c r="M74" s="48"/>
    </row>
    <row r="75" spans="12:13" x14ac:dyDescent="0.2">
      <c r="L75" s="48"/>
      <c r="M75" s="48"/>
    </row>
    <row r="76" spans="12:13" x14ac:dyDescent="0.2">
      <c r="L76" s="48"/>
      <c r="M76" s="48"/>
    </row>
    <row r="77" spans="12:13" x14ac:dyDescent="0.2">
      <c r="L77" s="48"/>
      <c r="M77" s="48"/>
    </row>
    <row r="78" spans="12:13" x14ac:dyDescent="0.2">
      <c r="L78" s="48"/>
      <c r="M78" s="48"/>
    </row>
    <row r="79" spans="12:13" x14ac:dyDescent="0.2">
      <c r="L79" s="48"/>
      <c r="M79" s="48"/>
    </row>
    <row r="80" spans="12:13" x14ac:dyDescent="0.2">
      <c r="L80" s="48"/>
      <c r="M80" s="48"/>
    </row>
    <row r="81" spans="12:13" x14ac:dyDescent="0.2">
      <c r="L81" s="48"/>
      <c r="M81" s="48"/>
    </row>
    <row r="82" spans="12:13" x14ac:dyDescent="0.2">
      <c r="L82" s="48"/>
      <c r="M82" s="48"/>
    </row>
    <row r="83" spans="12:13" x14ac:dyDescent="0.2">
      <c r="L83" s="48"/>
      <c r="M83" s="48"/>
    </row>
    <row r="84" spans="12:13" x14ac:dyDescent="0.2">
      <c r="L84" s="48"/>
      <c r="M84" s="48"/>
    </row>
    <row r="85" spans="12:13" x14ac:dyDescent="0.2">
      <c r="L85" s="48"/>
      <c r="M85" s="48"/>
    </row>
    <row r="86" spans="12:13" x14ac:dyDescent="0.2">
      <c r="L86" s="48"/>
      <c r="M86" s="48"/>
    </row>
    <row r="87" spans="12:13" x14ac:dyDescent="0.2">
      <c r="L87" s="48"/>
      <c r="M87" s="48"/>
    </row>
    <row r="88" spans="12:13" x14ac:dyDescent="0.2">
      <c r="L88" s="48"/>
      <c r="M88" s="48"/>
    </row>
    <row r="89" spans="12:13" x14ac:dyDescent="0.2">
      <c r="L89" s="48"/>
      <c r="M89" s="48"/>
    </row>
    <row r="90" spans="12:13" x14ac:dyDescent="0.2">
      <c r="L90" s="48"/>
      <c r="M90" s="48"/>
    </row>
    <row r="91" spans="12:13" x14ac:dyDescent="0.2">
      <c r="L91" s="48"/>
      <c r="M91" s="48"/>
    </row>
    <row r="92" spans="12:13" x14ac:dyDescent="0.2">
      <c r="L92" s="48"/>
      <c r="M92" s="48"/>
    </row>
    <row r="93" spans="12:13" x14ac:dyDescent="0.2">
      <c r="L93" s="48"/>
      <c r="M93" s="48"/>
    </row>
    <row r="94" spans="12:13" x14ac:dyDescent="0.2">
      <c r="L94" s="48"/>
      <c r="M94" s="48"/>
    </row>
    <row r="95" spans="12:13" x14ac:dyDescent="0.2">
      <c r="L95" s="48"/>
      <c r="M95" s="48"/>
    </row>
    <row r="96" spans="12:13" x14ac:dyDescent="0.2">
      <c r="L96" s="48"/>
      <c r="M96" s="48"/>
    </row>
    <row r="97" spans="12:13" x14ac:dyDescent="0.2">
      <c r="L97" s="48"/>
      <c r="M97" s="48"/>
    </row>
    <row r="98" spans="12:13" x14ac:dyDescent="0.2">
      <c r="L98" s="48"/>
      <c r="M98" s="48"/>
    </row>
    <row r="99" spans="12:13" x14ac:dyDescent="0.2">
      <c r="L99" s="48"/>
      <c r="M99" s="48"/>
    </row>
    <row r="100" spans="12:13" x14ac:dyDescent="0.2">
      <c r="L100" s="48"/>
      <c r="M100" s="48"/>
    </row>
    <row r="101" spans="12:13" x14ac:dyDescent="0.2">
      <c r="L101" s="48"/>
      <c r="M101" s="48"/>
    </row>
    <row r="102" spans="12:13" x14ac:dyDescent="0.2">
      <c r="L102" s="48"/>
      <c r="M102" s="48"/>
    </row>
    <row r="103" spans="12:13" x14ac:dyDescent="0.2">
      <c r="L103" s="48"/>
      <c r="M103" s="48"/>
    </row>
    <row r="104" spans="12:13" x14ac:dyDescent="0.2">
      <c r="L104" s="48"/>
      <c r="M104" s="48"/>
    </row>
    <row r="105" spans="12:13" x14ac:dyDescent="0.2">
      <c r="L105" s="48"/>
      <c r="M105" s="48"/>
    </row>
    <row r="106" spans="12:13" x14ac:dyDescent="0.2">
      <c r="L106" s="48"/>
      <c r="M106" s="48"/>
    </row>
    <row r="107" spans="12:13" x14ac:dyDescent="0.2">
      <c r="L107" s="48"/>
      <c r="M107" s="48"/>
    </row>
    <row r="108" spans="12:13" x14ac:dyDescent="0.2">
      <c r="L108" s="48"/>
      <c r="M108" s="48"/>
    </row>
    <row r="109" spans="12:13" x14ac:dyDescent="0.2">
      <c r="L109" s="48"/>
      <c r="M109" s="48"/>
    </row>
    <row r="110" spans="12:13" x14ac:dyDescent="0.2">
      <c r="L110" s="48"/>
      <c r="M110" s="48"/>
    </row>
    <row r="111" spans="12:13" x14ac:dyDescent="0.2">
      <c r="L111" s="48"/>
      <c r="M111" s="48"/>
    </row>
    <row r="112" spans="12:13" x14ac:dyDescent="0.2">
      <c r="L112" s="48"/>
      <c r="M112" s="48"/>
    </row>
    <row r="113" spans="12:13" x14ac:dyDescent="0.2">
      <c r="L113" s="48"/>
      <c r="M113" s="48"/>
    </row>
    <row r="114" spans="12:13" x14ac:dyDescent="0.2">
      <c r="L114" s="48"/>
      <c r="M114" s="48"/>
    </row>
    <row r="115" spans="12:13" x14ac:dyDescent="0.2">
      <c r="L115" s="48"/>
      <c r="M115" s="48"/>
    </row>
    <row r="116" spans="12:13" x14ac:dyDescent="0.2">
      <c r="L116" s="48"/>
      <c r="M116" s="48"/>
    </row>
    <row r="117" spans="12:13" x14ac:dyDescent="0.2">
      <c r="L117" s="48"/>
      <c r="M117" s="48"/>
    </row>
    <row r="118" spans="12:13" x14ac:dyDescent="0.2">
      <c r="L118" s="48"/>
      <c r="M118" s="48"/>
    </row>
    <row r="119" spans="12:13" x14ac:dyDescent="0.2">
      <c r="L119" s="48"/>
      <c r="M119" s="48"/>
    </row>
    <row r="120" spans="12:13" x14ac:dyDescent="0.2">
      <c r="L120" s="48"/>
      <c r="M120" s="48"/>
    </row>
    <row r="121" spans="12:13" x14ac:dyDescent="0.2">
      <c r="L121" s="48"/>
      <c r="M121" s="48"/>
    </row>
    <row r="122" spans="12:13" x14ac:dyDescent="0.2">
      <c r="L122" s="48"/>
      <c r="M122" s="48"/>
    </row>
    <row r="123" spans="12:13" x14ac:dyDescent="0.2">
      <c r="L123" s="48"/>
      <c r="M123" s="48"/>
    </row>
    <row r="124" spans="12:13" x14ac:dyDescent="0.2">
      <c r="L124" s="48"/>
      <c r="M124" s="48"/>
    </row>
    <row r="125" spans="12:13" x14ac:dyDescent="0.2">
      <c r="L125" s="48"/>
      <c r="M125" s="48"/>
    </row>
    <row r="126" spans="12:13" x14ac:dyDescent="0.2">
      <c r="L126" s="48"/>
      <c r="M126" s="48"/>
    </row>
    <row r="127" spans="12:13" x14ac:dyDescent="0.2">
      <c r="L127" s="48"/>
      <c r="M127" s="48"/>
    </row>
    <row r="128" spans="12:13" x14ac:dyDescent="0.2">
      <c r="L128" s="48"/>
      <c r="M128" s="48"/>
    </row>
    <row r="129" spans="12:13" x14ac:dyDescent="0.2">
      <c r="L129" s="48"/>
      <c r="M129" s="48"/>
    </row>
    <row r="130" spans="12:13" x14ac:dyDescent="0.2">
      <c r="L130" s="48"/>
      <c r="M130" s="48"/>
    </row>
    <row r="131" spans="12:13" x14ac:dyDescent="0.2">
      <c r="L131" s="48"/>
      <c r="M131" s="48"/>
    </row>
    <row r="132" spans="12:13" x14ac:dyDescent="0.2">
      <c r="L132" s="48"/>
      <c r="M132" s="48"/>
    </row>
    <row r="133" spans="12:13" x14ac:dyDescent="0.2">
      <c r="L133" s="48"/>
      <c r="M133" s="48"/>
    </row>
    <row r="134" spans="12:13" x14ac:dyDescent="0.2">
      <c r="L134" s="48"/>
      <c r="M134" s="48"/>
    </row>
    <row r="135" spans="12:13" x14ac:dyDescent="0.2">
      <c r="L135" s="48"/>
      <c r="M135" s="48"/>
    </row>
    <row r="136" spans="12:13" x14ac:dyDescent="0.2">
      <c r="L136" s="48"/>
      <c r="M136" s="48"/>
    </row>
    <row r="137" spans="12:13" x14ac:dyDescent="0.2">
      <c r="L137" s="48"/>
      <c r="M137" s="48"/>
    </row>
    <row r="138" spans="12:13" x14ac:dyDescent="0.2">
      <c r="L138" s="48"/>
      <c r="M138" s="48"/>
    </row>
    <row r="139" spans="12:13" x14ac:dyDescent="0.2">
      <c r="L139" s="48"/>
      <c r="M139" s="48"/>
    </row>
    <row r="140" spans="12:13" x14ac:dyDescent="0.2">
      <c r="L140" s="48"/>
      <c r="M140" s="48"/>
    </row>
    <row r="141" spans="12:13" x14ac:dyDescent="0.2">
      <c r="L141" s="48"/>
      <c r="M141" s="48"/>
    </row>
    <row r="142" spans="12:13" x14ac:dyDescent="0.2">
      <c r="L142" s="48"/>
      <c r="M142" s="48"/>
    </row>
    <row r="143" spans="12:13" x14ac:dyDescent="0.2">
      <c r="L143" s="48"/>
      <c r="M143" s="48"/>
    </row>
    <row r="144" spans="12:13" x14ac:dyDescent="0.2">
      <c r="L144" s="48"/>
      <c r="M144" s="48"/>
    </row>
    <row r="145" spans="12:13" x14ac:dyDescent="0.2">
      <c r="L145" s="48"/>
      <c r="M145" s="48"/>
    </row>
    <row r="146" spans="12:13" x14ac:dyDescent="0.2">
      <c r="L146" s="48"/>
      <c r="M146" s="48"/>
    </row>
    <row r="147" spans="12:13" x14ac:dyDescent="0.2">
      <c r="L147" s="48"/>
      <c r="M147" s="48"/>
    </row>
    <row r="148" spans="12:13" x14ac:dyDescent="0.2">
      <c r="L148" s="48"/>
      <c r="M148" s="48"/>
    </row>
    <row r="149" spans="12:13" x14ac:dyDescent="0.2">
      <c r="L149" s="48"/>
      <c r="M149" s="48"/>
    </row>
    <row r="150" spans="12:13" x14ac:dyDescent="0.2">
      <c r="L150" s="48"/>
      <c r="M150" s="48"/>
    </row>
    <row r="151" spans="12:13" x14ac:dyDescent="0.2">
      <c r="L151" s="48"/>
      <c r="M151" s="48"/>
    </row>
    <row r="152" spans="12:13" x14ac:dyDescent="0.2">
      <c r="L152" s="48"/>
      <c r="M152" s="48"/>
    </row>
    <row r="153" spans="12:13" x14ac:dyDescent="0.2">
      <c r="L153" s="48"/>
      <c r="M153" s="48"/>
    </row>
    <row r="154" spans="12:13" x14ac:dyDescent="0.2">
      <c r="L154" s="48"/>
      <c r="M154" s="48"/>
    </row>
    <row r="155" spans="12:13" x14ac:dyDescent="0.2">
      <c r="L155" s="48"/>
      <c r="M155" s="48"/>
    </row>
    <row r="156" spans="12:13" x14ac:dyDescent="0.2">
      <c r="L156" s="48"/>
      <c r="M156" s="48"/>
    </row>
    <row r="157" spans="12:13" x14ac:dyDescent="0.2">
      <c r="L157" s="48"/>
      <c r="M157" s="48"/>
    </row>
    <row r="158" spans="12:13" x14ac:dyDescent="0.2">
      <c r="L158" s="48"/>
      <c r="M158" s="48"/>
    </row>
    <row r="159" spans="12:13" x14ac:dyDescent="0.2">
      <c r="L159" s="48"/>
      <c r="M159" s="48"/>
    </row>
    <row r="160" spans="12:13" x14ac:dyDescent="0.2">
      <c r="L160" s="48"/>
      <c r="M160" s="48"/>
    </row>
    <row r="161" spans="12:13" x14ac:dyDescent="0.2">
      <c r="L161" s="48"/>
      <c r="M161" s="48"/>
    </row>
    <row r="162" spans="12:13" x14ac:dyDescent="0.2">
      <c r="L162" s="48"/>
      <c r="M162" s="48"/>
    </row>
    <row r="163" spans="12:13" x14ac:dyDescent="0.2">
      <c r="L163" s="48"/>
      <c r="M163" s="48"/>
    </row>
    <row r="164" spans="12:13" x14ac:dyDescent="0.2">
      <c r="L164" s="48"/>
      <c r="M164" s="48"/>
    </row>
    <row r="165" spans="12:13" x14ac:dyDescent="0.2">
      <c r="L165" s="48"/>
      <c r="M165" s="48"/>
    </row>
    <row r="166" spans="12:13" x14ac:dyDescent="0.2">
      <c r="L166" s="48"/>
      <c r="M166" s="48"/>
    </row>
    <row r="167" spans="12:13" x14ac:dyDescent="0.2">
      <c r="L167" s="48"/>
      <c r="M167" s="48"/>
    </row>
    <row r="168" spans="12:13" x14ac:dyDescent="0.2">
      <c r="L168" s="48"/>
      <c r="M168" s="48"/>
    </row>
    <row r="169" spans="12:13" x14ac:dyDescent="0.2">
      <c r="L169" s="48"/>
      <c r="M169" s="48"/>
    </row>
    <row r="170" spans="12:13" x14ac:dyDescent="0.2">
      <c r="L170" s="48"/>
      <c r="M170" s="48"/>
    </row>
    <row r="171" spans="12:13" x14ac:dyDescent="0.2">
      <c r="L171" s="48"/>
      <c r="M171" s="48"/>
    </row>
    <row r="172" spans="12:13" x14ac:dyDescent="0.2">
      <c r="L172" s="48"/>
      <c r="M172" s="48"/>
    </row>
    <row r="173" spans="12:13" x14ac:dyDescent="0.2">
      <c r="L173" s="48"/>
      <c r="M173" s="48"/>
    </row>
    <row r="174" spans="12:13" x14ac:dyDescent="0.2">
      <c r="L174" s="48"/>
      <c r="M174" s="48"/>
    </row>
    <row r="175" spans="12:13" x14ac:dyDescent="0.2">
      <c r="L175" s="48"/>
      <c r="M175" s="48"/>
    </row>
    <row r="176" spans="12:13" x14ac:dyDescent="0.2">
      <c r="L176" s="48"/>
      <c r="M176" s="48"/>
    </row>
    <row r="177" spans="12:13" x14ac:dyDescent="0.2">
      <c r="L177" s="48"/>
      <c r="M177" s="48"/>
    </row>
    <row r="178" spans="12:13" x14ac:dyDescent="0.2">
      <c r="L178" s="48"/>
      <c r="M178" s="48"/>
    </row>
    <row r="179" spans="12:13" x14ac:dyDescent="0.2">
      <c r="L179" s="48"/>
      <c r="M179" s="48"/>
    </row>
    <row r="180" spans="12:13" x14ac:dyDescent="0.2">
      <c r="L180" s="48"/>
      <c r="M180" s="48"/>
    </row>
    <row r="181" spans="12:13" x14ac:dyDescent="0.2">
      <c r="L181" s="48"/>
      <c r="M181" s="48"/>
    </row>
    <row r="182" spans="12:13" x14ac:dyDescent="0.2">
      <c r="L182" s="48"/>
      <c r="M182" s="48"/>
    </row>
    <row r="183" spans="12:13" x14ac:dyDescent="0.2">
      <c r="L183" s="48"/>
      <c r="M183" s="48"/>
    </row>
    <row r="184" spans="12:13" x14ac:dyDescent="0.2">
      <c r="L184" s="48"/>
      <c r="M184" s="48"/>
    </row>
    <row r="185" spans="12:13" x14ac:dyDescent="0.2">
      <c r="L185" s="48"/>
      <c r="M185" s="48"/>
    </row>
    <row r="186" spans="12:13" x14ac:dyDescent="0.2">
      <c r="L186" s="48"/>
      <c r="M186" s="48"/>
    </row>
    <row r="187" spans="12:13" x14ac:dyDescent="0.2">
      <c r="L187" s="48"/>
      <c r="M187" s="48"/>
    </row>
    <row r="188" spans="12:13" x14ac:dyDescent="0.2">
      <c r="L188" s="48"/>
      <c r="M188" s="48"/>
    </row>
    <row r="189" spans="12:13" x14ac:dyDescent="0.2">
      <c r="L189" s="48"/>
      <c r="M189" s="48"/>
    </row>
    <row r="190" spans="12:13" x14ac:dyDescent="0.2">
      <c r="L190" s="48"/>
      <c r="M190" s="48"/>
    </row>
    <row r="191" spans="12:13" x14ac:dyDescent="0.2">
      <c r="L191" s="48"/>
      <c r="M191" s="48"/>
    </row>
    <row r="192" spans="12:13" x14ac:dyDescent="0.2">
      <c r="L192" s="48"/>
      <c r="M192" s="48"/>
    </row>
    <row r="193" spans="12:13" x14ac:dyDescent="0.2">
      <c r="L193" s="48"/>
      <c r="M193" s="48"/>
    </row>
    <row r="194" spans="12:13" x14ac:dyDescent="0.2">
      <c r="L194" s="48"/>
      <c r="M194" s="48"/>
    </row>
    <row r="195" spans="12:13" x14ac:dyDescent="0.2">
      <c r="L195" s="48"/>
      <c r="M195" s="48"/>
    </row>
    <row r="196" spans="12:13" x14ac:dyDescent="0.2">
      <c r="L196" s="48"/>
      <c r="M196" s="48"/>
    </row>
    <row r="197" spans="12:13" x14ac:dyDescent="0.2">
      <c r="L197" s="48"/>
      <c r="M197" s="48"/>
    </row>
    <row r="198" spans="12:13" x14ac:dyDescent="0.2">
      <c r="L198" s="48"/>
      <c r="M198" s="48"/>
    </row>
    <row r="199" spans="12:13" x14ac:dyDescent="0.2">
      <c r="L199" s="48"/>
      <c r="M199" s="48"/>
    </row>
    <row r="200" spans="12:13" x14ac:dyDescent="0.2">
      <c r="L200" s="48"/>
      <c r="M200" s="48"/>
    </row>
    <row r="201" spans="12:13" x14ac:dyDescent="0.2">
      <c r="L201" s="48"/>
      <c r="M201" s="48"/>
    </row>
    <row r="202" spans="12:13" x14ac:dyDescent="0.2">
      <c r="L202" s="48"/>
      <c r="M202" s="48"/>
    </row>
    <row r="203" spans="12:13" x14ac:dyDescent="0.2">
      <c r="L203" s="48"/>
      <c r="M203" s="48"/>
    </row>
    <row r="204" spans="12:13" x14ac:dyDescent="0.2">
      <c r="L204" s="48"/>
      <c r="M204" s="48"/>
    </row>
    <row r="205" spans="12:13" x14ac:dyDescent="0.2">
      <c r="L205" s="48"/>
      <c r="M205" s="48"/>
    </row>
    <row r="206" spans="12:13" x14ac:dyDescent="0.2">
      <c r="L206" s="48"/>
      <c r="M206" s="48"/>
    </row>
    <row r="207" spans="12:13" x14ac:dyDescent="0.2">
      <c r="L207" s="48"/>
      <c r="M207" s="48"/>
    </row>
    <row r="208" spans="12:13" x14ac:dyDescent="0.2">
      <c r="L208" s="48"/>
      <c r="M208" s="48"/>
    </row>
    <row r="209" spans="12:13" x14ac:dyDescent="0.2">
      <c r="L209" s="48"/>
      <c r="M209" s="48"/>
    </row>
    <row r="210" spans="12:13" x14ac:dyDescent="0.2">
      <c r="L210" s="48"/>
      <c r="M210" s="48"/>
    </row>
    <row r="211" spans="12:13" x14ac:dyDescent="0.2">
      <c r="L211" s="48"/>
      <c r="M211" s="48"/>
    </row>
    <row r="212" spans="12:13" x14ac:dyDescent="0.2">
      <c r="L212" s="48"/>
      <c r="M212" s="48"/>
    </row>
    <row r="213" spans="12:13" x14ac:dyDescent="0.2">
      <c r="L213" s="48"/>
      <c r="M213" s="48"/>
    </row>
    <row r="214" spans="12:13" x14ac:dyDescent="0.2">
      <c r="L214" s="48"/>
      <c r="M214" s="48"/>
    </row>
    <row r="215" spans="12:13" x14ac:dyDescent="0.2">
      <c r="L215" s="48"/>
      <c r="M215" s="48"/>
    </row>
    <row r="216" spans="12:13" x14ac:dyDescent="0.2">
      <c r="L216" s="48"/>
      <c r="M216" s="48"/>
    </row>
    <row r="217" spans="12:13" x14ac:dyDescent="0.2">
      <c r="L217" s="48"/>
      <c r="M217" s="48"/>
    </row>
    <row r="218" spans="12:13" x14ac:dyDescent="0.2">
      <c r="L218" s="48"/>
      <c r="M218" s="48"/>
    </row>
    <row r="219" spans="12:13" x14ac:dyDescent="0.2">
      <c r="L219" s="48"/>
      <c r="M219" s="48"/>
    </row>
    <row r="220" spans="12:13" x14ac:dyDescent="0.2">
      <c r="L220" s="48"/>
      <c r="M220" s="48"/>
    </row>
    <row r="221" spans="12:13" x14ac:dyDescent="0.2">
      <c r="L221" s="48"/>
      <c r="M221" s="48"/>
    </row>
    <row r="222" spans="12:13" x14ac:dyDescent="0.2">
      <c r="L222" s="48"/>
      <c r="M222" s="48"/>
    </row>
    <row r="223" spans="12:13" x14ac:dyDescent="0.2">
      <c r="L223" s="48"/>
      <c r="M223" s="48"/>
    </row>
    <row r="224" spans="12:13" x14ac:dyDescent="0.2">
      <c r="L224" s="48"/>
      <c r="M224" s="48"/>
    </row>
    <row r="225" spans="12:13" x14ac:dyDescent="0.2">
      <c r="L225" s="48"/>
      <c r="M225" s="48"/>
    </row>
    <row r="226" spans="12:13" x14ac:dyDescent="0.2">
      <c r="L226" s="48"/>
      <c r="M226" s="48"/>
    </row>
    <row r="227" spans="12:13" x14ac:dyDescent="0.2">
      <c r="L227" s="48"/>
      <c r="M227" s="48"/>
    </row>
    <row r="228" spans="12:13" x14ac:dyDescent="0.2">
      <c r="L228" s="48"/>
      <c r="M228" s="48"/>
    </row>
    <row r="229" spans="12:13" x14ac:dyDescent="0.2">
      <c r="L229" s="48"/>
      <c r="M229" s="48"/>
    </row>
    <row r="230" spans="12:13" x14ac:dyDescent="0.2">
      <c r="L230" s="48"/>
      <c r="M230" s="48"/>
    </row>
    <row r="231" spans="12:13" x14ac:dyDescent="0.2">
      <c r="L231" s="48"/>
      <c r="M231" s="48"/>
    </row>
    <row r="232" spans="12:13" x14ac:dyDescent="0.2">
      <c r="L232" s="48"/>
      <c r="M232" s="48"/>
    </row>
    <row r="233" spans="12:13" x14ac:dyDescent="0.2">
      <c r="L233" s="48"/>
      <c r="M233" s="48"/>
    </row>
    <row r="234" spans="12:13" x14ac:dyDescent="0.2">
      <c r="L234" s="48"/>
      <c r="M234" s="48"/>
    </row>
    <row r="235" spans="12:13" x14ac:dyDescent="0.2">
      <c r="L235" s="48"/>
      <c r="M235" s="48"/>
    </row>
    <row r="236" spans="12:13" x14ac:dyDescent="0.2">
      <c r="L236" s="48"/>
      <c r="M236" s="48"/>
    </row>
    <row r="237" spans="12:13" x14ac:dyDescent="0.2">
      <c r="L237" s="48"/>
      <c r="M237" s="48"/>
    </row>
    <row r="238" spans="12:13" x14ac:dyDescent="0.2">
      <c r="L238" s="48"/>
      <c r="M238" s="48"/>
    </row>
    <row r="239" spans="12:13" x14ac:dyDescent="0.2">
      <c r="L239" s="48"/>
      <c r="M239" s="48"/>
    </row>
    <row r="240" spans="12:13" x14ac:dyDescent="0.2">
      <c r="L240" s="48"/>
      <c r="M240" s="48"/>
    </row>
    <row r="241" spans="12:13" x14ac:dyDescent="0.2">
      <c r="L241" s="48"/>
      <c r="M241" s="48"/>
    </row>
    <row r="242" spans="12:13" x14ac:dyDescent="0.2">
      <c r="L242" s="48"/>
      <c r="M242" s="48"/>
    </row>
    <row r="243" spans="12:13" x14ac:dyDescent="0.2">
      <c r="L243" s="48"/>
      <c r="M243" s="48"/>
    </row>
    <row r="244" spans="12:13" x14ac:dyDescent="0.2">
      <c r="L244" s="48"/>
      <c r="M244" s="48"/>
    </row>
    <row r="245" spans="12:13" x14ac:dyDescent="0.2">
      <c r="L245" s="48"/>
      <c r="M245" s="48"/>
    </row>
    <row r="246" spans="12:13" x14ac:dyDescent="0.2">
      <c r="L246" s="48"/>
      <c r="M246" s="48"/>
    </row>
    <row r="247" spans="12:13" x14ac:dyDescent="0.2">
      <c r="L247" s="48"/>
      <c r="M247" s="48"/>
    </row>
    <row r="248" spans="12:13" x14ac:dyDescent="0.2">
      <c r="L248" s="48"/>
      <c r="M248" s="48"/>
    </row>
    <row r="249" spans="12:13" x14ac:dyDescent="0.2">
      <c r="L249" s="48"/>
      <c r="M249" s="48"/>
    </row>
    <row r="250" spans="12:13" x14ac:dyDescent="0.2">
      <c r="L250" s="48"/>
      <c r="M250" s="48"/>
    </row>
    <row r="251" spans="12:13" x14ac:dyDescent="0.2">
      <c r="L251" s="48"/>
      <c r="M251" s="48"/>
    </row>
    <row r="252" spans="12:13" x14ac:dyDescent="0.2">
      <c r="L252" s="48"/>
      <c r="M252" s="48"/>
    </row>
    <row r="253" spans="12:13" x14ac:dyDescent="0.2">
      <c r="L253" s="48"/>
      <c r="M253" s="48"/>
    </row>
    <row r="254" spans="12:13" x14ac:dyDescent="0.2">
      <c r="L254" s="48"/>
      <c r="M254" s="48"/>
    </row>
    <row r="255" spans="12:13" x14ac:dyDescent="0.2">
      <c r="L255" s="48"/>
      <c r="M255" s="48"/>
    </row>
    <row r="256" spans="12:13" x14ac:dyDescent="0.2">
      <c r="L256" s="48"/>
      <c r="M256" s="48"/>
    </row>
    <row r="257" spans="12:13" x14ac:dyDescent="0.2">
      <c r="L257" s="48"/>
      <c r="M257" s="48"/>
    </row>
    <row r="258" spans="12:13" x14ac:dyDescent="0.2">
      <c r="L258" s="48"/>
      <c r="M258" s="48"/>
    </row>
    <row r="259" spans="12:13" x14ac:dyDescent="0.2">
      <c r="L259" s="48"/>
      <c r="M259" s="48"/>
    </row>
    <row r="260" spans="12:13" x14ac:dyDescent="0.2">
      <c r="L260" s="48"/>
      <c r="M260" s="48"/>
    </row>
    <row r="261" spans="12:13" x14ac:dyDescent="0.2">
      <c r="L261" s="48"/>
      <c r="M261" s="48"/>
    </row>
    <row r="262" spans="12:13" x14ac:dyDescent="0.2">
      <c r="L262" s="48"/>
      <c r="M262" s="48"/>
    </row>
    <row r="263" spans="12:13" x14ac:dyDescent="0.2">
      <c r="L263" s="48"/>
      <c r="M263" s="48"/>
    </row>
    <row r="264" spans="12:13" x14ac:dyDescent="0.2">
      <c r="L264" s="48"/>
      <c r="M264" s="48"/>
    </row>
    <row r="265" spans="12:13" x14ac:dyDescent="0.2">
      <c r="L265" s="48"/>
      <c r="M265" s="48"/>
    </row>
    <row r="266" spans="12:13" x14ac:dyDescent="0.2">
      <c r="L266" s="48"/>
      <c r="M266" s="48"/>
    </row>
    <row r="267" spans="12:13" x14ac:dyDescent="0.2">
      <c r="L267" s="48"/>
      <c r="M267" s="48"/>
    </row>
    <row r="268" spans="12:13" x14ac:dyDescent="0.2">
      <c r="L268" s="48"/>
      <c r="M268" s="48"/>
    </row>
    <row r="269" spans="12:13" x14ac:dyDescent="0.2">
      <c r="L269" s="48"/>
      <c r="M269" s="48"/>
    </row>
    <row r="270" spans="12:13" x14ac:dyDescent="0.2">
      <c r="L270" s="48"/>
      <c r="M270" s="48"/>
    </row>
    <row r="271" spans="12:13" x14ac:dyDescent="0.2">
      <c r="L271" s="48"/>
      <c r="M271" s="48"/>
    </row>
    <row r="272" spans="12:13" x14ac:dyDescent="0.2">
      <c r="L272" s="48"/>
      <c r="M272" s="48"/>
    </row>
    <row r="273" spans="12:13" x14ac:dyDescent="0.2">
      <c r="L273" s="48"/>
      <c r="M273" s="48"/>
    </row>
    <row r="274" spans="12:13" x14ac:dyDescent="0.2">
      <c r="L274" s="48"/>
      <c r="M274" s="48"/>
    </row>
    <row r="275" spans="12:13" x14ac:dyDescent="0.2">
      <c r="L275" s="48"/>
      <c r="M275" s="48"/>
    </row>
    <row r="276" spans="12:13" x14ac:dyDescent="0.2">
      <c r="L276" s="48"/>
      <c r="M276" s="48"/>
    </row>
    <row r="277" spans="12:13" x14ac:dyDescent="0.2">
      <c r="L277" s="48"/>
      <c r="M277" s="48"/>
    </row>
    <row r="278" spans="12:13" x14ac:dyDescent="0.2">
      <c r="L278" s="48"/>
      <c r="M278" s="48"/>
    </row>
    <row r="279" spans="12:13" x14ac:dyDescent="0.2">
      <c r="L279" s="48"/>
      <c r="M279" s="48"/>
    </row>
    <row r="280" spans="12:13" x14ac:dyDescent="0.2">
      <c r="L280" s="48"/>
      <c r="M280" s="48"/>
    </row>
    <row r="281" spans="12:13" x14ac:dyDescent="0.2">
      <c r="L281" s="48"/>
      <c r="M281" s="48"/>
    </row>
    <row r="282" spans="12:13" x14ac:dyDescent="0.2">
      <c r="L282" s="48"/>
      <c r="M282" s="48"/>
    </row>
    <row r="283" spans="12:13" x14ac:dyDescent="0.2">
      <c r="L283" s="48"/>
      <c r="M283" s="48"/>
    </row>
    <row r="284" spans="12:13" x14ac:dyDescent="0.2">
      <c r="L284" s="48"/>
      <c r="M284" s="48"/>
    </row>
    <row r="285" spans="12:13" x14ac:dyDescent="0.2">
      <c r="L285" s="48"/>
      <c r="M285" s="48"/>
    </row>
    <row r="286" spans="12:13" x14ac:dyDescent="0.2">
      <c r="L286" s="48"/>
      <c r="M286" s="48"/>
    </row>
    <row r="287" spans="12:13" x14ac:dyDescent="0.2">
      <c r="L287" s="48"/>
      <c r="M287" s="48"/>
    </row>
    <row r="288" spans="12:13" x14ac:dyDescent="0.2">
      <c r="L288" s="48"/>
      <c r="M288" s="48"/>
    </row>
    <row r="289" spans="12:13" x14ac:dyDescent="0.2">
      <c r="L289" s="48"/>
      <c r="M289" s="48"/>
    </row>
    <row r="290" spans="12:13" x14ac:dyDescent="0.2">
      <c r="L290" s="48"/>
      <c r="M290" s="48"/>
    </row>
    <row r="291" spans="12:13" x14ac:dyDescent="0.2">
      <c r="L291" s="48"/>
      <c r="M291" s="48"/>
    </row>
    <row r="292" spans="12:13" x14ac:dyDescent="0.2">
      <c r="L292" s="48"/>
      <c r="M292" s="48"/>
    </row>
    <row r="293" spans="12:13" x14ac:dyDescent="0.2">
      <c r="L293" s="48"/>
      <c r="M293" s="48"/>
    </row>
    <row r="294" spans="12:13" x14ac:dyDescent="0.2">
      <c r="L294" s="48"/>
      <c r="M294" s="48"/>
    </row>
    <row r="295" spans="12:13" x14ac:dyDescent="0.2">
      <c r="L295" s="48"/>
      <c r="M295" s="48"/>
    </row>
    <row r="296" spans="12:13" x14ac:dyDescent="0.2">
      <c r="L296" s="48"/>
      <c r="M296" s="48"/>
    </row>
    <row r="297" spans="12:13" x14ac:dyDescent="0.2">
      <c r="L297" s="48"/>
      <c r="M297" s="48"/>
    </row>
    <row r="298" spans="12:13" x14ac:dyDescent="0.2">
      <c r="L298" s="48"/>
      <c r="M298" s="48"/>
    </row>
    <row r="299" spans="12:13" x14ac:dyDescent="0.2">
      <c r="L299" s="48"/>
      <c r="M299" s="48"/>
    </row>
    <row r="300" spans="12:13" x14ac:dyDescent="0.2">
      <c r="L300" s="48"/>
      <c r="M300" s="48"/>
    </row>
    <row r="301" spans="12:13" x14ac:dyDescent="0.2">
      <c r="L301" s="48"/>
      <c r="M301" s="48"/>
    </row>
    <row r="302" spans="12:13" x14ac:dyDescent="0.2">
      <c r="L302" s="48"/>
      <c r="M302" s="48"/>
    </row>
    <row r="303" spans="12:13" x14ac:dyDescent="0.2">
      <c r="L303" s="48"/>
      <c r="M303" s="48"/>
    </row>
    <row r="304" spans="12:13" x14ac:dyDescent="0.2">
      <c r="L304" s="48"/>
      <c r="M304" s="48"/>
    </row>
    <row r="305" spans="12:13" x14ac:dyDescent="0.2">
      <c r="L305" s="48"/>
      <c r="M305" s="48"/>
    </row>
    <row r="306" spans="12:13" x14ac:dyDescent="0.2">
      <c r="L306" s="48"/>
      <c r="M306" s="48"/>
    </row>
    <row r="307" spans="12:13" x14ac:dyDescent="0.2">
      <c r="L307" s="48"/>
      <c r="M307" s="48"/>
    </row>
    <row r="308" spans="12:13" x14ac:dyDescent="0.2">
      <c r="L308" s="48"/>
      <c r="M308" s="48"/>
    </row>
    <row r="309" spans="12:13" x14ac:dyDescent="0.2">
      <c r="L309" s="48"/>
      <c r="M309" s="48"/>
    </row>
    <row r="310" spans="12:13" x14ac:dyDescent="0.2">
      <c r="L310" s="48"/>
      <c r="M310" s="48"/>
    </row>
    <row r="311" spans="12:13" x14ac:dyDescent="0.2">
      <c r="L311" s="48"/>
      <c r="M311" s="48"/>
    </row>
    <row r="312" spans="12:13" x14ac:dyDescent="0.2">
      <c r="L312" s="48"/>
      <c r="M312" s="48"/>
    </row>
    <row r="313" spans="12:13" x14ac:dyDescent="0.2">
      <c r="L313" s="48"/>
      <c r="M313" s="48"/>
    </row>
    <row r="314" spans="12:13" x14ac:dyDescent="0.2">
      <c r="L314" s="48"/>
      <c r="M314" s="48"/>
    </row>
    <row r="315" spans="12:13" x14ac:dyDescent="0.2">
      <c r="L315" s="48"/>
      <c r="M315" s="48"/>
    </row>
    <row r="316" spans="12:13" x14ac:dyDescent="0.2">
      <c r="L316" s="48"/>
      <c r="M316" s="48"/>
    </row>
    <row r="317" spans="12:13" x14ac:dyDescent="0.2">
      <c r="L317" s="48"/>
      <c r="M317" s="48"/>
    </row>
    <row r="318" spans="12:13" x14ac:dyDescent="0.2">
      <c r="L318" s="48"/>
      <c r="M318" s="48"/>
    </row>
    <row r="319" spans="12:13" x14ac:dyDescent="0.2">
      <c r="L319" s="48"/>
      <c r="M319" s="48"/>
    </row>
    <row r="320" spans="12:13" x14ac:dyDescent="0.2">
      <c r="L320" s="48"/>
      <c r="M320" s="48"/>
    </row>
    <row r="321" spans="12:13" x14ac:dyDescent="0.2">
      <c r="L321" s="48"/>
      <c r="M321" s="48"/>
    </row>
    <row r="322" spans="12:13" x14ac:dyDescent="0.2">
      <c r="L322" s="48"/>
      <c r="M322" s="48"/>
    </row>
    <row r="323" spans="12:13" x14ac:dyDescent="0.2">
      <c r="L323" s="48"/>
      <c r="M323" s="48"/>
    </row>
    <row r="324" spans="12:13" x14ac:dyDescent="0.2">
      <c r="L324" s="48"/>
      <c r="M324" s="48"/>
    </row>
    <row r="325" spans="12:13" x14ac:dyDescent="0.2">
      <c r="L325" s="48"/>
      <c r="M325" s="48"/>
    </row>
    <row r="326" spans="12:13" x14ac:dyDescent="0.2">
      <c r="L326" s="48"/>
      <c r="M326" s="48"/>
    </row>
    <row r="327" spans="12:13" x14ac:dyDescent="0.2">
      <c r="L327" s="48"/>
      <c r="M327" s="48"/>
    </row>
    <row r="328" spans="12:13" x14ac:dyDescent="0.2">
      <c r="L328" s="48"/>
      <c r="M328" s="48"/>
    </row>
    <row r="329" spans="12:13" x14ac:dyDescent="0.2">
      <c r="L329" s="48"/>
      <c r="M329" s="48"/>
    </row>
    <row r="330" spans="12:13" x14ac:dyDescent="0.2">
      <c r="L330" s="48"/>
      <c r="M330" s="48"/>
    </row>
    <row r="331" spans="12:13" x14ac:dyDescent="0.2">
      <c r="L331" s="48"/>
      <c r="M331" s="48"/>
    </row>
    <row r="332" spans="12:13" x14ac:dyDescent="0.2">
      <c r="L332" s="48"/>
      <c r="M332" s="48"/>
    </row>
    <row r="333" spans="12:13" x14ac:dyDescent="0.2">
      <c r="L333" s="48"/>
      <c r="M333" s="48"/>
    </row>
    <row r="334" spans="12:13" x14ac:dyDescent="0.2">
      <c r="L334" s="48"/>
      <c r="M334" s="48"/>
    </row>
    <row r="335" spans="12:13" x14ac:dyDescent="0.2">
      <c r="L335" s="48"/>
      <c r="M335" s="48"/>
    </row>
    <row r="336" spans="12:13" x14ac:dyDescent="0.2">
      <c r="L336" s="48"/>
      <c r="M336" s="48"/>
    </row>
    <row r="337" spans="12:13" x14ac:dyDescent="0.2">
      <c r="L337" s="48"/>
      <c r="M337" s="48"/>
    </row>
    <row r="338" spans="12:13" x14ac:dyDescent="0.2">
      <c r="L338" s="48"/>
      <c r="M338" s="48"/>
    </row>
    <row r="339" spans="12:13" x14ac:dyDescent="0.2">
      <c r="L339" s="48"/>
      <c r="M339" s="48"/>
    </row>
    <row r="340" spans="12:13" x14ac:dyDescent="0.2">
      <c r="L340" s="48"/>
      <c r="M340" s="48"/>
    </row>
    <row r="341" spans="12:13" x14ac:dyDescent="0.2">
      <c r="L341" s="48"/>
      <c r="M341" s="48"/>
    </row>
    <row r="342" spans="12:13" x14ac:dyDescent="0.2">
      <c r="L342" s="48"/>
      <c r="M342" s="48"/>
    </row>
    <row r="343" spans="12:13" x14ac:dyDescent="0.2">
      <c r="L343" s="48"/>
      <c r="M343" s="48"/>
    </row>
    <row r="344" spans="12:13" x14ac:dyDescent="0.2">
      <c r="L344" s="48"/>
      <c r="M344" s="48"/>
    </row>
    <row r="345" spans="12:13" x14ac:dyDescent="0.2">
      <c r="L345" s="48"/>
      <c r="M345" s="48"/>
    </row>
    <row r="346" spans="12:13" x14ac:dyDescent="0.2">
      <c r="L346" s="48"/>
      <c r="M346" s="48"/>
    </row>
    <row r="347" spans="12:13" x14ac:dyDescent="0.2">
      <c r="L347" s="48"/>
      <c r="M347" s="48"/>
    </row>
    <row r="348" spans="12:13" x14ac:dyDescent="0.2">
      <c r="L348" s="48"/>
      <c r="M348" s="48"/>
    </row>
    <row r="349" spans="12:13" x14ac:dyDescent="0.2">
      <c r="L349" s="48"/>
      <c r="M349" s="48"/>
    </row>
    <row r="350" spans="12:13" x14ac:dyDescent="0.2">
      <c r="L350" s="48"/>
      <c r="M350" s="48"/>
    </row>
    <row r="351" spans="12:13" x14ac:dyDescent="0.2">
      <c r="L351" s="48"/>
      <c r="M351" s="48"/>
    </row>
    <row r="352" spans="12:13" x14ac:dyDescent="0.2">
      <c r="L352" s="48"/>
      <c r="M352" s="48"/>
    </row>
    <row r="353" spans="12:13" x14ac:dyDescent="0.2">
      <c r="L353" s="48"/>
      <c r="M353" s="48"/>
    </row>
    <row r="354" spans="12:13" x14ac:dyDescent="0.2">
      <c r="L354" s="48"/>
      <c r="M354" s="48"/>
    </row>
    <row r="355" spans="12:13" x14ac:dyDescent="0.2">
      <c r="L355" s="48"/>
      <c r="M355" s="48"/>
    </row>
    <row r="356" spans="12:13" x14ac:dyDescent="0.2">
      <c r="L356" s="48"/>
      <c r="M356" s="48"/>
    </row>
    <row r="357" spans="12:13" x14ac:dyDescent="0.2">
      <c r="L357" s="48"/>
      <c r="M357" s="48"/>
    </row>
    <row r="358" spans="12:13" x14ac:dyDescent="0.2">
      <c r="L358" s="48"/>
      <c r="M358" s="48"/>
    </row>
    <row r="359" spans="12:13" x14ac:dyDescent="0.2">
      <c r="L359" s="48"/>
      <c r="M359" s="48"/>
    </row>
    <row r="360" spans="12:13" x14ac:dyDescent="0.2">
      <c r="L360" s="48"/>
      <c r="M360" s="48"/>
    </row>
    <row r="361" spans="12:13" x14ac:dyDescent="0.2">
      <c r="L361" s="48"/>
      <c r="M361" s="48"/>
    </row>
    <row r="362" spans="12:13" x14ac:dyDescent="0.2">
      <c r="L362" s="48"/>
      <c r="M362" s="48"/>
    </row>
    <row r="363" spans="12:13" x14ac:dyDescent="0.2">
      <c r="L363" s="48"/>
      <c r="M363" s="48"/>
    </row>
    <row r="364" spans="12:13" x14ac:dyDescent="0.2">
      <c r="L364" s="48"/>
      <c r="M364" s="48"/>
    </row>
    <row r="365" spans="12:13" x14ac:dyDescent="0.2">
      <c r="L365" s="48"/>
      <c r="M365" s="48"/>
    </row>
    <row r="366" spans="12:13" x14ac:dyDescent="0.2">
      <c r="L366" s="48"/>
      <c r="M366" s="48"/>
    </row>
    <row r="367" spans="12:13" x14ac:dyDescent="0.2">
      <c r="L367" s="48"/>
      <c r="M367" s="48"/>
    </row>
    <row r="368" spans="12:13" x14ac:dyDescent="0.2">
      <c r="L368" s="48"/>
      <c r="M368" s="48"/>
    </row>
    <row r="369" spans="12:13" x14ac:dyDescent="0.2">
      <c r="L369" s="48"/>
      <c r="M369" s="48"/>
    </row>
    <row r="370" spans="12:13" x14ac:dyDescent="0.2">
      <c r="L370" s="48"/>
      <c r="M370" s="48"/>
    </row>
    <row r="371" spans="12:13" x14ac:dyDescent="0.2">
      <c r="L371" s="48"/>
      <c r="M371" s="48"/>
    </row>
    <row r="372" spans="12:13" x14ac:dyDescent="0.2">
      <c r="L372" s="48"/>
      <c r="M372" s="48"/>
    </row>
    <row r="373" spans="12:13" x14ac:dyDescent="0.2">
      <c r="L373" s="48"/>
      <c r="M373" s="48"/>
    </row>
    <row r="374" spans="12:13" x14ac:dyDescent="0.2">
      <c r="L374" s="48"/>
      <c r="M374" s="48"/>
    </row>
    <row r="375" spans="12:13" x14ac:dyDescent="0.2">
      <c r="L375" s="48"/>
      <c r="M375" s="48"/>
    </row>
    <row r="376" spans="12:13" x14ac:dyDescent="0.2">
      <c r="L376" s="48"/>
      <c r="M376" s="48"/>
    </row>
    <row r="377" spans="12:13" x14ac:dyDescent="0.2">
      <c r="L377" s="48"/>
      <c r="M377" s="48"/>
    </row>
    <row r="378" spans="12:13" x14ac:dyDescent="0.2">
      <c r="L378" s="48"/>
      <c r="M378" s="48"/>
    </row>
    <row r="379" spans="12:13" x14ac:dyDescent="0.2">
      <c r="L379" s="48"/>
      <c r="M379" s="48"/>
    </row>
    <row r="380" spans="12:13" x14ac:dyDescent="0.2">
      <c r="L380" s="48"/>
      <c r="M380" s="48"/>
    </row>
    <row r="381" spans="12:13" x14ac:dyDescent="0.2">
      <c r="L381" s="48"/>
      <c r="M381" s="48"/>
    </row>
    <row r="382" spans="12:13" x14ac:dyDescent="0.2">
      <c r="L382" s="48"/>
      <c r="M382" s="48"/>
    </row>
    <row r="383" spans="12:13" x14ac:dyDescent="0.2">
      <c r="L383" s="48"/>
      <c r="M383" s="48"/>
    </row>
    <row r="384" spans="12:13" x14ac:dyDescent="0.2">
      <c r="L384" s="48"/>
      <c r="M384" s="48"/>
    </row>
    <row r="385" spans="12:13" x14ac:dyDescent="0.2">
      <c r="L385" s="48"/>
      <c r="M385" s="48"/>
    </row>
    <row r="386" spans="12:13" x14ac:dyDescent="0.2">
      <c r="L386" s="48"/>
      <c r="M386" s="48"/>
    </row>
    <row r="387" spans="12:13" x14ac:dyDescent="0.2">
      <c r="L387" s="48"/>
      <c r="M387" s="48"/>
    </row>
    <row r="388" spans="12:13" x14ac:dyDescent="0.2">
      <c r="L388" s="48"/>
      <c r="M388" s="48"/>
    </row>
    <row r="389" spans="12:13" x14ac:dyDescent="0.2">
      <c r="L389" s="48"/>
      <c r="M389" s="48"/>
    </row>
    <row r="390" spans="12:13" x14ac:dyDescent="0.2">
      <c r="L390" s="48"/>
      <c r="M390" s="48"/>
    </row>
    <row r="391" spans="12:13" x14ac:dyDescent="0.2">
      <c r="L391" s="48"/>
      <c r="M391" s="48"/>
    </row>
    <row r="392" spans="12:13" x14ac:dyDescent="0.2">
      <c r="L392" s="48"/>
      <c r="M392" s="48"/>
    </row>
    <row r="393" spans="12:13" x14ac:dyDescent="0.2">
      <c r="L393" s="48"/>
      <c r="M393" s="48"/>
    </row>
    <row r="394" spans="12:13" x14ac:dyDescent="0.2">
      <c r="L394" s="48"/>
      <c r="M394" s="48"/>
    </row>
    <row r="395" spans="12:13" x14ac:dyDescent="0.2">
      <c r="L395" s="48"/>
      <c r="M395" s="48"/>
    </row>
    <row r="396" spans="12:13" x14ac:dyDescent="0.2">
      <c r="L396" s="48"/>
      <c r="M396" s="48"/>
    </row>
    <row r="397" spans="12:13" x14ac:dyDescent="0.2">
      <c r="L397" s="48"/>
      <c r="M397" s="48"/>
    </row>
    <row r="398" spans="12:13" x14ac:dyDescent="0.2">
      <c r="L398" s="48"/>
      <c r="M398" s="48"/>
    </row>
    <row r="399" spans="12:13" x14ac:dyDescent="0.2">
      <c r="L399" s="48"/>
      <c r="M399" s="48"/>
    </row>
    <row r="400" spans="12:13" x14ac:dyDescent="0.2">
      <c r="L400" s="48"/>
      <c r="M400" s="48"/>
    </row>
    <row r="401" spans="12:13" x14ac:dyDescent="0.2">
      <c r="L401" s="48"/>
      <c r="M401" s="48"/>
    </row>
    <row r="402" spans="12:13" x14ac:dyDescent="0.2">
      <c r="L402" s="48"/>
      <c r="M402" s="48"/>
    </row>
    <row r="403" spans="12:13" x14ac:dyDescent="0.2">
      <c r="L403" s="48"/>
      <c r="M403" s="48"/>
    </row>
    <row r="404" spans="12:13" x14ac:dyDescent="0.2">
      <c r="L404" s="48"/>
      <c r="M404" s="48"/>
    </row>
    <row r="405" spans="12:13" x14ac:dyDescent="0.2">
      <c r="L405" s="48"/>
      <c r="M405" s="48"/>
    </row>
    <row r="406" spans="12:13" x14ac:dyDescent="0.2">
      <c r="L406" s="48"/>
      <c r="M406" s="48"/>
    </row>
    <row r="407" spans="12:13" x14ac:dyDescent="0.2">
      <c r="L407" s="48"/>
      <c r="M407" s="48"/>
    </row>
    <row r="408" spans="12:13" x14ac:dyDescent="0.2">
      <c r="L408" s="48"/>
      <c r="M408" s="48"/>
    </row>
    <row r="409" spans="12:13" x14ac:dyDescent="0.2">
      <c r="L409" s="48"/>
      <c r="M409" s="48"/>
    </row>
    <row r="410" spans="12:13" x14ac:dyDescent="0.2">
      <c r="L410" s="48"/>
      <c r="M410" s="48"/>
    </row>
    <row r="411" spans="12:13" x14ac:dyDescent="0.2">
      <c r="L411" s="48"/>
      <c r="M411" s="48"/>
    </row>
    <row r="412" spans="12:13" x14ac:dyDescent="0.2">
      <c r="L412" s="48"/>
      <c r="M412" s="48"/>
    </row>
    <row r="413" spans="12:13" x14ac:dyDescent="0.2">
      <c r="L413" s="48"/>
      <c r="M413" s="48"/>
    </row>
    <row r="414" spans="12:13" x14ac:dyDescent="0.2">
      <c r="L414" s="48"/>
      <c r="M414" s="48"/>
    </row>
    <row r="415" spans="12:13" x14ac:dyDescent="0.2">
      <c r="L415" s="48"/>
      <c r="M415" s="48"/>
    </row>
    <row r="416" spans="12:13" x14ac:dyDescent="0.2">
      <c r="L416" s="48"/>
      <c r="M416" s="48"/>
    </row>
    <row r="417" spans="12:13" x14ac:dyDescent="0.2">
      <c r="L417" s="48"/>
      <c r="M417" s="48"/>
    </row>
    <row r="418" spans="12:13" x14ac:dyDescent="0.2">
      <c r="L418" s="48"/>
      <c r="M418" s="48"/>
    </row>
    <row r="419" spans="12:13" x14ac:dyDescent="0.2">
      <c r="L419" s="48"/>
      <c r="M419" s="48"/>
    </row>
    <row r="420" spans="12:13" x14ac:dyDescent="0.2">
      <c r="L420" s="48"/>
      <c r="M420" s="48"/>
    </row>
    <row r="421" spans="12:13" x14ac:dyDescent="0.2">
      <c r="L421" s="48"/>
      <c r="M421" s="48"/>
    </row>
    <row r="422" spans="12:13" x14ac:dyDescent="0.2">
      <c r="L422" s="48"/>
      <c r="M422" s="48"/>
    </row>
    <row r="423" spans="12:13" x14ac:dyDescent="0.2">
      <c r="L423" s="48"/>
      <c r="M423" s="48"/>
    </row>
    <row r="424" spans="12:13" x14ac:dyDescent="0.2">
      <c r="L424" s="48"/>
      <c r="M424" s="48"/>
    </row>
    <row r="425" spans="12:13" x14ac:dyDescent="0.2">
      <c r="L425" s="48"/>
      <c r="M425" s="48"/>
    </row>
    <row r="426" spans="12:13" x14ac:dyDescent="0.2">
      <c r="L426" s="48"/>
      <c r="M426" s="48"/>
    </row>
    <row r="427" spans="12:13" x14ac:dyDescent="0.2">
      <c r="L427" s="48"/>
      <c r="M427" s="48"/>
    </row>
    <row r="428" spans="12:13" x14ac:dyDescent="0.2">
      <c r="L428" s="48"/>
      <c r="M428" s="48"/>
    </row>
    <row r="429" spans="12:13" x14ac:dyDescent="0.2">
      <c r="L429" s="48"/>
      <c r="M429" s="48"/>
    </row>
    <row r="430" spans="12:13" x14ac:dyDescent="0.2">
      <c r="L430" s="48"/>
      <c r="M430" s="48"/>
    </row>
    <row r="431" spans="12:13" x14ac:dyDescent="0.2">
      <c r="L431" s="48"/>
      <c r="M431" s="48"/>
    </row>
    <row r="432" spans="12:13" x14ac:dyDescent="0.2">
      <c r="L432" s="48"/>
      <c r="M432" s="48"/>
    </row>
    <row r="433" spans="12:13" x14ac:dyDescent="0.2">
      <c r="L433" s="48"/>
      <c r="M433" s="48"/>
    </row>
    <row r="434" spans="12:13" x14ac:dyDescent="0.2">
      <c r="L434" s="48"/>
      <c r="M434" s="48"/>
    </row>
    <row r="435" spans="12:13" x14ac:dyDescent="0.2">
      <c r="L435" s="48"/>
      <c r="M435" s="48"/>
    </row>
    <row r="436" spans="12:13" x14ac:dyDescent="0.2">
      <c r="L436" s="48"/>
      <c r="M436" s="48"/>
    </row>
    <row r="437" spans="12:13" x14ac:dyDescent="0.2">
      <c r="L437" s="48"/>
      <c r="M437" s="48"/>
    </row>
    <row r="438" spans="12:13" x14ac:dyDescent="0.2">
      <c r="L438" s="48"/>
      <c r="M438" s="48"/>
    </row>
    <row r="439" spans="12:13" x14ac:dyDescent="0.2">
      <c r="L439" s="48"/>
      <c r="M439" s="48"/>
    </row>
    <row r="440" spans="12:13" x14ac:dyDescent="0.2">
      <c r="L440" s="48"/>
      <c r="M440" s="48"/>
    </row>
    <row r="441" spans="12:13" x14ac:dyDescent="0.2">
      <c r="L441" s="48"/>
      <c r="M441" s="48"/>
    </row>
    <row r="442" spans="12:13" x14ac:dyDescent="0.2">
      <c r="L442" s="48"/>
      <c r="M442" s="48"/>
    </row>
    <row r="443" spans="12:13" x14ac:dyDescent="0.2">
      <c r="L443" s="48"/>
      <c r="M443" s="48"/>
    </row>
    <row r="444" spans="12:13" x14ac:dyDescent="0.2">
      <c r="L444" s="48"/>
      <c r="M444" s="48"/>
    </row>
    <row r="445" spans="12:13" x14ac:dyDescent="0.2">
      <c r="L445" s="48"/>
      <c r="M445" s="48"/>
    </row>
    <row r="446" spans="12:13" x14ac:dyDescent="0.2">
      <c r="L446" s="48"/>
      <c r="M446" s="48"/>
    </row>
    <row r="447" spans="12:13" x14ac:dyDescent="0.2">
      <c r="L447" s="48"/>
      <c r="M447" s="48"/>
    </row>
    <row r="448" spans="12:13" x14ac:dyDescent="0.2">
      <c r="L448" s="48"/>
      <c r="M448" s="48"/>
    </row>
    <row r="449" spans="12:13" x14ac:dyDescent="0.2">
      <c r="L449" s="48"/>
      <c r="M449" s="48"/>
    </row>
    <row r="450" spans="12:13" x14ac:dyDescent="0.2">
      <c r="L450" s="48"/>
      <c r="M450" s="48"/>
    </row>
    <row r="451" spans="12:13" x14ac:dyDescent="0.2">
      <c r="L451" s="48"/>
      <c r="M451" s="48"/>
    </row>
    <row r="452" spans="12:13" x14ac:dyDescent="0.2">
      <c r="L452" s="48"/>
      <c r="M452" s="48"/>
    </row>
    <row r="453" spans="12:13" x14ac:dyDescent="0.2">
      <c r="L453" s="48"/>
      <c r="M453" s="48"/>
    </row>
    <row r="454" spans="12:13" x14ac:dyDescent="0.2">
      <c r="L454" s="48"/>
      <c r="M454" s="48"/>
    </row>
    <row r="455" spans="12:13" x14ac:dyDescent="0.2">
      <c r="L455" s="48"/>
      <c r="M455" s="48"/>
    </row>
    <row r="456" spans="12:13" x14ac:dyDescent="0.2">
      <c r="L456" s="48"/>
      <c r="M456" s="48"/>
    </row>
    <row r="457" spans="12:13" x14ac:dyDescent="0.2">
      <c r="L457" s="48"/>
      <c r="M457" s="48"/>
    </row>
    <row r="458" spans="12:13" x14ac:dyDescent="0.2">
      <c r="L458" s="48"/>
      <c r="M458" s="48"/>
    </row>
    <row r="459" spans="12:13" x14ac:dyDescent="0.2">
      <c r="L459" s="48"/>
      <c r="M459" s="48"/>
    </row>
    <row r="460" spans="12:13" x14ac:dyDescent="0.2">
      <c r="L460" s="48"/>
      <c r="M460" s="48"/>
    </row>
    <row r="461" spans="12:13" x14ac:dyDescent="0.2">
      <c r="L461" s="48"/>
      <c r="M461" s="48"/>
    </row>
    <row r="462" spans="12:13" x14ac:dyDescent="0.2">
      <c r="L462" s="48"/>
      <c r="M462" s="48"/>
    </row>
    <row r="463" spans="12:13" x14ac:dyDescent="0.2">
      <c r="L463" s="48"/>
      <c r="M463" s="48"/>
    </row>
    <row r="464" spans="12:13" x14ac:dyDescent="0.2">
      <c r="L464" s="48"/>
      <c r="M464" s="48"/>
    </row>
    <row r="465" spans="12:13" x14ac:dyDescent="0.2">
      <c r="L465" s="48"/>
      <c r="M465" s="48"/>
    </row>
    <row r="466" spans="12:13" x14ac:dyDescent="0.2">
      <c r="L466" s="48"/>
      <c r="M466" s="48"/>
    </row>
    <row r="467" spans="12:13" x14ac:dyDescent="0.2">
      <c r="L467" s="48"/>
      <c r="M467" s="48"/>
    </row>
    <row r="468" spans="12:13" x14ac:dyDescent="0.2">
      <c r="L468" s="48"/>
      <c r="M468" s="48"/>
    </row>
    <row r="469" spans="12:13" x14ac:dyDescent="0.2">
      <c r="L469" s="48"/>
      <c r="M469" s="48"/>
    </row>
    <row r="470" spans="12:13" x14ac:dyDescent="0.2">
      <c r="L470" s="48"/>
      <c r="M470" s="48"/>
    </row>
    <row r="471" spans="12:13" x14ac:dyDescent="0.2">
      <c r="L471" s="48"/>
      <c r="M471" s="48"/>
    </row>
    <row r="472" spans="12:13" x14ac:dyDescent="0.2">
      <c r="L472" s="48"/>
      <c r="M472" s="48"/>
    </row>
    <row r="473" spans="12:13" x14ac:dyDescent="0.2">
      <c r="L473" s="48"/>
      <c r="M473" s="48"/>
    </row>
    <row r="474" spans="12:13" x14ac:dyDescent="0.2">
      <c r="L474" s="48"/>
      <c r="M474" s="48"/>
    </row>
    <row r="475" spans="12:13" x14ac:dyDescent="0.2">
      <c r="L475" s="48"/>
      <c r="M475" s="48"/>
    </row>
    <row r="476" spans="12:13" x14ac:dyDescent="0.2">
      <c r="L476" s="48"/>
      <c r="M476" s="48"/>
    </row>
    <row r="477" spans="12:13" x14ac:dyDescent="0.2">
      <c r="L477" s="48"/>
      <c r="M477" s="48"/>
    </row>
    <row r="478" spans="12:13" x14ac:dyDescent="0.2">
      <c r="L478" s="48"/>
      <c r="M478" s="48"/>
    </row>
    <row r="479" spans="12:13" x14ac:dyDescent="0.2">
      <c r="L479" s="48"/>
      <c r="M479" s="48"/>
    </row>
    <row r="480" spans="12:13" x14ac:dyDescent="0.2">
      <c r="L480" s="48"/>
      <c r="M480" s="48"/>
    </row>
    <row r="481" spans="12:13" x14ac:dyDescent="0.2">
      <c r="L481" s="48"/>
      <c r="M481" s="48"/>
    </row>
    <row r="482" spans="12:13" x14ac:dyDescent="0.2">
      <c r="L482" s="48"/>
      <c r="M482" s="48"/>
    </row>
    <row r="483" spans="12:13" x14ac:dyDescent="0.2">
      <c r="L483" s="48"/>
      <c r="M483" s="48"/>
    </row>
    <row r="484" spans="12:13" x14ac:dyDescent="0.2">
      <c r="L484" s="48"/>
      <c r="M484" s="48"/>
    </row>
    <row r="485" spans="12:13" x14ac:dyDescent="0.2">
      <c r="L485" s="48"/>
      <c r="M485" s="48"/>
    </row>
    <row r="486" spans="12:13" x14ac:dyDescent="0.2">
      <c r="L486" s="48"/>
      <c r="M486" s="48"/>
    </row>
    <row r="487" spans="12:13" x14ac:dyDescent="0.2">
      <c r="L487" s="48"/>
      <c r="M487" s="48"/>
    </row>
    <row r="488" spans="12:13" x14ac:dyDescent="0.2">
      <c r="L488" s="48"/>
      <c r="M488" s="48"/>
    </row>
    <row r="489" spans="12:13" x14ac:dyDescent="0.2">
      <c r="L489" s="48"/>
      <c r="M489" s="48"/>
    </row>
    <row r="490" spans="12:13" x14ac:dyDescent="0.2">
      <c r="L490" s="48"/>
      <c r="M490" s="48"/>
    </row>
    <row r="491" spans="12:13" x14ac:dyDescent="0.2">
      <c r="L491" s="48"/>
      <c r="M491" s="48"/>
    </row>
    <row r="492" spans="12:13" x14ac:dyDescent="0.2">
      <c r="L492" s="48"/>
      <c r="M492" s="48"/>
    </row>
    <row r="493" spans="12:13" x14ac:dyDescent="0.2">
      <c r="L493" s="48"/>
      <c r="M493" s="48"/>
    </row>
    <row r="494" spans="12:13" x14ac:dyDescent="0.2">
      <c r="L494" s="48"/>
      <c r="M494" s="48"/>
    </row>
    <row r="495" spans="12:13" x14ac:dyDescent="0.2">
      <c r="L495" s="48"/>
      <c r="M495" s="48"/>
    </row>
    <row r="496" spans="12:13" x14ac:dyDescent="0.2">
      <c r="L496" s="48"/>
      <c r="M496" s="48"/>
    </row>
    <row r="497" spans="12:13" x14ac:dyDescent="0.2">
      <c r="L497" s="48"/>
      <c r="M497" s="48"/>
    </row>
    <row r="498" spans="12:13" x14ac:dyDescent="0.2">
      <c r="L498" s="48"/>
      <c r="M498" s="48"/>
    </row>
    <row r="499" spans="12:13" x14ac:dyDescent="0.2">
      <c r="L499" s="48"/>
      <c r="M499" s="48"/>
    </row>
    <row r="500" spans="12:13" x14ac:dyDescent="0.2">
      <c r="L500" s="48"/>
      <c r="M500" s="48"/>
    </row>
    <row r="501" spans="12:13" x14ac:dyDescent="0.2">
      <c r="L501" s="48"/>
      <c r="M501" s="48"/>
    </row>
    <row r="502" spans="12:13" x14ac:dyDescent="0.2">
      <c r="L502" s="48"/>
      <c r="M502" s="48"/>
    </row>
    <row r="503" spans="12:13" x14ac:dyDescent="0.2">
      <c r="L503" s="48"/>
      <c r="M503" s="48"/>
    </row>
    <row r="504" spans="12:13" x14ac:dyDescent="0.2">
      <c r="L504" s="48"/>
      <c r="M504" s="48"/>
    </row>
    <row r="505" spans="12:13" x14ac:dyDescent="0.2">
      <c r="L505" s="48"/>
      <c r="M505" s="48"/>
    </row>
    <row r="506" spans="12:13" x14ac:dyDescent="0.2">
      <c r="L506" s="48"/>
      <c r="M506" s="48"/>
    </row>
    <row r="507" spans="12:13" x14ac:dyDescent="0.2">
      <c r="L507" s="48"/>
      <c r="M507" s="48"/>
    </row>
    <row r="508" spans="12:13" x14ac:dyDescent="0.2">
      <c r="L508" s="48"/>
      <c r="M508" s="48"/>
    </row>
    <row r="509" spans="12:13" x14ac:dyDescent="0.2">
      <c r="L509" s="48"/>
      <c r="M509" s="48"/>
    </row>
    <row r="510" spans="12:13" x14ac:dyDescent="0.2">
      <c r="L510" s="48"/>
      <c r="M510" s="48"/>
    </row>
    <row r="511" spans="12:13" x14ac:dyDescent="0.2">
      <c r="L511" s="48"/>
      <c r="M511" s="48"/>
    </row>
    <row r="512" spans="12:13" x14ac:dyDescent="0.2">
      <c r="L512" s="48"/>
      <c r="M512" s="48"/>
    </row>
    <row r="513" spans="12:13" x14ac:dyDescent="0.2">
      <c r="L513" s="48"/>
      <c r="M513" s="48"/>
    </row>
    <row r="514" spans="12:13" x14ac:dyDescent="0.2">
      <c r="L514" s="48"/>
      <c r="M514" s="48"/>
    </row>
    <row r="515" spans="12:13" x14ac:dyDescent="0.2">
      <c r="L515" s="48"/>
      <c r="M515" s="48"/>
    </row>
    <row r="516" spans="12:13" x14ac:dyDescent="0.2">
      <c r="L516" s="48"/>
      <c r="M516" s="48"/>
    </row>
    <row r="517" spans="12:13" x14ac:dyDescent="0.2">
      <c r="L517" s="48"/>
      <c r="M517" s="48"/>
    </row>
    <row r="518" spans="12:13" x14ac:dyDescent="0.2">
      <c r="L518" s="48"/>
      <c r="M518" s="48"/>
    </row>
    <row r="519" spans="12:13" x14ac:dyDescent="0.2">
      <c r="L519" s="48"/>
      <c r="M519" s="48"/>
    </row>
    <row r="520" spans="12:13" x14ac:dyDescent="0.2">
      <c r="L520" s="48"/>
      <c r="M520" s="48"/>
    </row>
    <row r="521" spans="12:13" x14ac:dyDescent="0.2">
      <c r="L521" s="48"/>
      <c r="M521" s="48"/>
    </row>
    <row r="522" spans="12:13" x14ac:dyDescent="0.2">
      <c r="L522" s="48"/>
      <c r="M522" s="48"/>
    </row>
    <row r="523" spans="12:13" x14ac:dyDescent="0.2">
      <c r="L523" s="48"/>
      <c r="M523" s="48"/>
    </row>
    <row r="524" spans="12:13" x14ac:dyDescent="0.2">
      <c r="L524" s="48"/>
      <c r="M524" s="48"/>
    </row>
    <row r="525" spans="12:13" x14ac:dyDescent="0.2">
      <c r="L525" s="48"/>
      <c r="M525" s="48"/>
    </row>
    <row r="526" spans="12:13" x14ac:dyDescent="0.2">
      <c r="L526" s="48"/>
      <c r="M526" s="48"/>
    </row>
    <row r="527" spans="12:13" x14ac:dyDescent="0.2">
      <c r="L527" s="48"/>
      <c r="M527" s="48"/>
    </row>
    <row r="528" spans="12:13" x14ac:dyDescent="0.2">
      <c r="L528" s="48"/>
      <c r="M528" s="48"/>
    </row>
    <row r="529" spans="12:13" x14ac:dyDescent="0.2">
      <c r="L529" s="48"/>
      <c r="M529" s="48"/>
    </row>
    <row r="530" spans="12:13" x14ac:dyDescent="0.2">
      <c r="L530" s="48"/>
      <c r="M530" s="48"/>
    </row>
    <row r="531" spans="12:13" x14ac:dyDescent="0.2">
      <c r="L531" s="48"/>
      <c r="M531" s="48"/>
    </row>
    <row r="532" spans="12:13" x14ac:dyDescent="0.2">
      <c r="L532" s="48"/>
      <c r="M532" s="48"/>
    </row>
    <row r="533" spans="12:13" x14ac:dyDescent="0.2">
      <c r="L533" s="48"/>
      <c r="M533" s="48"/>
    </row>
    <row r="534" spans="12:13" x14ac:dyDescent="0.2">
      <c r="L534" s="48"/>
      <c r="M534" s="48"/>
    </row>
    <row r="535" spans="12:13" x14ac:dyDescent="0.2">
      <c r="L535" s="48"/>
      <c r="M535" s="48"/>
    </row>
    <row r="536" spans="12:13" x14ac:dyDescent="0.2">
      <c r="L536" s="48"/>
      <c r="M536" s="48"/>
    </row>
    <row r="537" spans="12:13" x14ac:dyDescent="0.2">
      <c r="L537" s="48"/>
      <c r="M537" s="48"/>
    </row>
    <row r="538" spans="12:13" x14ac:dyDescent="0.2">
      <c r="L538" s="48"/>
      <c r="M538" s="48"/>
    </row>
    <row r="539" spans="12:13" x14ac:dyDescent="0.2">
      <c r="L539" s="48"/>
      <c r="M539" s="48"/>
    </row>
    <row r="540" spans="12:13" x14ac:dyDescent="0.2">
      <c r="L540" s="48"/>
      <c r="M540" s="48"/>
    </row>
    <row r="541" spans="12:13" x14ac:dyDescent="0.2">
      <c r="L541" s="48"/>
      <c r="M541" s="48"/>
    </row>
    <row r="542" spans="12:13" x14ac:dyDescent="0.2">
      <c r="L542" s="48"/>
      <c r="M542" s="48"/>
    </row>
    <row r="543" spans="12:13" x14ac:dyDescent="0.2">
      <c r="L543" s="48"/>
      <c r="M543" s="48"/>
    </row>
    <row r="544" spans="12:13" x14ac:dyDescent="0.2">
      <c r="L544" s="48"/>
      <c r="M544" s="48"/>
    </row>
    <row r="545" spans="12:13" x14ac:dyDescent="0.2">
      <c r="L545" s="48"/>
      <c r="M545" s="48"/>
    </row>
    <row r="546" spans="12:13" x14ac:dyDescent="0.2">
      <c r="L546" s="48"/>
      <c r="M546" s="48"/>
    </row>
    <row r="547" spans="12:13" x14ac:dyDescent="0.2">
      <c r="L547" s="48"/>
      <c r="M547" s="48"/>
    </row>
    <row r="548" spans="12:13" x14ac:dyDescent="0.2">
      <c r="L548" s="48"/>
      <c r="M548" s="48"/>
    </row>
    <row r="549" spans="12:13" x14ac:dyDescent="0.2">
      <c r="L549" s="48"/>
      <c r="M549" s="48"/>
    </row>
    <row r="550" spans="12:13" x14ac:dyDescent="0.2">
      <c r="L550" s="48"/>
      <c r="M550" s="48"/>
    </row>
    <row r="551" spans="12:13" x14ac:dyDescent="0.2">
      <c r="L551" s="48"/>
      <c r="M551" s="48"/>
    </row>
    <row r="552" spans="12:13" x14ac:dyDescent="0.2">
      <c r="L552" s="48"/>
      <c r="M552" s="48"/>
    </row>
    <row r="553" spans="12:13" x14ac:dyDescent="0.2">
      <c r="L553" s="48"/>
      <c r="M553" s="48"/>
    </row>
    <row r="554" spans="12:13" x14ac:dyDescent="0.2">
      <c r="L554" s="48"/>
      <c r="M554" s="48"/>
    </row>
    <row r="555" spans="12:13" x14ac:dyDescent="0.2">
      <c r="L555" s="48"/>
      <c r="M555" s="48"/>
    </row>
    <row r="556" spans="12:13" x14ac:dyDescent="0.2">
      <c r="L556" s="48"/>
      <c r="M556" s="48"/>
    </row>
    <row r="557" spans="12:13" x14ac:dyDescent="0.2">
      <c r="L557" s="48"/>
      <c r="M557" s="48"/>
    </row>
    <row r="558" spans="12:13" x14ac:dyDescent="0.2">
      <c r="L558" s="48"/>
      <c r="M558" s="48"/>
    </row>
    <row r="559" spans="12:13" x14ac:dyDescent="0.2">
      <c r="L559" s="48"/>
      <c r="M559" s="48"/>
    </row>
    <row r="560" spans="12:13" x14ac:dyDescent="0.2">
      <c r="L560" s="48"/>
      <c r="M560" s="48"/>
    </row>
    <row r="561" spans="12:13" x14ac:dyDescent="0.2">
      <c r="L561" s="48"/>
      <c r="M561" s="48"/>
    </row>
    <row r="562" spans="12:13" x14ac:dyDescent="0.2">
      <c r="L562" s="48"/>
      <c r="M562" s="48"/>
    </row>
    <row r="563" spans="12:13" x14ac:dyDescent="0.2">
      <c r="L563" s="48"/>
      <c r="M563" s="48"/>
    </row>
    <row r="564" spans="12:13" x14ac:dyDescent="0.2">
      <c r="L564" s="48"/>
      <c r="M564" s="48"/>
    </row>
    <row r="565" spans="12:13" x14ac:dyDescent="0.2">
      <c r="L565" s="48"/>
      <c r="M565" s="48"/>
    </row>
    <row r="566" spans="12:13" x14ac:dyDescent="0.2">
      <c r="L566" s="48"/>
      <c r="M566" s="48"/>
    </row>
    <row r="567" spans="12:13" x14ac:dyDescent="0.2">
      <c r="L567" s="48"/>
      <c r="M567" s="48"/>
    </row>
    <row r="568" spans="12:13" x14ac:dyDescent="0.2">
      <c r="L568" s="48"/>
      <c r="M568" s="48"/>
    </row>
    <row r="569" spans="12:13" x14ac:dyDescent="0.2">
      <c r="L569" s="48"/>
      <c r="M569" s="48"/>
    </row>
    <row r="570" spans="12:13" x14ac:dyDescent="0.2">
      <c r="L570" s="48"/>
      <c r="M570" s="48"/>
    </row>
    <row r="571" spans="12:13" x14ac:dyDescent="0.2">
      <c r="L571" s="48"/>
      <c r="M571" s="48"/>
    </row>
    <row r="572" spans="12:13" x14ac:dyDescent="0.2">
      <c r="L572" s="48"/>
      <c r="M572" s="48"/>
    </row>
    <row r="573" spans="12:13" x14ac:dyDescent="0.2">
      <c r="L573" s="48"/>
      <c r="M573" s="48"/>
    </row>
    <row r="574" spans="12:13" x14ac:dyDescent="0.2">
      <c r="L574" s="48"/>
      <c r="M574" s="48"/>
    </row>
    <row r="575" spans="12:13" x14ac:dyDescent="0.2">
      <c r="L575" s="48"/>
      <c r="M575" s="48"/>
    </row>
    <row r="576" spans="12:13" x14ac:dyDescent="0.2">
      <c r="L576" s="48"/>
      <c r="M576" s="48"/>
    </row>
    <row r="577" spans="12:13" x14ac:dyDescent="0.2">
      <c r="L577" s="48"/>
      <c r="M577" s="48"/>
    </row>
    <row r="578" spans="12:13" x14ac:dyDescent="0.2">
      <c r="L578" s="48"/>
      <c r="M578" s="48"/>
    </row>
    <row r="579" spans="12:13" x14ac:dyDescent="0.2">
      <c r="L579" s="48"/>
      <c r="M579" s="48"/>
    </row>
    <row r="580" spans="12:13" x14ac:dyDescent="0.2">
      <c r="L580" s="48"/>
      <c r="M580" s="48"/>
    </row>
    <row r="581" spans="12:13" x14ac:dyDescent="0.2">
      <c r="L581" s="48"/>
      <c r="M581" s="48"/>
    </row>
    <row r="582" spans="12:13" x14ac:dyDescent="0.2">
      <c r="L582" s="48"/>
      <c r="M582" s="48"/>
    </row>
    <row r="583" spans="12:13" x14ac:dyDescent="0.2">
      <c r="L583" s="48"/>
      <c r="M583" s="48"/>
    </row>
    <row r="584" spans="12:13" x14ac:dyDescent="0.2">
      <c r="L584" s="48"/>
      <c r="M584" s="48"/>
    </row>
    <row r="585" spans="12:13" x14ac:dyDescent="0.2">
      <c r="L585" s="48"/>
      <c r="M585" s="48"/>
    </row>
    <row r="586" spans="12:13" x14ac:dyDescent="0.2">
      <c r="L586" s="48"/>
      <c r="M586" s="48"/>
    </row>
    <row r="587" spans="12:13" x14ac:dyDescent="0.2">
      <c r="L587" s="48"/>
      <c r="M587" s="48"/>
    </row>
    <row r="588" spans="12:13" x14ac:dyDescent="0.2">
      <c r="L588" s="48"/>
      <c r="M588" s="48"/>
    </row>
    <row r="589" spans="12:13" x14ac:dyDescent="0.2">
      <c r="L589" s="48"/>
      <c r="M589" s="48"/>
    </row>
    <row r="590" spans="12:13" x14ac:dyDescent="0.2">
      <c r="L590" s="48"/>
      <c r="M590" s="48"/>
    </row>
    <row r="591" spans="12:13" x14ac:dyDescent="0.2">
      <c r="L591" s="48"/>
      <c r="M591" s="48"/>
    </row>
    <row r="592" spans="12:13" x14ac:dyDescent="0.2">
      <c r="L592" s="48"/>
      <c r="M592" s="48"/>
    </row>
    <row r="593" spans="12:13" x14ac:dyDescent="0.2">
      <c r="L593" s="48"/>
      <c r="M593" s="48"/>
    </row>
    <row r="594" spans="12:13" x14ac:dyDescent="0.2">
      <c r="L594" s="48"/>
      <c r="M594" s="48"/>
    </row>
    <row r="595" spans="12:13" x14ac:dyDescent="0.2">
      <c r="L595" s="48"/>
      <c r="M595" s="48"/>
    </row>
    <row r="596" spans="12:13" x14ac:dyDescent="0.2">
      <c r="L596" s="48"/>
      <c r="M596" s="48"/>
    </row>
    <row r="597" spans="12:13" x14ac:dyDescent="0.2">
      <c r="L597" s="48"/>
      <c r="M597" s="48"/>
    </row>
    <row r="598" spans="12:13" x14ac:dyDescent="0.2">
      <c r="L598" s="48"/>
      <c r="M598" s="48"/>
    </row>
    <row r="599" spans="12:13" x14ac:dyDescent="0.2">
      <c r="L599" s="48"/>
      <c r="M599" s="48"/>
    </row>
    <row r="600" spans="12:13" x14ac:dyDescent="0.2">
      <c r="L600" s="48"/>
      <c r="M600" s="48"/>
    </row>
    <row r="601" spans="12:13" x14ac:dyDescent="0.2">
      <c r="L601" s="48"/>
      <c r="M601" s="48"/>
    </row>
    <row r="602" spans="12:13" x14ac:dyDescent="0.2">
      <c r="L602" s="48"/>
      <c r="M602" s="48"/>
    </row>
    <row r="603" spans="12:13" x14ac:dyDescent="0.2">
      <c r="L603" s="48"/>
      <c r="M603" s="48"/>
    </row>
    <row r="604" spans="12:13" x14ac:dyDescent="0.2">
      <c r="L604" s="48"/>
      <c r="M604" s="48"/>
    </row>
    <row r="605" spans="12:13" x14ac:dyDescent="0.2">
      <c r="L605" s="48"/>
      <c r="M605" s="48"/>
    </row>
    <row r="606" spans="12:13" x14ac:dyDescent="0.2">
      <c r="L606" s="48"/>
      <c r="M606" s="48"/>
    </row>
    <row r="607" spans="12:13" x14ac:dyDescent="0.2">
      <c r="L607" s="48"/>
      <c r="M607" s="48"/>
    </row>
    <row r="608" spans="12:13" x14ac:dyDescent="0.2">
      <c r="L608" s="48"/>
      <c r="M608" s="48"/>
    </row>
    <row r="609" spans="12:13" x14ac:dyDescent="0.2">
      <c r="L609" s="48"/>
      <c r="M609" s="48"/>
    </row>
    <row r="610" spans="12:13" x14ac:dyDescent="0.2">
      <c r="L610" s="48"/>
      <c r="M610" s="48"/>
    </row>
    <row r="611" spans="12:13" x14ac:dyDescent="0.2">
      <c r="L611" s="48"/>
      <c r="M611" s="48"/>
    </row>
    <row r="612" spans="12:13" x14ac:dyDescent="0.2">
      <c r="L612" s="48"/>
      <c r="M612" s="48"/>
    </row>
    <row r="613" spans="12:13" x14ac:dyDescent="0.2">
      <c r="L613" s="48"/>
      <c r="M613" s="48"/>
    </row>
    <row r="614" spans="12:13" x14ac:dyDescent="0.2">
      <c r="L614" s="48"/>
      <c r="M614" s="48"/>
    </row>
    <row r="615" spans="12:13" x14ac:dyDescent="0.2">
      <c r="L615" s="48"/>
      <c r="M615" s="48"/>
    </row>
    <row r="616" spans="12:13" x14ac:dyDescent="0.2">
      <c r="L616" s="48"/>
      <c r="M616" s="48"/>
    </row>
    <row r="617" spans="12:13" x14ac:dyDescent="0.2">
      <c r="L617" s="48"/>
      <c r="M617" s="48"/>
    </row>
    <row r="618" spans="12:13" x14ac:dyDescent="0.2">
      <c r="L618" s="48"/>
      <c r="M618" s="48"/>
    </row>
    <row r="619" spans="12:13" x14ac:dyDescent="0.2">
      <c r="L619" s="48"/>
      <c r="M619" s="48"/>
    </row>
    <row r="620" spans="12:13" x14ac:dyDescent="0.2">
      <c r="L620" s="48"/>
      <c r="M620" s="48"/>
    </row>
    <row r="621" spans="12:13" x14ac:dyDescent="0.2">
      <c r="L621" s="48"/>
      <c r="M621" s="48"/>
    </row>
    <row r="622" spans="12:13" x14ac:dyDescent="0.2">
      <c r="L622" s="48"/>
      <c r="M622" s="48"/>
    </row>
    <row r="623" spans="12:13" x14ac:dyDescent="0.2">
      <c r="L623" s="48"/>
      <c r="M623" s="48"/>
    </row>
    <row r="624" spans="12:13" x14ac:dyDescent="0.2">
      <c r="L624" s="48"/>
      <c r="M624" s="48"/>
    </row>
    <row r="625" spans="12:13" x14ac:dyDescent="0.2">
      <c r="L625" s="48"/>
      <c r="M625" s="48"/>
    </row>
    <row r="626" spans="12:13" x14ac:dyDescent="0.2">
      <c r="L626" s="48"/>
      <c r="M626" s="48"/>
    </row>
    <row r="627" spans="12:13" x14ac:dyDescent="0.2">
      <c r="L627" s="48"/>
      <c r="M627" s="48"/>
    </row>
    <row r="628" spans="12:13" x14ac:dyDescent="0.2">
      <c r="L628" s="48"/>
      <c r="M628" s="48"/>
    </row>
    <row r="629" spans="12:13" x14ac:dyDescent="0.2">
      <c r="L629" s="48"/>
      <c r="M629" s="48"/>
    </row>
    <row r="630" spans="12:13" x14ac:dyDescent="0.2">
      <c r="L630" s="48"/>
      <c r="M630" s="48"/>
    </row>
    <row r="631" spans="12:13" x14ac:dyDescent="0.2">
      <c r="L631" s="48"/>
      <c r="M631" s="48"/>
    </row>
    <row r="632" spans="12:13" x14ac:dyDescent="0.2">
      <c r="L632" s="48"/>
      <c r="M632" s="48"/>
    </row>
    <row r="633" spans="12:13" x14ac:dyDescent="0.2">
      <c r="L633" s="48"/>
      <c r="M633" s="48"/>
    </row>
    <row r="634" spans="12:13" x14ac:dyDescent="0.2">
      <c r="L634" s="48"/>
      <c r="M634" s="48"/>
    </row>
    <row r="635" spans="12:13" x14ac:dyDescent="0.2">
      <c r="L635" s="48"/>
      <c r="M635" s="48"/>
    </row>
    <row r="636" spans="12:13" x14ac:dyDescent="0.2">
      <c r="L636" s="48"/>
      <c r="M636" s="48"/>
    </row>
    <row r="637" spans="12:13" x14ac:dyDescent="0.2">
      <c r="L637" s="48"/>
      <c r="M637" s="48"/>
    </row>
    <row r="638" spans="12:13" x14ac:dyDescent="0.2">
      <c r="L638" s="48"/>
      <c r="M638" s="48"/>
    </row>
    <row r="639" spans="12:13" x14ac:dyDescent="0.2">
      <c r="L639" s="48"/>
      <c r="M639" s="48"/>
    </row>
    <row r="640" spans="12:13" x14ac:dyDescent="0.2">
      <c r="L640" s="48"/>
      <c r="M640" s="48"/>
    </row>
    <row r="641" spans="12:13" x14ac:dyDescent="0.2">
      <c r="L641" s="48"/>
      <c r="M641" s="48"/>
    </row>
    <row r="642" spans="12:13" x14ac:dyDescent="0.2">
      <c r="L642" s="48"/>
      <c r="M642" s="48"/>
    </row>
    <row r="643" spans="12:13" x14ac:dyDescent="0.2">
      <c r="L643" s="48"/>
      <c r="M643" s="48"/>
    </row>
    <row r="644" spans="12:13" x14ac:dyDescent="0.2">
      <c r="L644" s="48"/>
      <c r="M644" s="48"/>
    </row>
    <row r="645" spans="12:13" x14ac:dyDescent="0.2">
      <c r="L645" s="48"/>
      <c r="M645" s="48"/>
    </row>
    <row r="646" spans="12:13" x14ac:dyDescent="0.2">
      <c r="L646" s="48"/>
      <c r="M646" s="48"/>
    </row>
    <row r="647" spans="12:13" x14ac:dyDescent="0.2">
      <c r="L647" s="48"/>
      <c r="M647" s="48"/>
    </row>
    <row r="648" spans="12:13" x14ac:dyDescent="0.2">
      <c r="L648" s="48"/>
      <c r="M648" s="48"/>
    </row>
    <row r="649" spans="12:13" x14ac:dyDescent="0.2">
      <c r="L649" s="48"/>
      <c r="M649" s="48"/>
    </row>
    <row r="650" spans="12:13" x14ac:dyDescent="0.2">
      <c r="L650" s="48"/>
      <c r="M650" s="48"/>
    </row>
    <row r="651" spans="12:13" x14ac:dyDescent="0.2">
      <c r="L651" s="48"/>
      <c r="M651" s="48"/>
    </row>
    <row r="652" spans="12:13" x14ac:dyDescent="0.2">
      <c r="L652" s="48"/>
      <c r="M652" s="48"/>
    </row>
    <row r="653" spans="12:13" x14ac:dyDescent="0.2">
      <c r="L653" s="48"/>
      <c r="M653" s="48"/>
    </row>
    <row r="654" spans="12:13" x14ac:dyDescent="0.2">
      <c r="L654" s="48"/>
      <c r="M654" s="48"/>
    </row>
    <row r="655" spans="12:13" x14ac:dyDescent="0.2">
      <c r="L655" s="48"/>
      <c r="M655" s="48"/>
    </row>
    <row r="656" spans="12:13" x14ac:dyDescent="0.2">
      <c r="L656" s="48"/>
      <c r="M656" s="48"/>
    </row>
    <row r="657" spans="12:13" x14ac:dyDescent="0.2">
      <c r="L657" s="48"/>
      <c r="M657" s="48"/>
    </row>
    <row r="658" spans="12:13" x14ac:dyDescent="0.2">
      <c r="L658" s="48"/>
      <c r="M658" s="48"/>
    </row>
    <row r="659" spans="12:13" x14ac:dyDescent="0.2">
      <c r="L659" s="48"/>
      <c r="M659" s="48"/>
    </row>
    <row r="660" spans="12:13" x14ac:dyDescent="0.2">
      <c r="L660" s="48"/>
      <c r="M660" s="48"/>
    </row>
    <row r="661" spans="12:13" x14ac:dyDescent="0.2">
      <c r="L661" s="48"/>
      <c r="M661" s="48"/>
    </row>
    <row r="662" spans="12:13" x14ac:dyDescent="0.2">
      <c r="L662" s="48"/>
      <c r="M662" s="48"/>
    </row>
    <row r="663" spans="12:13" x14ac:dyDescent="0.2">
      <c r="L663" s="48"/>
      <c r="M663" s="48"/>
    </row>
    <row r="664" spans="12:13" x14ac:dyDescent="0.2">
      <c r="L664" s="48"/>
      <c r="M664" s="48"/>
    </row>
    <row r="665" spans="12:13" x14ac:dyDescent="0.2">
      <c r="L665" s="48"/>
      <c r="M665" s="48"/>
    </row>
    <row r="666" spans="12:13" x14ac:dyDescent="0.2">
      <c r="L666" s="48"/>
      <c r="M666" s="48"/>
    </row>
    <row r="667" spans="12:13" x14ac:dyDescent="0.2">
      <c r="L667" s="48"/>
      <c r="M667" s="48"/>
    </row>
    <row r="668" spans="12:13" x14ac:dyDescent="0.2">
      <c r="L668" s="48"/>
      <c r="M668" s="48"/>
    </row>
    <row r="669" spans="12:13" x14ac:dyDescent="0.2">
      <c r="L669" s="48"/>
      <c r="M669" s="48"/>
    </row>
    <row r="670" spans="12:13" x14ac:dyDescent="0.2">
      <c r="L670" s="48"/>
      <c r="M670" s="48"/>
    </row>
    <row r="671" spans="12:13" x14ac:dyDescent="0.2">
      <c r="L671" s="48"/>
      <c r="M671" s="48"/>
    </row>
    <row r="672" spans="12:13" x14ac:dyDescent="0.2">
      <c r="L672" s="48"/>
      <c r="M672" s="48"/>
    </row>
    <row r="673" spans="12:13" x14ac:dyDescent="0.2">
      <c r="L673" s="48"/>
      <c r="M673" s="48"/>
    </row>
    <row r="674" spans="12:13" x14ac:dyDescent="0.2">
      <c r="L674" s="48"/>
      <c r="M674" s="48"/>
    </row>
    <row r="675" spans="12:13" x14ac:dyDescent="0.2">
      <c r="L675" s="48"/>
      <c r="M675" s="48"/>
    </row>
    <row r="676" spans="12:13" x14ac:dyDescent="0.2">
      <c r="L676" s="48"/>
      <c r="M676" s="48"/>
    </row>
    <row r="677" spans="12:13" x14ac:dyDescent="0.2">
      <c r="L677" s="48"/>
      <c r="M677" s="48"/>
    </row>
    <row r="678" spans="12:13" x14ac:dyDescent="0.2">
      <c r="L678" s="48"/>
      <c r="M678" s="48"/>
    </row>
    <row r="679" spans="12:13" x14ac:dyDescent="0.2">
      <c r="L679" s="48"/>
      <c r="M679" s="48"/>
    </row>
    <row r="680" spans="12:13" x14ac:dyDescent="0.2">
      <c r="L680" s="48"/>
      <c r="M680" s="48"/>
    </row>
    <row r="681" spans="12:13" x14ac:dyDescent="0.2">
      <c r="L681" s="48"/>
      <c r="M681" s="48"/>
    </row>
    <row r="682" spans="12:13" x14ac:dyDescent="0.2">
      <c r="L682" s="48"/>
      <c r="M682" s="48"/>
    </row>
    <row r="683" spans="12:13" x14ac:dyDescent="0.2">
      <c r="L683" s="48"/>
      <c r="M683" s="48"/>
    </row>
    <row r="684" spans="12:13" x14ac:dyDescent="0.2">
      <c r="L684" s="48"/>
      <c r="M684" s="48"/>
    </row>
    <row r="685" spans="12:13" x14ac:dyDescent="0.2">
      <c r="L685" s="48"/>
      <c r="M685" s="48"/>
    </row>
    <row r="686" spans="12:13" x14ac:dyDescent="0.2">
      <c r="L686" s="48"/>
      <c r="M686" s="48"/>
    </row>
    <row r="687" spans="12:13" x14ac:dyDescent="0.2">
      <c r="L687" s="48"/>
      <c r="M687" s="48"/>
    </row>
    <row r="688" spans="12:13" x14ac:dyDescent="0.2">
      <c r="L688" s="48"/>
      <c r="M688" s="48"/>
    </row>
    <row r="689" spans="12:13" x14ac:dyDescent="0.2">
      <c r="L689" s="48"/>
      <c r="M689" s="48"/>
    </row>
    <row r="690" spans="12:13" x14ac:dyDescent="0.2">
      <c r="L690" s="48"/>
      <c r="M690" s="48"/>
    </row>
    <row r="691" spans="12:13" x14ac:dyDescent="0.2">
      <c r="L691" s="48"/>
      <c r="M691" s="48"/>
    </row>
    <row r="692" spans="12:13" x14ac:dyDescent="0.2">
      <c r="L692" s="48"/>
      <c r="M692" s="48"/>
    </row>
    <row r="693" spans="12:13" x14ac:dyDescent="0.2">
      <c r="L693" s="48"/>
      <c r="M693" s="48"/>
    </row>
    <row r="694" spans="12:13" x14ac:dyDescent="0.2">
      <c r="L694" s="48"/>
      <c r="M694" s="48"/>
    </row>
    <row r="695" spans="12:13" x14ac:dyDescent="0.2">
      <c r="L695" s="48"/>
      <c r="M695" s="48"/>
    </row>
    <row r="696" spans="12:13" x14ac:dyDescent="0.2">
      <c r="L696" s="48"/>
      <c r="M696" s="48"/>
    </row>
    <row r="697" spans="12:13" x14ac:dyDescent="0.2">
      <c r="L697" s="48"/>
      <c r="M697" s="48"/>
    </row>
    <row r="698" spans="12:13" x14ac:dyDescent="0.2">
      <c r="L698" s="48"/>
      <c r="M698" s="48"/>
    </row>
    <row r="699" spans="12:13" x14ac:dyDescent="0.2">
      <c r="L699" s="48"/>
      <c r="M699" s="48"/>
    </row>
    <row r="700" spans="12:13" x14ac:dyDescent="0.2">
      <c r="L700" s="48"/>
      <c r="M700" s="48"/>
    </row>
    <row r="701" spans="12:13" x14ac:dyDescent="0.2">
      <c r="L701" s="48"/>
      <c r="M701" s="48"/>
    </row>
    <row r="702" spans="12:13" x14ac:dyDescent="0.2">
      <c r="L702" s="48"/>
      <c r="M702" s="48"/>
    </row>
    <row r="703" spans="12:13" x14ac:dyDescent="0.2">
      <c r="L703" s="48"/>
      <c r="M703" s="48"/>
    </row>
    <row r="704" spans="12:13" x14ac:dyDescent="0.2">
      <c r="L704" s="48"/>
      <c r="M704" s="48"/>
    </row>
    <row r="705" spans="12:13" x14ac:dyDescent="0.2">
      <c r="L705" s="48"/>
      <c r="M705" s="48"/>
    </row>
    <row r="706" spans="12:13" x14ac:dyDescent="0.2">
      <c r="L706" s="48"/>
      <c r="M706" s="48"/>
    </row>
    <row r="707" spans="12:13" x14ac:dyDescent="0.2">
      <c r="L707" s="48"/>
      <c r="M707" s="48"/>
    </row>
    <row r="708" spans="12:13" x14ac:dyDescent="0.2">
      <c r="L708" s="48"/>
      <c r="M708" s="48"/>
    </row>
    <row r="709" spans="12:13" x14ac:dyDescent="0.2">
      <c r="L709" s="48"/>
      <c r="M709" s="48"/>
    </row>
    <row r="710" spans="12:13" x14ac:dyDescent="0.2">
      <c r="L710" s="48"/>
      <c r="M710" s="48"/>
    </row>
    <row r="711" spans="12:13" x14ac:dyDescent="0.2">
      <c r="L711" s="48"/>
      <c r="M711" s="48"/>
    </row>
    <row r="712" spans="12:13" x14ac:dyDescent="0.2">
      <c r="L712" s="48"/>
      <c r="M712" s="48"/>
    </row>
    <row r="713" spans="12:13" x14ac:dyDescent="0.2">
      <c r="L713" s="48"/>
      <c r="M713" s="48"/>
    </row>
    <row r="714" spans="12:13" x14ac:dyDescent="0.2">
      <c r="L714" s="48"/>
      <c r="M714" s="48"/>
    </row>
    <row r="715" spans="12:13" x14ac:dyDescent="0.2">
      <c r="L715" s="48"/>
      <c r="M715" s="48"/>
    </row>
    <row r="716" spans="12:13" x14ac:dyDescent="0.2">
      <c r="L716" s="48"/>
      <c r="M716" s="48"/>
    </row>
    <row r="717" spans="12:13" x14ac:dyDescent="0.2">
      <c r="L717" s="48"/>
      <c r="M717" s="48"/>
    </row>
    <row r="718" spans="12:13" x14ac:dyDescent="0.2">
      <c r="L718" s="48"/>
      <c r="M718" s="48"/>
    </row>
    <row r="719" spans="12:13" x14ac:dyDescent="0.2">
      <c r="L719" s="48"/>
      <c r="M719" s="48"/>
    </row>
    <row r="720" spans="12:13" x14ac:dyDescent="0.2">
      <c r="L720" s="48"/>
      <c r="M720" s="48"/>
    </row>
    <row r="721" spans="12:13" x14ac:dyDescent="0.2">
      <c r="L721" s="48"/>
      <c r="M721" s="48"/>
    </row>
    <row r="722" spans="12:13" x14ac:dyDescent="0.2">
      <c r="L722" s="48"/>
      <c r="M722" s="48"/>
    </row>
    <row r="723" spans="12:13" x14ac:dyDescent="0.2">
      <c r="L723" s="48"/>
      <c r="M723" s="48"/>
    </row>
    <row r="724" spans="12:13" x14ac:dyDescent="0.2">
      <c r="L724" s="48"/>
      <c r="M724" s="48"/>
    </row>
    <row r="725" spans="12:13" x14ac:dyDescent="0.2">
      <c r="L725" s="48"/>
      <c r="M725" s="48"/>
    </row>
    <row r="726" spans="12:13" x14ac:dyDescent="0.2">
      <c r="L726" s="48"/>
      <c r="M726" s="48"/>
    </row>
    <row r="727" spans="12:13" x14ac:dyDescent="0.2">
      <c r="L727" s="48"/>
      <c r="M727" s="48"/>
    </row>
    <row r="728" spans="12:13" x14ac:dyDescent="0.2">
      <c r="L728" s="48"/>
      <c r="M728" s="48"/>
    </row>
    <row r="729" spans="12:13" x14ac:dyDescent="0.2">
      <c r="L729" s="48"/>
      <c r="M729" s="48"/>
    </row>
    <row r="730" spans="12:13" x14ac:dyDescent="0.2">
      <c r="L730" s="48"/>
      <c r="M730" s="48"/>
    </row>
    <row r="731" spans="12:13" x14ac:dyDescent="0.2">
      <c r="L731" s="48"/>
      <c r="M731" s="48"/>
    </row>
    <row r="732" spans="12:13" x14ac:dyDescent="0.2">
      <c r="L732" s="48"/>
      <c r="M732" s="48"/>
    </row>
    <row r="733" spans="12:13" x14ac:dyDescent="0.2">
      <c r="L733" s="48"/>
      <c r="M733" s="48"/>
    </row>
    <row r="734" spans="12:13" x14ac:dyDescent="0.2">
      <c r="L734" s="48"/>
      <c r="M734" s="48"/>
    </row>
    <row r="735" spans="12:13" x14ac:dyDescent="0.2">
      <c r="L735" s="48"/>
      <c r="M735" s="48"/>
    </row>
    <row r="736" spans="12:13" x14ac:dyDescent="0.2">
      <c r="L736" s="48"/>
      <c r="M736" s="48"/>
    </row>
    <row r="737" spans="12:13" x14ac:dyDescent="0.2">
      <c r="L737" s="48"/>
      <c r="M737" s="48"/>
    </row>
    <row r="738" spans="12:13" x14ac:dyDescent="0.2">
      <c r="L738" s="48"/>
      <c r="M738" s="48"/>
    </row>
    <row r="739" spans="12:13" x14ac:dyDescent="0.2">
      <c r="L739" s="48"/>
      <c r="M739" s="48"/>
    </row>
    <row r="740" spans="12:13" x14ac:dyDescent="0.2">
      <c r="L740" s="48"/>
      <c r="M740" s="48"/>
    </row>
    <row r="741" spans="12:13" x14ac:dyDescent="0.2">
      <c r="L741" s="48"/>
      <c r="M741" s="48"/>
    </row>
    <row r="742" spans="12:13" x14ac:dyDescent="0.2">
      <c r="L742" s="48"/>
      <c r="M742" s="48"/>
    </row>
    <row r="743" spans="12:13" x14ac:dyDescent="0.2">
      <c r="L743" s="48"/>
      <c r="M743" s="48"/>
    </row>
    <row r="744" spans="12:13" x14ac:dyDescent="0.2">
      <c r="L744" s="48"/>
      <c r="M744" s="48"/>
    </row>
    <row r="745" spans="12:13" x14ac:dyDescent="0.2">
      <c r="L745" s="48"/>
      <c r="M745" s="48"/>
    </row>
    <row r="746" spans="12:13" x14ac:dyDescent="0.2">
      <c r="L746" s="48"/>
      <c r="M746" s="48"/>
    </row>
    <row r="747" spans="12:13" x14ac:dyDescent="0.2">
      <c r="L747" s="48"/>
      <c r="M747" s="48"/>
    </row>
    <row r="748" spans="12:13" x14ac:dyDescent="0.2">
      <c r="L748" s="48"/>
      <c r="M748" s="48"/>
    </row>
    <row r="749" spans="12:13" x14ac:dyDescent="0.2">
      <c r="L749" s="48"/>
      <c r="M749" s="48"/>
    </row>
    <row r="750" spans="12:13" x14ac:dyDescent="0.2">
      <c r="L750" s="48"/>
      <c r="M750" s="48"/>
    </row>
    <row r="751" spans="12:13" x14ac:dyDescent="0.2">
      <c r="L751" s="48"/>
      <c r="M751" s="48"/>
    </row>
    <row r="752" spans="12:13" x14ac:dyDescent="0.2">
      <c r="L752" s="48"/>
      <c r="M752" s="48"/>
    </row>
    <row r="753" spans="12:13" x14ac:dyDescent="0.2">
      <c r="L753" s="48"/>
      <c r="M753" s="48"/>
    </row>
    <row r="754" spans="12:13" x14ac:dyDescent="0.2">
      <c r="L754" s="48"/>
      <c r="M754" s="48"/>
    </row>
    <row r="755" spans="12:13" x14ac:dyDescent="0.2">
      <c r="L755" s="48"/>
      <c r="M755" s="48"/>
    </row>
    <row r="756" spans="12:13" x14ac:dyDescent="0.2">
      <c r="L756" s="48"/>
      <c r="M756" s="48"/>
    </row>
    <row r="757" spans="12:13" x14ac:dyDescent="0.2">
      <c r="L757" s="48"/>
      <c r="M757" s="48"/>
    </row>
    <row r="758" spans="12:13" x14ac:dyDescent="0.2">
      <c r="L758" s="48"/>
      <c r="M758" s="48"/>
    </row>
    <row r="759" spans="12:13" x14ac:dyDescent="0.2">
      <c r="L759" s="48"/>
      <c r="M759" s="48"/>
    </row>
    <row r="760" spans="12:13" x14ac:dyDescent="0.2">
      <c r="L760" s="48"/>
      <c r="M760" s="48"/>
    </row>
    <row r="761" spans="12:13" x14ac:dyDescent="0.2">
      <c r="L761" s="48"/>
      <c r="M761" s="48"/>
    </row>
    <row r="762" spans="12:13" x14ac:dyDescent="0.2">
      <c r="L762" s="48"/>
      <c r="M762" s="48"/>
    </row>
    <row r="763" spans="12:13" x14ac:dyDescent="0.2">
      <c r="L763" s="48"/>
      <c r="M763" s="48"/>
    </row>
    <row r="764" spans="12:13" x14ac:dyDescent="0.2">
      <c r="L764" s="48"/>
      <c r="M764" s="48"/>
    </row>
    <row r="765" spans="12:13" x14ac:dyDescent="0.2">
      <c r="L765" s="48"/>
      <c r="M765" s="48"/>
    </row>
    <row r="766" spans="12:13" x14ac:dyDescent="0.2">
      <c r="L766" s="48"/>
      <c r="M766" s="48"/>
    </row>
    <row r="767" spans="12:13" x14ac:dyDescent="0.2">
      <c r="L767" s="48"/>
      <c r="M767" s="48"/>
    </row>
    <row r="768" spans="12:13" x14ac:dyDescent="0.2">
      <c r="L768" s="48"/>
      <c r="M768" s="48"/>
    </row>
    <row r="769" spans="12:13" x14ac:dyDescent="0.2">
      <c r="L769" s="48"/>
      <c r="M769" s="48"/>
    </row>
    <row r="770" spans="12:13" x14ac:dyDescent="0.2">
      <c r="L770" s="48"/>
      <c r="M770" s="48"/>
    </row>
    <row r="771" spans="12:13" x14ac:dyDescent="0.2">
      <c r="L771" s="48"/>
      <c r="M771" s="48"/>
    </row>
    <row r="772" spans="12:13" x14ac:dyDescent="0.2">
      <c r="L772" s="48"/>
      <c r="M772" s="48"/>
    </row>
    <row r="773" spans="12:13" x14ac:dyDescent="0.2">
      <c r="L773" s="48"/>
      <c r="M773" s="48"/>
    </row>
    <row r="774" spans="12:13" x14ac:dyDescent="0.2">
      <c r="L774" s="48"/>
      <c r="M774" s="48"/>
    </row>
    <row r="775" spans="12:13" x14ac:dyDescent="0.2">
      <c r="L775" s="48"/>
      <c r="M775" s="48"/>
    </row>
    <row r="776" spans="12:13" x14ac:dyDescent="0.2">
      <c r="L776" s="48"/>
      <c r="M776" s="48"/>
    </row>
    <row r="777" spans="12:13" x14ac:dyDescent="0.2">
      <c r="L777" s="48"/>
      <c r="M777" s="48"/>
    </row>
    <row r="778" spans="12:13" x14ac:dyDescent="0.2">
      <c r="L778" s="48"/>
      <c r="M778" s="48"/>
    </row>
    <row r="779" spans="12:13" x14ac:dyDescent="0.2">
      <c r="L779" s="48"/>
      <c r="M779" s="48"/>
    </row>
    <row r="780" spans="12:13" x14ac:dyDescent="0.2">
      <c r="L780" s="48"/>
      <c r="M780" s="48"/>
    </row>
    <row r="781" spans="12:13" x14ac:dyDescent="0.2">
      <c r="L781" s="48"/>
      <c r="M781" s="48"/>
    </row>
    <row r="782" spans="12:13" x14ac:dyDescent="0.2">
      <c r="L782" s="48"/>
      <c r="M782" s="48"/>
    </row>
    <row r="783" spans="12:13" x14ac:dyDescent="0.2">
      <c r="L783" s="48"/>
      <c r="M783" s="48"/>
    </row>
    <row r="784" spans="12:13" x14ac:dyDescent="0.2">
      <c r="L784" s="48"/>
      <c r="M784" s="48"/>
    </row>
    <row r="785" spans="12:13" x14ac:dyDescent="0.2">
      <c r="L785" s="48"/>
      <c r="M785" s="48"/>
    </row>
    <row r="786" spans="12:13" x14ac:dyDescent="0.2">
      <c r="L786" s="48"/>
      <c r="M786" s="48"/>
    </row>
    <row r="787" spans="12:13" x14ac:dyDescent="0.2">
      <c r="L787" s="48"/>
      <c r="M787" s="48"/>
    </row>
    <row r="788" spans="12:13" x14ac:dyDescent="0.2">
      <c r="L788" s="48"/>
      <c r="M788" s="48"/>
    </row>
    <row r="789" spans="12:13" x14ac:dyDescent="0.2">
      <c r="L789" s="48"/>
      <c r="M789" s="48"/>
    </row>
    <row r="790" spans="12:13" x14ac:dyDescent="0.2">
      <c r="L790" s="48"/>
      <c r="M790" s="48"/>
    </row>
    <row r="791" spans="12:13" x14ac:dyDescent="0.2">
      <c r="L791" s="48"/>
      <c r="M791" s="48"/>
    </row>
    <row r="792" spans="12:13" x14ac:dyDescent="0.2">
      <c r="L792" s="48"/>
      <c r="M792" s="48"/>
    </row>
    <row r="793" spans="12:13" x14ac:dyDescent="0.2">
      <c r="L793" s="48"/>
      <c r="M793" s="48"/>
    </row>
    <row r="794" spans="12:13" x14ac:dyDescent="0.2">
      <c r="L794" s="48"/>
      <c r="M794" s="48"/>
    </row>
    <row r="795" spans="12:13" x14ac:dyDescent="0.2">
      <c r="L795" s="48"/>
      <c r="M795" s="48"/>
    </row>
    <row r="796" spans="12:13" x14ac:dyDescent="0.2">
      <c r="L796" s="48"/>
      <c r="M796" s="48"/>
    </row>
    <row r="797" spans="12:13" x14ac:dyDescent="0.2">
      <c r="L797" s="48"/>
      <c r="M797" s="48"/>
    </row>
    <row r="798" spans="12:13" x14ac:dyDescent="0.2">
      <c r="L798" s="48"/>
      <c r="M798" s="48"/>
    </row>
    <row r="799" spans="12:13" x14ac:dyDescent="0.2">
      <c r="L799" s="48"/>
      <c r="M799" s="48"/>
    </row>
    <row r="800" spans="12:13" x14ac:dyDescent="0.2">
      <c r="L800" s="48"/>
      <c r="M800" s="48"/>
    </row>
    <row r="801" spans="12:13" x14ac:dyDescent="0.2">
      <c r="L801" s="48"/>
      <c r="M801" s="48"/>
    </row>
    <row r="802" spans="12:13" x14ac:dyDescent="0.2">
      <c r="L802" s="48"/>
      <c r="M802" s="48"/>
    </row>
    <row r="803" spans="12:13" x14ac:dyDescent="0.2">
      <c r="L803" s="48"/>
      <c r="M803" s="48"/>
    </row>
    <row r="804" spans="12:13" x14ac:dyDescent="0.2">
      <c r="L804" s="48"/>
      <c r="M804" s="48"/>
    </row>
    <row r="805" spans="12:13" x14ac:dyDescent="0.2">
      <c r="L805" s="48"/>
      <c r="M805" s="48"/>
    </row>
    <row r="806" spans="12:13" x14ac:dyDescent="0.2">
      <c r="L806" s="48"/>
      <c r="M806" s="48"/>
    </row>
    <row r="807" spans="12:13" x14ac:dyDescent="0.2">
      <c r="L807" s="48"/>
      <c r="M807" s="48"/>
    </row>
    <row r="808" spans="12:13" x14ac:dyDescent="0.2">
      <c r="L808" s="48"/>
      <c r="M808" s="48"/>
    </row>
    <row r="809" spans="12:13" x14ac:dyDescent="0.2">
      <c r="L809" s="48"/>
      <c r="M809" s="48"/>
    </row>
    <row r="810" spans="12:13" x14ac:dyDescent="0.2">
      <c r="L810" s="48"/>
      <c r="M810" s="48"/>
    </row>
    <row r="811" spans="12:13" x14ac:dyDescent="0.2">
      <c r="L811" s="48"/>
      <c r="M811" s="48"/>
    </row>
    <row r="812" spans="12:13" x14ac:dyDescent="0.2">
      <c r="L812" s="48"/>
      <c r="M812" s="48"/>
    </row>
    <row r="813" spans="12:13" x14ac:dyDescent="0.2">
      <c r="L813" s="48"/>
      <c r="M813" s="48"/>
    </row>
    <row r="814" spans="12:13" x14ac:dyDescent="0.2">
      <c r="L814" s="48"/>
      <c r="M814" s="48"/>
    </row>
    <row r="815" spans="12:13" x14ac:dyDescent="0.2">
      <c r="L815" s="48"/>
      <c r="M815" s="48"/>
    </row>
    <row r="816" spans="12:13" x14ac:dyDescent="0.2">
      <c r="L816" s="48"/>
      <c r="M816" s="48"/>
    </row>
    <row r="817" spans="12:13" x14ac:dyDescent="0.2">
      <c r="L817" s="48"/>
      <c r="M817" s="48"/>
    </row>
    <row r="818" spans="12:13" x14ac:dyDescent="0.2">
      <c r="L818" s="48"/>
      <c r="M818" s="48"/>
    </row>
    <row r="819" spans="12:13" x14ac:dyDescent="0.2">
      <c r="L819" s="48"/>
      <c r="M819" s="48"/>
    </row>
    <row r="820" spans="12:13" x14ac:dyDescent="0.2">
      <c r="L820" s="48"/>
      <c r="M820" s="48"/>
    </row>
    <row r="821" spans="12:13" x14ac:dyDescent="0.2">
      <c r="L821" s="48"/>
      <c r="M821" s="48"/>
    </row>
    <row r="822" spans="12:13" x14ac:dyDescent="0.2">
      <c r="L822" s="48"/>
      <c r="M822" s="48"/>
    </row>
    <row r="823" spans="12:13" x14ac:dyDescent="0.2">
      <c r="L823" s="48"/>
      <c r="M823" s="48"/>
    </row>
    <row r="824" spans="12:13" x14ac:dyDescent="0.2">
      <c r="L824" s="48"/>
      <c r="M824" s="48"/>
    </row>
    <row r="825" spans="12:13" x14ac:dyDescent="0.2">
      <c r="L825" s="48"/>
      <c r="M825" s="48"/>
    </row>
    <row r="826" spans="12:13" x14ac:dyDescent="0.2">
      <c r="L826" s="48"/>
      <c r="M826" s="48"/>
    </row>
    <row r="827" spans="12:13" x14ac:dyDescent="0.2">
      <c r="L827" s="48"/>
      <c r="M827" s="48"/>
    </row>
    <row r="828" spans="12:13" x14ac:dyDescent="0.2">
      <c r="L828" s="48"/>
      <c r="M828" s="48"/>
    </row>
    <row r="829" spans="12:13" x14ac:dyDescent="0.2">
      <c r="L829" s="48"/>
      <c r="M829" s="48"/>
    </row>
    <row r="830" spans="12:13" x14ac:dyDescent="0.2">
      <c r="L830" s="48"/>
      <c r="M830" s="48"/>
    </row>
    <row r="831" spans="12:13" x14ac:dyDescent="0.2">
      <c r="L831" s="48"/>
      <c r="M831" s="48"/>
    </row>
    <row r="832" spans="12:13" x14ac:dyDescent="0.2">
      <c r="L832" s="48"/>
      <c r="M832" s="48"/>
    </row>
    <row r="833" spans="12:13" x14ac:dyDescent="0.2">
      <c r="L833" s="48"/>
      <c r="M833" s="48"/>
    </row>
    <row r="834" spans="12:13" x14ac:dyDescent="0.2">
      <c r="L834" s="48"/>
      <c r="M834" s="48"/>
    </row>
    <row r="835" spans="12:13" x14ac:dyDescent="0.2">
      <c r="L835" s="48"/>
      <c r="M835" s="48"/>
    </row>
    <row r="836" spans="12:13" x14ac:dyDescent="0.2">
      <c r="L836" s="48"/>
      <c r="M836" s="48"/>
    </row>
    <row r="837" spans="12:13" x14ac:dyDescent="0.2">
      <c r="L837" s="48"/>
      <c r="M837" s="48"/>
    </row>
    <row r="838" spans="12:13" x14ac:dyDescent="0.2">
      <c r="L838" s="48"/>
      <c r="M838" s="48"/>
    </row>
    <row r="839" spans="12:13" x14ac:dyDescent="0.2">
      <c r="L839" s="48"/>
      <c r="M839" s="48"/>
    </row>
    <row r="840" spans="12:13" x14ac:dyDescent="0.2">
      <c r="L840" s="48"/>
      <c r="M840" s="48"/>
    </row>
    <row r="841" spans="12:13" x14ac:dyDescent="0.2">
      <c r="L841" s="48"/>
      <c r="M841" s="48"/>
    </row>
    <row r="842" spans="12:13" x14ac:dyDescent="0.2">
      <c r="L842" s="48"/>
      <c r="M842" s="48"/>
    </row>
    <row r="843" spans="12:13" x14ac:dyDescent="0.2">
      <c r="L843" s="48"/>
      <c r="M843" s="48"/>
    </row>
    <row r="844" spans="12:13" x14ac:dyDescent="0.2">
      <c r="L844" s="48"/>
      <c r="M844" s="48"/>
    </row>
    <row r="845" spans="12:13" x14ac:dyDescent="0.2">
      <c r="L845" s="48"/>
      <c r="M845" s="48"/>
    </row>
    <row r="846" spans="12:13" x14ac:dyDescent="0.2">
      <c r="L846" s="48"/>
      <c r="M846" s="48"/>
    </row>
    <row r="847" spans="12:13" x14ac:dyDescent="0.2">
      <c r="L847" s="48"/>
      <c r="M847" s="48"/>
    </row>
    <row r="848" spans="12:13" x14ac:dyDescent="0.2">
      <c r="L848" s="48"/>
      <c r="M848" s="48"/>
    </row>
    <row r="849" spans="12:13" x14ac:dyDescent="0.2">
      <c r="L849" s="48"/>
      <c r="M849" s="48"/>
    </row>
    <row r="850" spans="12:13" x14ac:dyDescent="0.2">
      <c r="L850" s="48"/>
      <c r="M850" s="48"/>
    </row>
    <row r="851" spans="12:13" x14ac:dyDescent="0.2">
      <c r="L851" s="48"/>
      <c r="M851" s="48"/>
    </row>
    <row r="852" spans="12:13" x14ac:dyDescent="0.2">
      <c r="L852" s="48"/>
      <c r="M852" s="48"/>
    </row>
    <row r="853" spans="12:13" x14ac:dyDescent="0.2">
      <c r="L853" s="48"/>
      <c r="M853" s="48"/>
    </row>
    <row r="854" spans="12:13" x14ac:dyDescent="0.2">
      <c r="L854" s="48"/>
      <c r="M854" s="48"/>
    </row>
    <row r="855" spans="12:13" x14ac:dyDescent="0.2">
      <c r="L855" s="48"/>
      <c r="M855" s="48"/>
    </row>
    <row r="856" spans="12:13" x14ac:dyDescent="0.2">
      <c r="L856" s="48"/>
      <c r="M856" s="48"/>
    </row>
    <row r="857" spans="12:13" x14ac:dyDescent="0.2">
      <c r="L857" s="48"/>
      <c r="M857" s="48"/>
    </row>
    <row r="858" spans="12:13" x14ac:dyDescent="0.2">
      <c r="L858" s="48"/>
      <c r="M858" s="48"/>
    </row>
    <row r="859" spans="12:13" x14ac:dyDescent="0.2">
      <c r="L859" s="48"/>
      <c r="M859" s="48"/>
    </row>
    <row r="860" spans="12:13" x14ac:dyDescent="0.2">
      <c r="L860" s="48"/>
      <c r="M860" s="48"/>
    </row>
    <row r="861" spans="12:13" x14ac:dyDescent="0.2">
      <c r="L861" s="48"/>
      <c r="M861" s="48"/>
    </row>
    <row r="862" spans="12:13" x14ac:dyDescent="0.2">
      <c r="L862" s="48"/>
      <c r="M862" s="48"/>
    </row>
    <row r="863" spans="12:13" x14ac:dyDescent="0.2">
      <c r="L863" s="48"/>
      <c r="M863" s="48"/>
    </row>
    <row r="864" spans="12:13" x14ac:dyDescent="0.2">
      <c r="L864" s="48"/>
      <c r="M864" s="48"/>
    </row>
    <row r="865" spans="12:13" x14ac:dyDescent="0.2">
      <c r="L865" s="48"/>
      <c r="M865" s="48"/>
    </row>
    <row r="866" spans="12:13" x14ac:dyDescent="0.2">
      <c r="L866" s="48"/>
      <c r="M866" s="48"/>
    </row>
    <row r="867" spans="12:13" x14ac:dyDescent="0.2">
      <c r="L867" s="48"/>
      <c r="M867" s="48"/>
    </row>
    <row r="868" spans="12:13" x14ac:dyDescent="0.2">
      <c r="L868" s="48"/>
      <c r="M868" s="48"/>
    </row>
    <row r="869" spans="12:13" x14ac:dyDescent="0.2">
      <c r="L869" s="48"/>
      <c r="M869" s="48"/>
    </row>
    <row r="870" spans="12:13" x14ac:dyDescent="0.2">
      <c r="L870" s="48"/>
      <c r="M870" s="48"/>
    </row>
    <row r="871" spans="12:13" x14ac:dyDescent="0.2">
      <c r="L871" s="48"/>
      <c r="M871" s="48"/>
    </row>
    <row r="872" spans="12:13" x14ac:dyDescent="0.2">
      <c r="L872" s="48"/>
      <c r="M872" s="48"/>
    </row>
    <row r="873" spans="12:13" x14ac:dyDescent="0.2">
      <c r="L873" s="48"/>
      <c r="M873" s="48"/>
    </row>
    <row r="874" spans="12:13" x14ac:dyDescent="0.2">
      <c r="L874" s="48"/>
      <c r="M874" s="48"/>
    </row>
    <row r="875" spans="12:13" x14ac:dyDescent="0.2">
      <c r="L875" s="48"/>
      <c r="M875" s="48"/>
    </row>
    <row r="876" spans="12:13" x14ac:dyDescent="0.2">
      <c r="L876" s="48"/>
      <c r="M876" s="48"/>
    </row>
    <row r="877" spans="12:13" x14ac:dyDescent="0.2">
      <c r="L877" s="48"/>
      <c r="M877" s="48"/>
    </row>
    <row r="878" spans="12:13" x14ac:dyDescent="0.2">
      <c r="L878" s="48"/>
      <c r="M878" s="48"/>
    </row>
    <row r="879" spans="12:13" x14ac:dyDescent="0.2">
      <c r="L879" s="48"/>
      <c r="M879" s="48"/>
    </row>
    <row r="880" spans="12:13" x14ac:dyDescent="0.2">
      <c r="L880" s="48"/>
      <c r="M880" s="48"/>
    </row>
    <row r="881" spans="12:13" x14ac:dyDescent="0.2">
      <c r="L881" s="48"/>
      <c r="M881" s="48"/>
    </row>
    <row r="882" spans="12:13" x14ac:dyDescent="0.2">
      <c r="L882" s="48"/>
      <c r="M882" s="48"/>
    </row>
    <row r="883" spans="12:13" x14ac:dyDescent="0.2">
      <c r="L883" s="48"/>
      <c r="M883" s="48"/>
    </row>
    <row r="884" spans="12:13" x14ac:dyDescent="0.2">
      <c r="L884" s="48"/>
      <c r="M884" s="48"/>
    </row>
    <row r="885" spans="12:13" x14ac:dyDescent="0.2">
      <c r="L885" s="48"/>
      <c r="M885" s="48"/>
    </row>
    <row r="886" spans="12:13" x14ac:dyDescent="0.2">
      <c r="L886" s="48"/>
      <c r="M886" s="48"/>
    </row>
    <row r="887" spans="12:13" x14ac:dyDescent="0.2">
      <c r="L887" s="48"/>
      <c r="M887" s="48"/>
    </row>
    <row r="888" spans="12:13" x14ac:dyDescent="0.2">
      <c r="L888" s="48"/>
      <c r="M888" s="48"/>
    </row>
    <row r="889" spans="12:13" x14ac:dyDescent="0.2">
      <c r="L889" s="48"/>
      <c r="M889" s="48"/>
    </row>
    <row r="890" spans="12:13" x14ac:dyDescent="0.2">
      <c r="L890" s="48"/>
      <c r="M890" s="48"/>
    </row>
    <row r="891" spans="12:13" x14ac:dyDescent="0.2">
      <c r="L891" s="48"/>
      <c r="M891" s="48"/>
    </row>
    <row r="892" spans="12:13" x14ac:dyDescent="0.2">
      <c r="L892" s="48"/>
      <c r="M892" s="48"/>
    </row>
    <row r="893" spans="12:13" x14ac:dyDescent="0.2">
      <c r="L893" s="48"/>
      <c r="M893" s="48"/>
    </row>
    <row r="894" spans="12:13" x14ac:dyDescent="0.2">
      <c r="L894" s="48"/>
      <c r="M894" s="48"/>
    </row>
    <row r="895" spans="12:13" x14ac:dyDescent="0.2">
      <c r="L895" s="48"/>
      <c r="M895" s="48"/>
    </row>
    <row r="896" spans="12:13" x14ac:dyDescent="0.2">
      <c r="L896" s="48"/>
      <c r="M896" s="48"/>
    </row>
    <row r="897" spans="12:13" x14ac:dyDescent="0.2">
      <c r="L897" s="48"/>
      <c r="M897" s="48"/>
    </row>
    <row r="898" spans="12:13" x14ac:dyDescent="0.2">
      <c r="L898" s="48"/>
      <c r="M898" s="48"/>
    </row>
    <row r="899" spans="12:13" x14ac:dyDescent="0.2">
      <c r="L899" s="48"/>
      <c r="M899" s="48"/>
    </row>
    <row r="900" spans="12:13" x14ac:dyDescent="0.2">
      <c r="L900" s="48"/>
      <c r="M900" s="48"/>
    </row>
    <row r="901" spans="12:13" x14ac:dyDescent="0.2">
      <c r="L901" s="48"/>
      <c r="M901" s="48"/>
    </row>
    <row r="902" spans="12:13" x14ac:dyDescent="0.2">
      <c r="L902" s="48"/>
      <c r="M902" s="48"/>
    </row>
    <row r="903" spans="12:13" x14ac:dyDescent="0.2">
      <c r="L903" s="48"/>
      <c r="M903" s="48"/>
    </row>
    <row r="904" spans="12:13" x14ac:dyDescent="0.2">
      <c r="L904" s="48"/>
      <c r="M904" s="48"/>
    </row>
    <row r="905" spans="12:13" x14ac:dyDescent="0.2">
      <c r="L905" s="48"/>
      <c r="M905" s="48"/>
    </row>
    <row r="906" spans="12:13" x14ac:dyDescent="0.2">
      <c r="L906" s="48"/>
      <c r="M906" s="48"/>
    </row>
    <row r="907" spans="12:13" x14ac:dyDescent="0.2">
      <c r="L907" s="48"/>
      <c r="M907" s="48"/>
    </row>
    <row r="908" spans="12:13" x14ac:dyDescent="0.2">
      <c r="L908" s="48"/>
      <c r="M908" s="48"/>
    </row>
    <row r="909" spans="12:13" x14ac:dyDescent="0.2">
      <c r="L909" s="48"/>
      <c r="M909" s="48"/>
    </row>
    <row r="910" spans="12:13" x14ac:dyDescent="0.2">
      <c r="L910" s="48"/>
      <c r="M910" s="48"/>
    </row>
    <row r="911" spans="12:13" x14ac:dyDescent="0.2">
      <c r="L911" s="48"/>
      <c r="M911" s="48"/>
    </row>
    <row r="912" spans="12:13" x14ac:dyDescent="0.2">
      <c r="L912" s="48"/>
      <c r="M912" s="48"/>
    </row>
    <row r="913" spans="12:13" x14ac:dyDescent="0.2">
      <c r="L913" s="48"/>
      <c r="M913" s="48"/>
    </row>
    <row r="914" spans="12:13" x14ac:dyDescent="0.2">
      <c r="L914" s="48"/>
      <c r="M914" s="48"/>
    </row>
    <row r="915" spans="12:13" x14ac:dyDescent="0.2">
      <c r="L915" s="48"/>
      <c r="M915" s="48"/>
    </row>
    <row r="916" spans="12:13" x14ac:dyDescent="0.2">
      <c r="L916" s="48"/>
      <c r="M916" s="48"/>
    </row>
    <row r="917" spans="12:13" x14ac:dyDescent="0.2">
      <c r="L917" s="48"/>
      <c r="M917" s="48"/>
    </row>
    <row r="918" spans="12:13" x14ac:dyDescent="0.2">
      <c r="L918" s="48"/>
      <c r="M918" s="48"/>
    </row>
    <row r="919" spans="12:13" x14ac:dyDescent="0.2">
      <c r="L919" s="48"/>
      <c r="M919" s="48"/>
    </row>
    <row r="920" spans="12:13" x14ac:dyDescent="0.2">
      <c r="L920" s="48"/>
      <c r="M920" s="48"/>
    </row>
    <row r="921" spans="12:13" x14ac:dyDescent="0.2">
      <c r="L921" s="48"/>
      <c r="M921" s="48"/>
    </row>
    <row r="922" spans="12:13" x14ac:dyDescent="0.2">
      <c r="L922" s="48"/>
      <c r="M922" s="48"/>
    </row>
    <row r="923" spans="12:13" x14ac:dyDescent="0.2">
      <c r="L923" s="48"/>
      <c r="M923" s="48"/>
    </row>
    <row r="924" spans="12:13" x14ac:dyDescent="0.2">
      <c r="L924" s="48"/>
      <c r="M924" s="48"/>
    </row>
    <row r="925" spans="12:13" x14ac:dyDescent="0.2">
      <c r="L925" s="48"/>
      <c r="M925" s="48"/>
    </row>
    <row r="926" spans="12:13" x14ac:dyDescent="0.2">
      <c r="L926" s="48"/>
      <c r="M926" s="48"/>
    </row>
    <row r="927" spans="12:13" x14ac:dyDescent="0.2">
      <c r="L927" s="48"/>
      <c r="M927" s="48"/>
    </row>
    <row r="928" spans="12:13" x14ac:dyDescent="0.2">
      <c r="L928" s="48"/>
      <c r="M928" s="48"/>
    </row>
    <row r="929" spans="12:13" x14ac:dyDescent="0.2">
      <c r="L929" s="48"/>
      <c r="M929" s="48"/>
    </row>
    <row r="930" spans="12:13" x14ac:dyDescent="0.2">
      <c r="L930" s="48"/>
      <c r="M930" s="48"/>
    </row>
    <row r="931" spans="12:13" x14ac:dyDescent="0.2">
      <c r="L931" s="48"/>
      <c r="M931" s="48"/>
    </row>
    <row r="932" spans="12:13" x14ac:dyDescent="0.2">
      <c r="L932" s="48"/>
      <c r="M932" s="48"/>
    </row>
    <row r="933" spans="12:13" x14ac:dyDescent="0.2">
      <c r="L933" s="48"/>
      <c r="M933" s="48"/>
    </row>
    <row r="934" spans="12:13" x14ac:dyDescent="0.2">
      <c r="L934" s="48"/>
      <c r="M934" s="48"/>
    </row>
    <row r="935" spans="12:13" x14ac:dyDescent="0.2">
      <c r="L935" s="48"/>
      <c r="M935" s="48"/>
    </row>
    <row r="936" spans="12:13" x14ac:dyDescent="0.2">
      <c r="L936" s="48"/>
      <c r="M936" s="48"/>
    </row>
    <row r="937" spans="12:13" x14ac:dyDescent="0.2">
      <c r="L937" s="48"/>
      <c r="M937" s="48"/>
    </row>
    <row r="938" spans="12:13" x14ac:dyDescent="0.2">
      <c r="L938" s="48"/>
      <c r="M938" s="48"/>
    </row>
    <row r="939" spans="12:13" x14ac:dyDescent="0.2">
      <c r="L939" s="48"/>
      <c r="M939" s="48"/>
    </row>
    <row r="940" spans="12:13" x14ac:dyDescent="0.2">
      <c r="L940" s="48"/>
      <c r="M940" s="48"/>
    </row>
    <row r="941" spans="12:13" x14ac:dyDescent="0.2">
      <c r="L941" s="48"/>
      <c r="M941" s="48"/>
    </row>
    <row r="942" spans="12:13" x14ac:dyDescent="0.2">
      <c r="L942" s="48"/>
      <c r="M942" s="48"/>
    </row>
    <row r="943" spans="12:13" x14ac:dyDescent="0.2">
      <c r="L943" s="48"/>
      <c r="M943" s="48"/>
    </row>
    <row r="944" spans="12:13" x14ac:dyDescent="0.2">
      <c r="L944" s="48"/>
      <c r="M944" s="48"/>
    </row>
    <row r="945" spans="12:13" x14ac:dyDescent="0.2">
      <c r="L945" s="48"/>
      <c r="M945" s="48"/>
    </row>
    <row r="946" spans="12:13" x14ac:dyDescent="0.2">
      <c r="L946" s="48"/>
      <c r="M946" s="48"/>
    </row>
    <row r="947" spans="12:13" x14ac:dyDescent="0.2">
      <c r="L947" s="48"/>
      <c r="M947" s="48"/>
    </row>
    <row r="948" spans="12:13" x14ac:dyDescent="0.2">
      <c r="L948" s="48"/>
      <c r="M948" s="48"/>
    </row>
    <row r="949" spans="12:13" x14ac:dyDescent="0.2">
      <c r="L949" s="48"/>
      <c r="M949" s="48"/>
    </row>
    <row r="950" spans="12:13" x14ac:dyDescent="0.2">
      <c r="L950" s="48"/>
      <c r="M950" s="48"/>
    </row>
    <row r="951" spans="12:13" x14ac:dyDescent="0.2">
      <c r="L951" s="48"/>
      <c r="M951" s="48"/>
    </row>
    <row r="952" spans="12:13" x14ac:dyDescent="0.2">
      <c r="L952" s="48"/>
      <c r="M952" s="48"/>
    </row>
    <row r="953" spans="12:13" x14ac:dyDescent="0.2">
      <c r="L953" s="48"/>
      <c r="M953" s="48"/>
    </row>
    <row r="954" spans="12:13" x14ac:dyDescent="0.2">
      <c r="L954" s="48"/>
      <c r="M954" s="48"/>
    </row>
    <row r="955" spans="12:13" x14ac:dyDescent="0.2">
      <c r="L955" s="48"/>
      <c r="M955" s="48"/>
    </row>
    <row r="956" spans="12:13" x14ac:dyDescent="0.2">
      <c r="L956" s="48"/>
      <c r="M956" s="48"/>
    </row>
    <row r="957" spans="12:13" x14ac:dyDescent="0.2">
      <c r="L957" s="48"/>
      <c r="M957" s="48"/>
    </row>
    <row r="958" spans="12:13" x14ac:dyDescent="0.2">
      <c r="L958" s="48"/>
      <c r="M958" s="48"/>
    </row>
    <row r="959" spans="12:13" x14ac:dyDescent="0.2">
      <c r="L959" s="48"/>
      <c r="M959" s="48"/>
    </row>
    <row r="960" spans="12:13" x14ac:dyDescent="0.2">
      <c r="L960" s="48"/>
      <c r="M960" s="48"/>
    </row>
    <row r="961" spans="12:13" x14ac:dyDescent="0.2">
      <c r="L961" s="48"/>
      <c r="M961" s="48"/>
    </row>
    <row r="962" spans="12:13" x14ac:dyDescent="0.2">
      <c r="L962" s="48"/>
      <c r="M962" s="48"/>
    </row>
    <row r="963" spans="12:13" x14ac:dyDescent="0.2">
      <c r="L963" s="48"/>
      <c r="M963" s="48"/>
    </row>
    <row r="964" spans="12:13" x14ac:dyDescent="0.2">
      <c r="L964" s="48"/>
      <c r="M964" s="48"/>
    </row>
    <row r="965" spans="12:13" x14ac:dyDescent="0.2">
      <c r="L965" s="48"/>
      <c r="M965" s="48"/>
    </row>
    <row r="966" spans="12:13" x14ac:dyDescent="0.2">
      <c r="L966" s="48"/>
      <c r="M966" s="48"/>
    </row>
    <row r="967" spans="12:13" x14ac:dyDescent="0.2">
      <c r="L967" s="48"/>
      <c r="M967" s="48"/>
    </row>
    <row r="968" spans="12:13" x14ac:dyDescent="0.2">
      <c r="L968" s="48"/>
      <c r="M968" s="48"/>
    </row>
    <row r="969" spans="12:13" x14ac:dyDescent="0.2">
      <c r="L969" s="48"/>
      <c r="M969" s="48"/>
    </row>
    <row r="970" spans="12:13" x14ac:dyDescent="0.2">
      <c r="L970" s="48"/>
      <c r="M970" s="48"/>
    </row>
    <row r="971" spans="12:13" x14ac:dyDescent="0.2">
      <c r="L971" s="48"/>
      <c r="M971" s="48"/>
    </row>
    <row r="972" spans="12:13" x14ac:dyDescent="0.2">
      <c r="L972" s="48"/>
      <c r="M972" s="48"/>
    </row>
    <row r="973" spans="12:13" x14ac:dyDescent="0.2">
      <c r="L973" s="48"/>
      <c r="M973" s="48"/>
    </row>
    <row r="974" spans="12:13" x14ac:dyDescent="0.2">
      <c r="L974" s="48"/>
      <c r="M974" s="48"/>
    </row>
    <row r="975" spans="12:13" x14ac:dyDescent="0.2">
      <c r="L975" s="48"/>
      <c r="M975" s="48"/>
    </row>
    <row r="976" spans="12:13" x14ac:dyDescent="0.2">
      <c r="L976" s="48"/>
      <c r="M976" s="48"/>
    </row>
    <row r="977" spans="12:13" x14ac:dyDescent="0.2">
      <c r="L977" s="48"/>
      <c r="M977" s="48"/>
    </row>
    <row r="978" spans="12:13" x14ac:dyDescent="0.2">
      <c r="L978" s="48"/>
      <c r="M978" s="48"/>
    </row>
    <row r="979" spans="12:13" x14ac:dyDescent="0.2">
      <c r="L979" s="48"/>
      <c r="M979" s="48"/>
    </row>
    <row r="980" spans="12:13" x14ac:dyDescent="0.2">
      <c r="L980" s="48"/>
      <c r="M980" s="48"/>
    </row>
    <row r="981" spans="12:13" x14ac:dyDescent="0.2">
      <c r="L981" s="48"/>
      <c r="M981" s="48"/>
    </row>
    <row r="982" spans="12:13" x14ac:dyDescent="0.2">
      <c r="L982" s="48"/>
      <c r="M982" s="48"/>
    </row>
    <row r="983" spans="12:13" x14ac:dyDescent="0.2">
      <c r="L983" s="48"/>
      <c r="M983" s="48"/>
    </row>
    <row r="984" spans="12:13" x14ac:dyDescent="0.2">
      <c r="L984" s="48"/>
      <c r="M984" s="48"/>
    </row>
    <row r="985" spans="12:13" x14ac:dyDescent="0.2">
      <c r="L985" s="48"/>
      <c r="M985" s="48"/>
    </row>
    <row r="986" spans="12:13" x14ac:dyDescent="0.2">
      <c r="L986" s="48"/>
      <c r="M986" s="48"/>
    </row>
    <row r="987" spans="12:13" x14ac:dyDescent="0.2">
      <c r="L987" s="48"/>
      <c r="M987" s="48"/>
    </row>
    <row r="988" spans="12:13" x14ac:dyDescent="0.2">
      <c r="L988" s="48"/>
      <c r="M988" s="48"/>
    </row>
    <row r="989" spans="12:13" x14ac:dyDescent="0.2">
      <c r="L989" s="48"/>
      <c r="M989" s="48"/>
    </row>
    <row r="990" spans="12:13" x14ac:dyDescent="0.2">
      <c r="L990" s="48"/>
      <c r="M990" s="48"/>
    </row>
    <row r="991" spans="12:13" x14ac:dyDescent="0.2">
      <c r="L991" s="48"/>
      <c r="M991" s="48"/>
    </row>
    <row r="992" spans="12:13" x14ac:dyDescent="0.2">
      <c r="L992" s="48"/>
      <c r="M992" s="48"/>
    </row>
    <row r="993" spans="12:13" x14ac:dyDescent="0.2">
      <c r="L993" s="48"/>
      <c r="M993" s="48"/>
    </row>
    <row r="994" spans="12:13" x14ac:dyDescent="0.2">
      <c r="L994" s="48"/>
      <c r="M994" s="48"/>
    </row>
    <row r="995" spans="12:13" x14ac:dyDescent="0.2">
      <c r="L995" s="48"/>
      <c r="M995" s="48"/>
    </row>
    <row r="996" spans="12:13" x14ac:dyDescent="0.2">
      <c r="L996" s="48"/>
      <c r="M996" s="48"/>
    </row>
    <row r="997" spans="12:13" x14ac:dyDescent="0.2">
      <c r="L997" s="48"/>
      <c r="M997" s="48"/>
    </row>
    <row r="998" spans="12:13" x14ac:dyDescent="0.2">
      <c r="L998" s="48"/>
      <c r="M998" s="48"/>
    </row>
    <row r="999" spans="12:13" x14ac:dyDescent="0.2">
      <c r="L999" s="48"/>
      <c r="M999" s="48"/>
    </row>
    <row r="1000" spans="12:13" x14ac:dyDescent="0.2">
      <c r="L1000" s="48"/>
      <c r="M1000" s="48"/>
    </row>
    <row r="1001" spans="12:13" x14ac:dyDescent="0.2">
      <c r="L1001" s="48"/>
      <c r="M1001" s="48"/>
    </row>
    <row r="1002" spans="12:13" x14ac:dyDescent="0.2">
      <c r="L1002" s="48"/>
      <c r="M1002" s="48"/>
    </row>
    <row r="1003" spans="12:13" x14ac:dyDescent="0.2">
      <c r="L1003" s="48"/>
      <c r="M1003" s="48"/>
    </row>
    <row r="1004" spans="12:13" x14ac:dyDescent="0.2">
      <c r="L1004" s="48"/>
      <c r="M1004" s="48"/>
    </row>
    <row r="1005" spans="12:13" x14ac:dyDescent="0.2">
      <c r="L1005" s="48"/>
      <c r="M1005" s="48"/>
    </row>
    <row r="1006" spans="12:13" x14ac:dyDescent="0.2">
      <c r="L1006" s="48"/>
      <c r="M1006" s="48"/>
    </row>
    <row r="1007" spans="12:13" x14ac:dyDescent="0.2">
      <c r="L1007" s="48"/>
      <c r="M1007" s="48"/>
    </row>
    <row r="1008" spans="12:13" x14ac:dyDescent="0.2">
      <c r="L1008" s="48"/>
      <c r="M1008" s="48"/>
    </row>
    <row r="1009" spans="12:13" x14ac:dyDescent="0.2">
      <c r="L1009" s="48"/>
      <c r="M1009" s="48"/>
    </row>
    <row r="1010" spans="12:13" x14ac:dyDescent="0.2">
      <c r="L1010" s="48"/>
      <c r="M1010" s="48"/>
    </row>
    <row r="1011" spans="12:13" x14ac:dyDescent="0.2">
      <c r="L1011" s="48"/>
      <c r="M1011" s="48"/>
    </row>
    <row r="1012" spans="12:13" x14ac:dyDescent="0.2">
      <c r="L1012" s="48"/>
      <c r="M1012" s="48"/>
    </row>
    <row r="1013" spans="12:13" x14ac:dyDescent="0.2">
      <c r="L1013" s="48"/>
      <c r="M1013" s="48"/>
    </row>
    <row r="1014" spans="12:13" x14ac:dyDescent="0.2">
      <c r="L1014" s="48"/>
      <c r="M1014" s="48"/>
    </row>
    <row r="1015" spans="12:13" x14ac:dyDescent="0.2">
      <c r="L1015" s="48"/>
      <c r="M1015" s="48"/>
    </row>
    <row r="1016" spans="12:13" x14ac:dyDescent="0.2">
      <c r="L1016" s="48"/>
      <c r="M1016" s="48"/>
    </row>
    <row r="1017" spans="12:13" x14ac:dyDescent="0.2">
      <c r="L1017" s="48"/>
      <c r="M1017" s="48"/>
    </row>
    <row r="1018" spans="12:13" x14ac:dyDescent="0.2">
      <c r="L1018" s="48"/>
      <c r="M1018" s="48"/>
    </row>
    <row r="1019" spans="12:13" x14ac:dyDescent="0.2">
      <c r="L1019" s="48"/>
      <c r="M1019" s="48"/>
    </row>
    <row r="1020" spans="12:13" x14ac:dyDescent="0.2">
      <c r="L1020" s="48"/>
      <c r="M1020" s="48"/>
    </row>
    <row r="1021" spans="12:13" x14ac:dyDescent="0.2">
      <c r="L1021" s="48"/>
      <c r="M1021" s="48"/>
    </row>
    <row r="1022" spans="12:13" x14ac:dyDescent="0.2">
      <c r="L1022" s="48"/>
      <c r="M1022" s="48"/>
    </row>
    <row r="1023" spans="12:13" x14ac:dyDescent="0.2">
      <c r="L1023" s="48"/>
      <c r="M1023" s="48"/>
    </row>
    <row r="1024" spans="12:13" x14ac:dyDescent="0.2">
      <c r="L1024" s="48"/>
      <c r="M1024" s="48"/>
    </row>
    <row r="1025" spans="12:13" x14ac:dyDescent="0.2">
      <c r="L1025" s="48"/>
      <c r="M1025" s="48"/>
    </row>
    <row r="1026" spans="12:13" x14ac:dyDescent="0.2">
      <c r="L1026" s="48"/>
      <c r="M1026" s="48"/>
    </row>
    <row r="1027" spans="12:13" x14ac:dyDescent="0.2">
      <c r="L1027" s="48"/>
      <c r="M1027" s="48"/>
    </row>
    <row r="1028" spans="12:13" x14ac:dyDescent="0.2">
      <c r="L1028" s="48"/>
      <c r="M1028" s="48"/>
    </row>
    <row r="1029" spans="12:13" x14ac:dyDescent="0.2">
      <c r="L1029" s="48"/>
      <c r="M1029" s="48"/>
    </row>
    <row r="1030" spans="12:13" x14ac:dyDescent="0.2">
      <c r="L1030" s="48"/>
      <c r="M1030" s="48"/>
    </row>
    <row r="1031" spans="12:13" x14ac:dyDescent="0.2">
      <c r="L1031" s="48"/>
      <c r="M1031" s="48"/>
    </row>
    <row r="1032" spans="12:13" x14ac:dyDescent="0.2">
      <c r="L1032" s="48"/>
      <c r="M1032" s="48"/>
    </row>
    <row r="1033" spans="12:13" x14ac:dyDescent="0.2">
      <c r="L1033" s="48"/>
      <c r="M1033" s="48"/>
    </row>
    <row r="1034" spans="12:13" x14ac:dyDescent="0.2">
      <c r="L1034" s="48"/>
      <c r="M1034" s="48"/>
    </row>
    <row r="1035" spans="12:13" x14ac:dyDescent="0.2">
      <c r="L1035" s="48"/>
      <c r="M1035" s="48"/>
    </row>
    <row r="1036" spans="12:13" x14ac:dyDescent="0.2">
      <c r="L1036" s="48"/>
      <c r="M1036" s="48"/>
    </row>
    <row r="1037" spans="12:13" x14ac:dyDescent="0.2">
      <c r="L1037" s="48"/>
      <c r="M1037" s="48"/>
    </row>
    <row r="1038" spans="12:13" x14ac:dyDescent="0.2">
      <c r="L1038" s="48"/>
      <c r="M1038" s="48"/>
    </row>
    <row r="1039" spans="12:13" x14ac:dyDescent="0.2">
      <c r="L1039" s="48"/>
      <c r="M1039" s="48"/>
    </row>
    <row r="1040" spans="12:13" x14ac:dyDescent="0.2">
      <c r="L1040" s="48"/>
      <c r="M1040" s="48"/>
    </row>
    <row r="1041" spans="12:13" x14ac:dyDescent="0.2">
      <c r="L1041" s="48"/>
      <c r="M1041" s="48"/>
    </row>
    <row r="1042" spans="12:13" x14ac:dyDescent="0.2">
      <c r="L1042" s="48"/>
      <c r="M1042" s="48"/>
    </row>
    <row r="1043" spans="12:13" x14ac:dyDescent="0.2">
      <c r="L1043" s="48"/>
      <c r="M1043" s="48"/>
    </row>
    <row r="1044" spans="12:13" x14ac:dyDescent="0.2">
      <c r="L1044" s="48"/>
      <c r="M1044" s="48"/>
    </row>
    <row r="1045" spans="12:13" x14ac:dyDescent="0.2">
      <c r="L1045" s="48"/>
      <c r="M1045" s="48"/>
    </row>
    <row r="1046" spans="12:13" x14ac:dyDescent="0.2">
      <c r="L1046" s="48"/>
      <c r="M1046" s="48"/>
    </row>
    <row r="1047" spans="12:13" x14ac:dyDescent="0.2">
      <c r="L1047" s="48"/>
      <c r="M1047" s="48"/>
    </row>
    <row r="1048" spans="12:13" x14ac:dyDescent="0.2">
      <c r="L1048" s="48"/>
      <c r="M1048" s="48"/>
    </row>
    <row r="1049" spans="12:13" x14ac:dyDescent="0.2">
      <c r="L1049" s="48"/>
      <c r="M1049" s="48"/>
    </row>
    <row r="1050" spans="12:13" x14ac:dyDescent="0.2">
      <c r="L1050" s="48"/>
      <c r="M1050" s="48"/>
    </row>
    <row r="1051" spans="12:13" x14ac:dyDescent="0.2">
      <c r="L1051" s="48"/>
      <c r="M1051" s="48"/>
    </row>
    <row r="1052" spans="12:13" x14ac:dyDescent="0.2">
      <c r="L1052" s="48"/>
      <c r="M1052" s="48"/>
    </row>
    <row r="1053" spans="12:13" x14ac:dyDescent="0.2">
      <c r="L1053" s="48"/>
      <c r="M1053" s="48"/>
    </row>
    <row r="1054" spans="12:13" x14ac:dyDescent="0.2">
      <c r="L1054" s="48"/>
      <c r="M1054" s="48"/>
    </row>
    <row r="1055" spans="12:13" x14ac:dyDescent="0.2">
      <c r="L1055" s="48"/>
      <c r="M1055" s="48"/>
    </row>
    <row r="1056" spans="12:13" x14ac:dyDescent="0.2">
      <c r="L1056" s="48"/>
      <c r="M1056" s="48"/>
    </row>
    <row r="1057" spans="12:13" x14ac:dyDescent="0.2">
      <c r="L1057" s="48"/>
      <c r="M1057" s="48"/>
    </row>
    <row r="1058" spans="12:13" x14ac:dyDescent="0.2">
      <c r="L1058" s="48"/>
      <c r="M1058" s="48"/>
    </row>
    <row r="1059" spans="12:13" x14ac:dyDescent="0.2">
      <c r="L1059" s="48"/>
      <c r="M1059" s="48"/>
    </row>
    <row r="1060" spans="12:13" x14ac:dyDescent="0.2">
      <c r="L1060" s="48"/>
      <c r="M1060" s="48"/>
    </row>
    <row r="1061" spans="12:13" x14ac:dyDescent="0.2">
      <c r="L1061" s="48"/>
      <c r="M1061" s="48"/>
    </row>
    <row r="1062" spans="12:13" x14ac:dyDescent="0.2">
      <c r="L1062" s="48"/>
      <c r="M1062" s="48"/>
    </row>
    <row r="1063" spans="12:13" x14ac:dyDescent="0.2">
      <c r="L1063" s="48"/>
      <c r="M1063" s="48"/>
    </row>
    <row r="1064" spans="12:13" x14ac:dyDescent="0.2">
      <c r="L1064" s="48"/>
      <c r="M1064" s="48"/>
    </row>
    <row r="1065" spans="12:13" x14ac:dyDescent="0.2">
      <c r="L1065" s="48"/>
      <c r="M1065" s="48"/>
    </row>
    <row r="1066" spans="12:13" x14ac:dyDescent="0.2">
      <c r="L1066" s="48"/>
      <c r="M1066" s="48"/>
    </row>
    <row r="1067" spans="12:13" x14ac:dyDescent="0.2">
      <c r="L1067" s="48"/>
      <c r="M1067" s="48"/>
    </row>
    <row r="1068" spans="12:13" x14ac:dyDescent="0.2">
      <c r="L1068" s="48"/>
      <c r="M1068" s="48"/>
    </row>
    <row r="1069" spans="12:13" x14ac:dyDescent="0.2">
      <c r="L1069" s="48"/>
      <c r="M1069" s="48"/>
    </row>
    <row r="1070" spans="12:13" x14ac:dyDescent="0.2">
      <c r="L1070" s="48"/>
      <c r="M1070" s="48"/>
    </row>
    <row r="1071" spans="12:13" x14ac:dyDescent="0.2">
      <c r="L1071" s="48"/>
      <c r="M1071" s="48"/>
    </row>
    <row r="1072" spans="12:13" x14ac:dyDescent="0.2">
      <c r="L1072" s="48"/>
      <c r="M1072" s="48"/>
    </row>
    <row r="1073" spans="12:13" x14ac:dyDescent="0.2">
      <c r="L1073" s="48"/>
      <c r="M1073" s="48"/>
    </row>
    <row r="1074" spans="12:13" x14ac:dyDescent="0.2">
      <c r="L1074" s="48"/>
      <c r="M1074" s="48"/>
    </row>
    <row r="1075" spans="12:13" x14ac:dyDescent="0.2">
      <c r="L1075" s="48"/>
      <c r="M1075" s="48"/>
    </row>
    <row r="1076" spans="12:13" x14ac:dyDescent="0.2">
      <c r="L1076" s="48"/>
      <c r="M1076" s="48"/>
    </row>
    <row r="1077" spans="12:13" x14ac:dyDescent="0.2">
      <c r="L1077" s="48"/>
      <c r="M1077" s="48"/>
    </row>
    <row r="1078" spans="12:13" x14ac:dyDescent="0.2">
      <c r="L1078" s="48"/>
      <c r="M1078" s="48"/>
    </row>
    <row r="1079" spans="12:13" x14ac:dyDescent="0.2">
      <c r="L1079" s="48"/>
      <c r="M1079" s="48"/>
    </row>
    <row r="1080" spans="12:13" x14ac:dyDescent="0.2">
      <c r="L1080" s="48"/>
      <c r="M1080" s="48"/>
    </row>
    <row r="1081" spans="12:13" x14ac:dyDescent="0.2">
      <c r="L1081" s="48"/>
      <c r="M1081" s="48"/>
    </row>
    <row r="1082" spans="12:13" x14ac:dyDescent="0.2">
      <c r="L1082" s="48"/>
      <c r="M1082" s="48"/>
    </row>
    <row r="1083" spans="12:13" x14ac:dyDescent="0.2">
      <c r="L1083" s="48"/>
      <c r="M1083" s="48"/>
    </row>
    <row r="1084" spans="12:13" x14ac:dyDescent="0.2">
      <c r="L1084" s="48"/>
      <c r="M1084" s="48"/>
    </row>
    <row r="1085" spans="12:13" x14ac:dyDescent="0.2">
      <c r="L1085" s="48"/>
      <c r="M1085" s="48"/>
    </row>
    <row r="1086" spans="12:13" x14ac:dyDescent="0.2">
      <c r="L1086" s="48"/>
      <c r="M1086" s="48"/>
    </row>
    <row r="1087" spans="12:13" x14ac:dyDescent="0.2">
      <c r="L1087" s="48"/>
      <c r="M1087" s="48"/>
    </row>
    <row r="1088" spans="12:13" x14ac:dyDescent="0.2">
      <c r="L1088" s="48"/>
      <c r="M1088" s="48"/>
    </row>
    <row r="1089" spans="12:13" x14ac:dyDescent="0.2">
      <c r="L1089" s="48"/>
      <c r="M1089" s="48"/>
    </row>
    <row r="1090" spans="12:13" x14ac:dyDescent="0.2">
      <c r="L1090" s="48"/>
      <c r="M1090" s="48"/>
    </row>
    <row r="1091" spans="12:13" x14ac:dyDescent="0.2">
      <c r="L1091" s="48"/>
      <c r="M1091" s="48"/>
    </row>
    <row r="1092" spans="12:13" x14ac:dyDescent="0.2">
      <c r="L1092" s="48"/>
      <c r="M1092" s="48"/>
    </row>
    <row r="1093" spans="12:13" x14ac:dyDescent="0.2">
      <c r="L1093" s="48"/>
      <c r="M1093" s="48"/>
    </row>
    <row r="1094" spans="12:13" x14ac:dyDescent="0.2">
      <c r="L1094" s="48"/>
      <c r="M1094" s="48"/>
    </row>
    <row r="1095" spans="12:13" x14ac:dyDescent="0.2">
      <c r="L1095" s="48"/>
      <c r="M1095" s="48"/>
    </row>
    <row r="1096" spans="12:13" x14ac:dyDescent="0.2">
      <c r="L1096" s="48"/>
      <c r="M1096" s="48"/>
    </row>
    <row r="1097" spans="12:13" x14ac:dyDescent="0.2">
      <c r="L1097" s="48"/>
      <c r="M1097" s="48"/>
    </row>
    <row r="1098" spans="12:13" x14ac:dyDescent="0.2">
      <c r="L1098" s="48"/>
      <c r="M1098" s="48"/>
    </row>
    <row r="1099" spans="12:13" x14ac:dyDescent="0.2">
      <c r="L1099" s="48"/>
      <c r="M1099" s="48"/>
    </row>
    <row r="1100" spans="12:13" x14ac:dyDescent="0.2">
      <c r="L1100" s="48"/>
      <c r="M1100" s="48"/>
    </row>
    <row r="1101" spans="12:13" x14ac:dyDescent="0.2">
      <c r="L1101" s="48"/>
      <c r="M1101" s="48"/>
    </row>
    <row r="1102" spans="12:13" x14ac:dyDescent="0.2">
      <c r="L1102" s="48"/>
      <c r="M1102" s="48"/>
    </row>
    <row r="1103" spans="12:13" x14ac:dyDescent="0.2">
      <c r="L1103" s="48"/>
      <c r="M1103" s="48"/>
    </row>
    <row r="1104" spans="12:13" x14ac:dyDescent="0.2">
      <c r="L1104" s="48"/>
      <c r="M1104" s="48"/>
    </row>
    <row r="1105" spans="12:13" x14ac:dyDescent="0.2">
      <c r="L1105" s="48"/>
      <c r="M1105" s="48"/>
    </row>
    <row r="1106" spans="12:13" x14ac:dyDescent="0.2">
      <c r="L1106" s="48"/>
      <c r="M1106" s="48"/>
    </row>
    <row r="1107" spans="12:13" x14ac:dyDescent="0.2">
      <c r="L1107" s="48"/>
      <c r="M1107" s="48"/>
    </row>
    <row r="1108" spans="12:13" x14ac:dyDescent="0.2">
      <c r="L1108" s="48"/>
      <c r="M1108" s="48"/>
    </row>
    <row r="1109" spans="12:13" x14ac:dyDescent="0.2">
      <c r="L1109" s="48"/>
      <c r="M1109" s="48"/>
    </row>
    <row r="1110" spans="12:13" x14ac:dyDescent="0.2">
      <c r="L1110" s="48"/>
      <c r="M1110" s="48"/>
    </row>
    <row r="1111" spans="12:13" x14ac:dyDescent="0.2">
      <c r="L1111" s="48"/>
      <c r="M1111" s="48"/>
    </row>
    <row r="1112" spans="12:13" x14ac:dyDescent="0.2">
      <c r="L1112" s="48"/>
      <c r="M1112" s="48"/>
    </row>
    <row r="1113" spans="12:13" x14ac:dyDescent="0.2">
      <c r="L1113" s="48"/>
      <c r="M1113" s="48"/>
    </row>
    <row r="1114" spans="12:13" x14ac:dyDescent="0.2">
      <c r="L1114" s="48"/>
      <c r="M1114" s="48"/>
    </row>
    <row r="1115" spans="12:13" x14ac:dyDescent="0.2">
      <c r="L1115" s="48"/>
      <c r="M1115" s="48"/>
    </row>
    <row r="1116" spans="12:13" x14ac:dyDescent="0.2">
      <c r="L1116" s="48"/>
      <c r="M1116" s="48"/>
    </row>
    <row r="1117" spans="12:13" x14ac:dyDescent="0.2">
      <c r="L1117" s="48"/>
      <c r="M1117" s="48"/>
    </row>
    <row r="1118" spans="12:13" x14ac:dyDescent="0.2">
      <c r="L1118" s="48"/>
      <c r="M1118" s="48"/>
    </row>
    <row r="1119" spans="12:13" x14ac:dyDescent="0.2">
      <c r="L1119" s="48"/>
      <c r="M1119" s="48"/>
    </row>
    <row r="1120" spans="12:13" x14ac:dyDescent="0.2">
      <c r="L1120" s="48"/>
      <c r="M1120" s="48"/>
    </row>
    <row r="1121" spans="12:13" x14ac:dyDescent="0.2">
      <c r="L1121" s="48"/>
      <c r="M1121" s="48"/>
    </row>
    <row r="1122" spans="12:13" x14ac:dyDescent="0.2">
      <c r="L1122" s="48"/>
      <c r="M1122" s="48"/>
    </row>
    <row r="1123" spans="12:13" x14ac:dyDescent="0.2">
      <c r="L1123" s="48"/>
      <c r="M1123" s="48"/>
    </row>
    <row r="1124" spans="12:13" x14ac:dyDescent="0.2">
      <c r="L1124" s="48"/>
      <c r="M1124" s="48"/>
    </row>
    <row r="1125" spans="12:13" x14ac:dyDescent="0.2">
      <c r="L1125" s="48"/>
      <c r="M1125" s="48"/>
    </row>
    <row r="1126" spans="12:13" x14ac:dyDescent="0.2">
      <c r="L1126" s="48"/>
      <c r="M1126" s="48"/>
    </row>
    <row r="1127" spans="12:13" x14ac:dyDescent="0.2">
      <c r="L1127" s="48"/>
      <c r="M1127" s="48"/>
    </row>
    <row r="1128" spans="12:13" x14ac:dyDescent="0.2">
      <c r="L1128" s="48"/>
      <c r="M1128" s="48"/>
    </row>
    <row r="1129" spans="12:13" x14ac:dyDescent="0.2">
      <c r="L1129" s="48"/>
      <c r="M1129" s="48"/>
    </row>
    <row r="1130" spans="12:13" x14ac:dyDescent="0.2">
      <c r="L1130" s="48"/>
      <c r="M1130" s="48"/>
    </row>
    <row r="1131" spans="12:13" x14ac:dyDescent="0.2">
      <c r="L1131" s="48"/>
      <c r="M1131" s="48"/>
    </row>
    <row r="1132" spans="12:13" x14ac:dyDescent="0.2">
      <c r="L1132" s="48"/>
      <c r="M1132" s="48"/>
    </row>
    <row r="1133" spans="12:13" x14ac:dyDescent="0.2">
      <c r="L1133" s="48"/>
      <c r="M1133" s="48"/>
    </row>
    <row r="1134" spans="12:13" x14ac:dyDescent="0.2">
      <c r="L1134" s="48"/>
      <c r="M1134" s="48"/>
    </row>
    <row r="1135" spans="12:13" x14ac:dyDescent="0.2">
      <c r="L1135" s="48"/>
      <c r="M1135" s="48"/>
    </row>
    <row r="1136" spans="12:13" x14ac:dyDescent="0.2">
      <c r="L1136" s="48"/>
      <c r="M1136" s="48"/>
    </row>
    <row r="1137" spans="12:13" x14ac:dyDescent="0.2">
      <c r="L1137" s="48"/>
      <c r="M1137" s="48"/>
    </row>
    <row r="1138" spans="12:13" x14ac:dyDescent="0.2">
      <c r="L1138" s="48"/>
      <c r="M1138" s="48"/>
    </row>
    <row r="1139" spans="12:13" x14ac:dyDescent="0.2">
      <c r="L1139" s="48"/>
      <c r="M1139" s="48"/>
    </row>
    <row r="1140" spans="12:13" x14ac:dyDescent="0.2">
      <c r="L1140" s="48"/>
      <c r="M1140" s="48"/>
    </row>
    <row r="1141" spans="12:13" x14ac:dyDescent="0.2">
      <c r="L1141" s="48"/>
      <c r="M1141" s="48"/>
    </row>
    <row r="1142" spans="12:13" x14ac:dyDescent="0.2">
      <c r="L1142" s="48"/>
      <c r="M1142" s="48"/>
    </row>
    <row r="1143" spans="12:13" x14ac:dyDescent="0.2">
      <c r="L1143" s="48"/>
      <c r="M1143" s="48"/>
    </row>
    <row r="1144" spans="12:13" x14ac:dyDescent="0.2">
      <c r="L1144" s="48"/>
      <c r="M1144" s="48"/>
    </row>
    <row r="1145" spans="12:13" x14ac:dyDescent="0.2">
      <c r="L1145" s="48"/>
      <c r="M1145" s="48"/>
    </row>
    <row r="1146" spans="12:13" x14ac:dyDescent="0.2">
      <c r="L1146" s="48"/>
      <c r="M1146" s="48"/>
    </row>
    <row r="1147" spans="12:13" x14ac:dyDescent="0.2">
      <c r="L1147" s="48"/>
      <c r="M1147" s="48"/>
    </row>
    <row r="1148" spans="12:13" x14ac:dyDescent="0.2">
      <c r="L1148" s="48"/>
      <c r="M1148" s="48"/>
    </row>
    <row r="1149" spans="12:13" x14ac:dyDescent="0.2">
      <c r="L1149" s="48"/>
      <c r="M1149" s="48"/>
    </row>
    <row r="1150" spans="12:13" x14ac:dyDescent="0.2">
      <c r="L1150" s="48"/>
      <c r="M1150" s="48"/>
    </row>
    <row r="1151" spans="12:13" x14ac:dyDescent="0.2">
      <c r="L1151" s="48"/>
      <c r="M1151" s="48"/>
    </row>
    <row r="1152" spans="12:13" x14ac:dyDescent="0.2">
      <c r="L1152" s="48"/>
      <c r="M1152" s="48"/>
    </row>
    <row r="1153" spans="12:13" x14ac:dyDescent="0.2">
      <c r="L1153" s="48"/>
      <c r="M1153" s="48"/>
    </row>
    <row r="1154" spans="12:13" x14ac:dyDescent="0.2">
      <c r="L1154" s="48"/>
      <c r="M1154" s="48"/>
    </row>
    <row r="1155" spans="12:13" x14ac:dyDescent="0.2">
      <c r="L1155" s="48"/>
      <c r="M1155" s="48"/>
    </row>
    <row r="1156" spans="12:13" x14ac:dyDescent="0.2">
      <c r="L1156" s="48"/>
      <c r="M1156" s="48"/>
    </row>
    <row r="1157" spans="12:13" x14ac:dyDescent="0.2">
      <c r="L1157" s="48"/>
      <c r="M1157" s="48"/>
    </row>
    <row r="1158" spans="12:13" x14ac:dyDescent="0.2">
      <c r="L1158" s="48"/>
      <c r="M1158" s="48"/>
    </row>
    <row r="1159" spans="12:13" x14ac:dyDescent="0.2">
      <c r="L1159" s="48"/>
      <c r="M1159" s="48"/>
    </row>
    <row r="1160" spans="12:13" x14ac:dyDescent="0.2">
      <c r="L1160" s="48"/>
      <c r="M1160" s="48"/>
    </row>
    <row r="1161" spans="12:13" x14ac:dyDescent="0.2">
      <c r="L1161" s="48"/>
      <c r="M1161" s="48"/>
    </row>
    <row r="1162" spans="12:13" x14ac:dyDescent="0.2">
      <c r="L1162" s="48"/>
      <c r="M1162" s="48"/>
    </row>
    <row r="1163" spans="12:13" x14ac:dyDescent="0.2">
      <c r="L1163" s="48"/>
      <c r="M1163" s="48"/>
    </row>
    <row r="1164" spans="12:13" x14ac:dyDescent="0.2">
      <c r="L1164" s="48"/>
      <c r="M1164" s="48"/>
    </row>
    <row r="1165" spans="12:13" x14ac:dyDescent="0.2">
      <c r="L1165" s="48"/>
      <c r="M1165" s="48"/>
    </row>
    <row r="1166" spans="12:13" x14ac:dyDescent="0.2">
      <c r="L1166" s="48"/>
      <c r="M1166" s="48"/>
    </row>
    <row r="1167" spans="12:13" x14ac:dyDescent="0.2">
      <c r="L1167" s="48"/>
      <c r="M1167" s="48"/>
    </row>
    <row r="1168" spans="12:13" x14ac:dyDescent="0.2">
      <c r="L1168" s="48"/>
      <c r="M1168" s="48"/>
    </row>
    <row r="1169" spans="12:13" x14ac:dyDescent="0.2">
      <c r="L1169" s="48"/>
      <c r="M1169" s="48"/>
    </row>
    <row r="1170" spans="12:13" x14ac:dyDescent="0.2">
      <c r="L1170" s="48"/>
      <c r="M1170" s="48"/>
    </row>
    <row r="1171" spans="12:13" x14ac:dyDescent="0.2">
      <c r="L1171" s="48"/>
      <c r="M1171" s="48"/>
    </row>
    <row r="1172" spans="12:13" x14ac:dyDescent="0.2">
      <c r="L1172" s="48"/>
      <c r="M1172" s="48"/>
    </row>
    <row r="1173" spans="12:13" x14ac:dyDescent="0.2">
      <c r="L1173" s="48"/>
      <c r="M1173" s="48"/>
    </row>
    <row r="1174" spans="12:13" x14ac:dyDescent="0.2">
      <c r="L1174" s="48"/>
      <c r="M1174" s="48"/>
    </row>
    <row r="1175" spans="12:13" x14ac:dyDescent="0.2">
      <c r="L1175" s="48"/>
      <c r="M1175" s="48"/>
    </row>
    <row r="1176" spans="12:13" x14ac:dyDescent="0.2">
      <c r="L1176" s="48"/>
      <c r="M1176" s="48"/>
    </row>
    <row r="1177" spans="12:13" x14ac:dyDescent="0.2">
      <c r="L1177" s="48"/>
      <c r="M1177" s="48"/>
    </row>
    <row r="1178" spans="12:13" x14ac:dyDescent="0.2">
      <c r="L1178" s="48"/>
      <c r="M1178" s="48"/>
    </row>
    <row r="1179" spans="12:13" x14ac:dyDescent="0.2">
      <c r="L1179" s="48"/>
      <c r="M1179" s="48"/>
    </row>
    <row r="1180" spans="12:13" x14ac:dyDescent="0.2">
      <c r="L1180" s="48"/>
      <c r="M1180" s="48"/>
    </row>
    <row r="1181" spans="12:13" x14ac:dyDescent="0.2">
      <c r="L1181" s="48"/>
      <c r="M1181" s="48"/>
    </row>
    <row r="1182" spans="12:13" x14ac:dyDescent="0.2">
      <c r="L1182" s="48"/>
      <c r="M1182" s="48"/>
    </row>
    <row r="1183" spans="12:13" x14ac:dyDescent="0.2">
      <c r="L1183" s="48"/>
      <c r="M1183" s="48"/>
    </row>
    <row r="1184" spans="12:13" x14ac:dyDescent="0.2">
      <c r="L1184" s="48"/>
      <c r="M1184" s="48"/>
    </row>
    <row r="1185" spans="12:13" x14ac:dyDescent="0.2">
      <c r="L1185" s="48"/>
      <c r="M1185" s="48"/>
    </row>
    <row r="1186" spans="12:13" x14ac:dyDescent="0.2">
      <c r="L1186" s="48"/>
      <c r="M1186" s="48"/>
    </row>
    <row r="1187" spans="12:13" x14ac:dyDescent="0.2">
      <c r="L1187" s="48"/>
      <c r="M1187" s="48"/>
    </row>
    <row r="1188" spans="12:13" x14ac:dyDescent="0.2">
      <c r="L1188" s="48"/>
      <c r="M1188" s="48"/>
    </row>
    <row r="1189" spans="12:13" x14ac:dyDescent="0.2">
      <c r="L1189" s="48"/>
      <c r="M1189" s="48"/>
    </row>
    <row r="1190" spans="12:13" x14ac:dyDescent="0.2">
      <c r="L1190" s="48"/>
      <c r="M1190" s="48"/>
    </row>
    <row r="1191" spans="12:13" x14ac:dyDescent="0.2">
      <c r="L1191" s="48"/>
      <c r="M1191" s="48"/>
    </row>
    <row r="1192" spans="12:13" x14ac:dyDescent="0.2">
      <c r="L1192" s="48"/>
      <c r="M1192" s="48"/>
    </row>
    <row r="1193" spans="12:13" x14ac:dyDescent="0.2">
      <c r="L1193" s="48"/>
      <c r="M1193" s="48"/>
    </row>
    <row r="1194" spans="12:13" x14ac:dyDescent="0.2">
      <c r="L1194" s="48"/>
      <c r="M1194" s="48"/>
    </row>
    <row r="1195" spans="12:13" x14ac:dyDescent="0.2">
      <c r="L1195" s="48"/>
      <c r="M1195" s="48"/>
    </row>
    <row r="1196" spans="12:13" x14ac:dyDescent="0.2">
      <c r="L1196" s="48"/>
      <c r="M1196" s="48"/>
    </row>
    <row r="1197" spans="12:13" x14ac:dyDescent="0.2">
      <c r="L1197" s="48"/>
      <c r="M1197" s="48"/>
    </row>
    <row r="1198" spans="12:13" x14ac:dyDescent="0.2">
      <c r="L1198" s="48"/>
      <c r="M1198" s="48"/>
    </row>
    <row r="1199" spans="12:13" x14ac:dyDescent="0.2">
      <c r="L1199" s="48"/>
      <c r="M1199" s="48"/>
    </row>
    <row r="1200" spans="12:13" x14ac:dyDescent="0.2">
      <c r="L1200" s="48"/>
      <c r="M1200" s="48"/>
    </row>
    <row r="1201" spans="12:13" x14ac:dyDescent="0.2">
      <c r="L1201" s="48"/>
      <c r="M1201" s="48"/>
    </row>
    <row r="1202" spans="12:13" x14ac:dyDescent="0.2">
      <c r="L1202" s="48"/>
      <c r="M1202" s="48"/>
    </row>
    <row r="1203" spans="12:13" x14ac:dyDescent="0.2">
      <c r="L1203" s="48"/>
      <c r="M1203" s="48"/>
    </row>
    <row r="1204" spans="12:13" x14ac:dyDescent="0.2">
      <c r="L1204" s="48"/>
      <c r="M1204" s="48"/>
    </row>
    <row r="1205" spans="12:13" x14ac:dyDescent="0.2">
      <c r="L1205" s="48"/>
      <c r="M1205" s="48"/>
    </row>
    <row r="1206" spans="12:13" x14ac:dyDescent="0.2">
      <c r="L1206" s="48"/>
      <c r="M1206" s="48"/>
    </row>
    <row r="1207" spans="12:13" x14ac:dyDescent="0.2">
      <c r="L1207" s="48"/>
      <c r="M1207" s="48"/>
    </row>
    <row r="1208" spans="12:13" x14ac:dyDescent="0.2">
      <c r="L1208" s="48"/>
      <c r="M1208" s="48"/>
    </row>
    <row r="1209" spans="12:13" x14ac:dyDescent="0.2">
      <c r="L1209" s="48"/>
      <c r="M1209" s="48"/>
    </row>
    <row r="1210" spans="12:13" x14ac:dyDescent="0.2">
      <c r="L1210" s="48"/>
      <c r="M1210" s="48"/>
    </row>
    <row r="1211" spans="12:13" x14ac:dyDescent="0.2">
      <c r="L1211" s="48"/>
      <c r="M1211" s="48"/>
    </row>
    <row r="1212" spans="12:13" x14ac:dyDescent="0.2">
      <c r="L1212" s="48"/>
      <c r="M1212" s="48"/>
    </row>
    <row r="1213" spans="12:13" x14ac:dyDescent="0.2">
      <c r="L1213" s="48"/>
      <c r="M1213" s="48"/>
    </row>
    <row r="1214" spans="12:13" x14ac:dyDescent="0.2">
      <c r="L1214" s="48"/>
      <c r="M1214" s="48"/>
    </row>
    <row r="1215" spans="12:13" x14ac:dyDescent="0.2">
      <c r="L1215" s="48"/>
      <c r="M1215" s="48"/>
    </row>
    <row r="1216" spans="12:13" x14ac:dyDescent="0.2">
      <c r="L1216" s="48"/>
      <c r="M1216" s="48"/>
    </row>
    <row r="1217" spans="12:13" x14ac:dyDescent="0.2">
      <c r="L1217" s="48"/>
      <c r="M1217" s="48"/>
    </row>
    <row r="1218" spans="12:13" x14ac:dyDescent="0.2">
      <c r="L1218" s="48"/>
      <c r="M1218" s="48"/>
    </row>
    <row r="1219" spans="12:13" x14ac:dyDescent="0.2">
      <c r="L1219" s="48"/>
      <c r="M1219" s="48"/>
    </row>
    <row r="1220" spans="12:13" x14ac:dyDescent="0.2">
      <c r="L1220" s="48"/>
      <c r="M1220" s="48"/>
    </row>
    <row r="1221" spans="12:13" x14ac:dyDescent="0.2">
      <c r="L1221" s="48"/>
      <c r="M1221" s="48"/>
    </row>
    <row r="1222" spans="12:13" x14ac:dyDescent="0.2">
      <c r="L1222" s="48"/>
      <c r="M1222" s="48"/>
    </row>
    <row r="1223" spans="12:13" x14ac:dyDescent="0.2">
      <c r="L1223" s="48"/>
      <c r="M1223" s="48"/>
    </row>
    <row r="1224" spans="12:13" x14ac:dyDescent="0.2">
      <c r="L1224" s="48"/>
      <c r="M1224" s="48"/>
    </row>
    <row r="1225" spans="12:13" x14ac:dyDescent="0.2">
      <c r="L1225" s="48"/>
      <c r="M1225" s="48"/>
    </row>
    <row r="1226" spans="12:13" x14ac:dyDescent="0.2">
      <c r="L1226" s="48"/>
      <c r="M1226" s="48"/>
    </row>
    <row r="1227" spans="12:13" x14ac:dyDescent="0.2">
      <c r="L1227" s="48"/>
      <c r="M1227" s="48"/>
    </row>
    <row r="1228" spans="12:13" x14ac:dyDescent="0.2">
      <c r="L1228" s="48"/>
      <c r="M1228" s="48"/>
    </row>
    <row r="1229" spans="12:13" x14ac:dyDescent="0.2">
      <c r="L1229" s="48"/>
      <c r="M1229" s="48"/>
    </row>
    <row r="1230" spans="12:13" x14ac:dyDescent="0.2">
      <c r="L1230" s="48"/>
      <c r="M1230" s="48"/>
    </row>
    <row r="1231" spans="12:13" x14ac:dyDescent="0.2">
      <c r="L1231" s="48"/>
      <c r="M1231" s="48"/>
    </row>
    <row r="1232" spans="12:13" x14ac:dyDescent="0.2">
      <c r="L1232" s="48"/>
      <c r="M1232" s="48"/>
    </row>
    <row r="1233" spans="12:13" x14ac:dyDescent="0.2">
      <c r="L1233" s="48"/>
      <c r="M1233" s="48"/>
    </row>
    <row r="1234" spans="12:13" x14ac:dyDescent="0.2">
      <c r="L1234" s="48"/>
      <c r="M1234" s="48"/>
    </row>
    <row r="1235" spans="12:13" x14ac:dyDescent="0.2">
      <c r="L1235" s="48"/>
      <c r="M1235" s="48"/>
    </row>
    <row r="1236" spans="12:13" x14ac:dyDescent="0.2">
      <c r="L1236" s="48"/>
      <c r="M1236" s="48"/>
    </row>
    <row r="1237" spans="12:13" x14ac:dyDescent="0.2">
      <c r="L1237" s="48"/>
      <c r="M1237" s="48"/>
    </row>
    <row r="1238" spans="12:13" x14ac:dyDescent="0.2">
      <c r="L1238" s="48"/>
      <c r="M1238" s="48"/>
    </row>
    <row r="1239" spans="12:13" x14ac:dyDescent="0.2">
      <c r="L1239" s="48"/>
      <c r="M1239" s="48"/>
    </row>
    <row r="1240" spans="12:13" x14ac:dyDescent="0.2">
      <c r="L1240" s="48"/>
      <c r="M1240" s="48"/>
    </row>
    <row r="1241" spans="12:13" x14ac:dyDescent="0.2">
      <c r="L1241" s="48"/>
      <c r="M1241" s="48"/>
    </row>
    <row r="1242" spans="12:13" x14ac:dyDescent="0.2">
      <c r="L1242" s="48"/>
      <c r="M1242" s="48"/>
    </row>
    <row r="1243" spans="12:13" x14ac:dyDescent="0.2">
      <c r="L1243" s="48"/>
      <c r="M1243" s="48"/>
    </row>
    <row r="1244" spans="12:13" x14ac:dyDescent="0.2">
      <c r="L1244" s="48"/>
      <c r="M1244" s="48"/>
    </row>
    <row r="1245" spans="12:13" x14ac:dyDescent="0.2">
      <c r="L1245" s="48"/>
      <c r="M1245" s="48"/>
    </row>
    <row r="1246" spans="12:13" x14ac:dyDescent="0.2">
      <c r="L1246" s="48"/>
      <c r="M1246" s="48"/>
    </row>
    <row r="1247" spans="12:13" x14ac:dyDescent="0.2">
      <c r="L1247" s="48"/>
      <c r="M1247" s="48"/>
    </row>
    <row r="1248" spans="12:13" x14ac:dyDescent="0.2">
      <c r="L1248" s="48"/>
      <c r="M1248" s="48"/>
    </row>
    <row r="1249" spans="12:13" x14ac:dyDescent="0.2">
      <c r="L1249" s="48"/>
      <c r="M1249" s="48"/>
    </row>
    <row r="1250" spans="12:13" x14ac:dyDescent="0.2">
      <c r="L1250" s="48"/>
      <c r="M1250" s="48"/>
    </row>
    <row r="1251" spans="12:13" x14ac:dyDescent="0.2">
      <c r="L1251" s="48"/>
      <c r="M1251" s="48"/>
    </row>
    <row r="1252" spans="12:13" x14ac:dyDescent="0.2">
      <c r="L1252" s="48"/>
      <c r="M1252" s="48"/>
    </row>
    <row r="1253" spans="12:13" x14ac:dyDescent="0.2">
      <c r="L1253" s="48"/>
      <c r="M1253" s="48"/>
    </row>
    <row r="1254" spans="12:13" x14ac:dyDescent="0.2">
      <c r="L1254" s="48"/>
      <c r="M1254" s="48"/>
    </row>
    <row r="1255" spans="12:13" x14ac:dyDescent="0.2">
      <c r="L1255" s="48"/>
      <c r="M1255" s="48"/>
    </row>
    <row r="1256" spans="12:13" x14ac:dyDescent="0.2">
      <c r="L1256" s="48"/>
      <c r="M1256" s="48"/>
    </row>
    <row r="1257" spans="12:13" x14ac:dyDescent="0.2">
      <c r="L1257" s="48"/>
      <c r="M1257" s="48"/>
    </row>
    <row r="1258" spans="12:13" x14ac:dyDescent="0.2">
      <c r="L1258" s="48"/>
      <c r="M1258" s="48"/>
    </row>
    <row r="1259" spans="12:13" x14ac:dyDescent="0.2">
      <c r="L1259" s="48"/>
      <c r="M1259" s="48"/>
    </row>
    <row r="1260" spans="12:13" x14ac:dyDescent="0.2">
      <c r="L1260" s="48"/>
      <c r="M1260" s="48"/>
    </row>
    <row r="1261" spans="12:13" x14ac:dyDescent="0.2">
      <c r="L1261" s="48"/>
      <c r="M1261" s="48"/>
    </row>
    <row r="1262" spans="12:13" x14ac:dyDescent="0.2">
      <c r="L1262" s="48"/>
      <c r="M1262" s="48"/>
    </row>
    <row r="1263" spans="12:13" x14ac:dyDescent="0.2">
      <c r="L1263" s="48"/>
      <c r="M1263" s="48"/>
    </row>
    <row r="1264" spans="12:13" x14ac:dyDescent="0.2">
      <c r="L1264" s="48"/>
      <c r="M1264" s="48"/>
    </row>
    <row r="1265" spans="12:13" x14ac:dyDescent="0.2">
      <c r="L1265" s="48"/>
      <c r="M1265" s="48"/>
    </row>
    <row r="1266" spans="12:13" x14ac:dyDescent="0.2">
      <c r="L1266" s="48"/>
      <c r="M1266" s="48"/>
    </row>
    <row r="1267" spans="12:13" x14ac:dyDescent="0.2">
      <c r="L1267" s="48"/>
      <c r="M1267" s="48"/>
    </row>
    <row r="1268" spans="12:13" x14ac:dyDescent="0.2">
      <c r="L1268" s="48"/>
      <c r="M1268" s="48"/>
    </row>
    <row r="1269" spans="12:13" x14ac:dyDescent="0.2">
      <c r="L1269" s="48"/>
      <c r="M1269" s="48"/>
    </row>
    <row r="1270" spans="12:13" x14ac:dyDescent="0.2">
      <c r="L1270" s="48"/>
      <c r="M1270" s="48"/>
    </row>
    <row r="1271" spans="12:13" x14ac:dyDescent="0.2">
      <c r="L1271" s="48"/>
      <c r="M1271" s="48"/>
    </row>
    <row r="1272" spans="12:13" x14ac:dyDescent="0.2">
      <c r="L1272" s="48"/>
      <c r="M1272" s="48"/>
    </row>
    <row r="1273" spans="12:13" x14ac:dyDescent="0.2">
      <c r="L1273" s="48"/>
      <c r="M1273" s="48"/>
    </row>
    <row r="1274" spans="12:13" x14ac:dyDescent="0.2">
      <c r="L1274" s="48"/>
      <c r="M1274" s="48"/>
    </row>
    <row r="1275" spans="12:13" x14ac:dyDescent="0.2">
      <c r="L1275" s="48"/>
      <c r="M1275" s="48"/>
    </row>
    <row r="1276" spans="12:13" x14ac:dyDescent="0.2">
      <c r="L1276" s="48"/>
      <c r="M1276" s="48"/>
    </row>
    <row r="1277" spans="12:13" x14ac:dyDescent="0.2">
      <c r="L1277" s="48"/>
      <c r="M1277" s="48"/>
    </row>
    <row r="1278" spans="12:13" x14ac:dyDescent="0.2">
      <c r="L1278" s="48"/>
      <c r="M1278" s="48"/>
    </row>
    <row r="1279" spans="12:13" x14ac:dyDescent="0.2">
      <c r="L1279" s="48"/>
      <c r="M1279" s="48"/>
    </row>
    <row r="1280" spans="12:13" x14ac:dyDescent="0.2">
      <c r="L1280" s="48"/>
      <c r="M1280" s="48"/>
    </row>
    <row r="1281" spans="12:13" x14ac:dyDescent="0.2">
      <c r="L1281" s="48"/>
      <c r="M1281" s="48"/>
    </row>
    <row r="1282" spans="12:13" x14ac:dyDescent="0.2">
      <c r="L1282" s="48"/>
      <c r="M1282" s="48"/>
    </row>
    <row r="1283" spans="12:13" x14ac:dyDescent="0.2">
      <c r="L1283" s="48"/>
      <c r="M1283" s="48"/>
    </row>
    <row r="1284" spans="12:13" x14ac:dyDescent="0.2">
      <c r="L1284" s="48"/>
      <c r="M1284" s="48"/>
    </row>
    <row r="1285" spans="12:13" x14ac:dyDescent="0.2">
      <c r="L1285" s="48"/>
      <c r="M1285" s="48"/>
    </row>
    <row r="1286" spans="12:13" x14ac:dyDescent="0.2">
      <c r="L1286" s="48"/>
      <c r="M1286" s="48"/>
    </row>
    <row r="1287" spans="12:13" x14ac:dyDescent="0.2">
      <c r="L1287" s="48"/>
      <c r="M1287" s="48"/>
    </row>
    <row r="1288" spans="12:13" x14ac:dyDescent="0.2">
      <c r="L1288" s="48"/>
      <c r="M1288" s="48"/>
    </row>
    <row r="1289" spans="12:13" x14ac:dyDescent="0.2">
      <c r="L1289" s="48"/>
      <c r="M1289" s="48"/>
    </row>
    <row r="1290" spans="12:13" x14ac:dyDescent="0.2">
      <c r="L1290" s="48"/>
      <c r="M1290" s="48"/>
    </row>
    <row r="1291" spans="12:13" x14ac:dyDescent="0.2">
      <c r="L1291" s="48"/>
      <c r="M1291" s="48"/>
    </row>
    <row r="1292" spans="12:13" x14ac:dyDescent="0.2">
      <c r="L1292" s="48"/>
      <c r="M1292" s="48"/>
    </row>
    <row r="1293" spans="12:13" x14ac:dyDescent="0.2">
      <c r="L1293" s="48"/>
      <c r="M1293" s="48"/>
    </row>
    <row r="1294" spans="12:13" x14ac:dyDescent="0.2">
      <c r="L1294" s="48"/>
      <c r="M1294" s="48"/>
    </row>
    <row r="1295" spans="12:13" x14ac:dyDescent="0.2">
      <c r="L1295" s="48"/>
      <c r="M1295" s="48"/>
    </row>
    <row r="1296" spans="12:13" x14ac:dyDescent="0.2">
      <c r="L1296" s="48"/>
      <c r="M1296" s="48"/>
    </row>
    <row r="1297" spans="12:13" x14ac:dyDescent="0.2">
      <c r="L1297" s="48"/>
      <c r="M1297" s="48"/>
    </row>
    <row r="1298" spans="12:13" x14ac:dyDescent="0.2">
      <c r="L1298" s="48"/>
      <c r="M1298" s="48"/>
    </row>
    <row r="1299" spans="12:13" x14ac:dyDescent="0.2">
      <c r="L1299" s="48"/>
      <c r="M1299" s="48"/>
    </row>
    <row r="1300" spans="12:13" x14ac:dyDescent="0.2">
      <c r="L1300" s="48"/>
      <c r="M1300" s="48"/>
    </row>
    <row r="1301" spans="12:13" x14ac:dyDescent="0.2">
      <c r="L1301" s="48"/>
      <c r="M1301" s="48"/>
    </row>
    <row r="1302" spans="12:13" x14ac:dyDescent="0.2">
      <c r="L1302" s="48"/>
      <c r="M1302" s="48"/>
    </row>
    <row r="1303" spans="12:13" x14ac:dyDescent="0.2">
      <c r="L1303" s="48"/>
      <c r="M1303" s="48"/>
    </row>
    <row r="1304" spans="12:13" x14ac:dyDescent="0.2">
      <c r="L1304" s="48"/>
      <c r="M1304" s="48"/>
    </row>
    <row r="1305" spans="12:13" x14ac:dyDescent="0.2">
      <c r="L1305" s="48"/>
      <c r="M1305" s="48"/>
    </row>
    <row r="1306" spans="12:13" x14ac:dyDescent="0.2">
      <c r="L1306" s="48"/>
      <c r="M1306" s="48"/>
    </row>
    <row r="1307" spans="12:13" x14ac:dyDescent="0.2">
      <c r="L1307" s="48"/>
      <c r="M1307" s="48"/>
    </row>
    <row r="1308" spans="12:13" x14ac:dyDescent="0.2">
      <c r="L1308" s="48"/>
      <c r="M1308" s="48"/>
    </row>
    <row r="1309" spans="12:13" x14ac:dyDescent="0.2">
      <c r="L1309" s="48"/>
      <c r="M1309" s="48"/>
    </row>
    <row r="1310" spans="12:13" x14ac:dyDescent="0.2">
      <c r="L1310" s="48"/>
      <c r="M1310" s="48"/>
    </row>
    <row r="1311" spans="12:13" x14ac:dyDescent="0.2">
      <c r="L1311" s="48"/>
      <c r="M1311" s="48"/>
    </row>
    <row r="1312" spans="12:13" x14ac:dyDescent="0.2">
      <c r="L1312" s="48"/>
      <c r="M1312" s="48"/>
    </row>
    <row r="1313" spans="12:13" x14ac:dyDescent="0.2">
      <c r="L1313" s="48"/>
      <c r="M1313" s="48"/>
    </row>
    <row r="1314" spans="12:13" x14ac:dyDescent="0.2">
      <c r="L1314" s="48"/>
      <c r="M1314" s="48"/>
    </row>
    <row r="1315" spans="12:13" x14ac:dyDescent="0.2">
      <c r="L1315" s="48"/>
      <c r="M1315" s="48"/>
    </row>
    <row r="1316" spans="12:13" x14ac:dyDescent="0.2">
      <c r="L1316" s="48"/>
      <c r="M1316" s="48"/>
    </row>
    <row r="1317" spans="12:13" x14ac:dyDescent="0.2">
      <c r="L1317" s="48"/>
      <c r="M1317" s="48"/>
    </row>
    <row r="1318" spans="12:13" x14ac:dyDescent="0.2">
      <c r="L1318" s="48"/>
      <c r="M1318" s="48"/>
    </row>
    <row r="1319" spans="12:13" x14ac:dyDescent="0.2">
      <c r="L1319" s="48"/>
      <c r="M1319" s="48"/>
    </row>
    <row r="1320" spans="12:13" x14ac:dyDescent="0.2">
      <c r="L1320" s="48"/>
      <c r="M1320" s="48"/>
    </row>
    <row r="1321" spans="12:13" x14ac:dyDescent="0.2">
      <c r="L1321" s="48"/>
      <c r="M1321" s="48"/>
    </row>
    <row r="1322" spans="12:13" x14ac:dyDescent="0.2">
      <c r="L1322" s="48"/>
      <c r="M1322" s="48"/>
    </row>
    <row r="1323" spans="12:13" x14ac:dyDescent="0.2">
      <c r="L1323" s="48"/>
      <c r="M1323" s="48"/>
    </row>
    <row r="1324" spans="12:13" x14ac:dyDescent="0.2">
      <c r="L1324" s="48"/>
      <c r="M1324" s="48"/>
    </row>
    <row r="1325" spans="12:13" x14ac:dyDescent="0.2">
      <c r="L1325" s="48"/>
      <c r="M1325" s="48"/>
    </row>
    <row r="1326" spans="12:13" x14ac:dyDescent="0.2">
      <c r="L1326" s="48"/>
      <c r="M1326" s="48"/>
    </row>
    <row r="1327" spans="12:13" x14ac:dyDescent="0.2">
      <c r="L1327" s="48"/>
      <c r="M1327" s="48"/>
    </row>
    <row r="1328" spans="12:13" x14ac:dyDescent="0.2">
      <c r="L1328" s="48"/>
      <c r="M1328" s="48"/>
    </row>
    <row r="1329" spans="12:13" x14ac:dyDescent="0.2">
      <c r="L1329" s="48"/>
      <c r="M1329" s="48"/>
    </row>
    <row r="1330" spans="12:13" x14ac:dyDescent="0.2">
      <c r="L1330" s="48"/>
      <c r="M1330" s="48"/>
    </row>
    <row r="1331" spans="12:13" x14ac:dyDescent="0.2">
      <c r="L1331" s="48"/>
      <c r="M1331" s="48"/>
    </row>
    <row r="1332" spans="12:13" x14ac:dyDescent="0.2">
      <c r="L1332" s="48"/>
      <c r="M1332" s="48"/>
    </row>
    <row r="1333" spans="12:13" x14ac:dyDescent="0.2">
      <c r="L1333" s="48"/>
      <c r="M1333" s="48"/>
    </row>
    <row r="1334" spans="12:13" x14ac:dyDescent="0.2">
      <c r="L1334" s="48"/>
      <c r="M1334" s="48"/>
    </row>
    <row r="1335" spans="12:13" x14ac:dyDescent="0.2">
      <c r="L1335" s="48"/>
      <c r="M1335" s="48"/>
    </row>
    <row r="1336" spans="12:13" x14ac:dyDescent="0.2">
      <c r="L1336" s="48"/>
      <c r="M1336" s="48"/>
    </row>
    <row r="1337" spans="12:13" x14ac:dyDescent="0.2">
      <c r="L1337" s="48"/>
      <c r="M1337" s="48"/>
    </row>
    <row r="1338" spans="12:13" x14ac:dyDescent="0.2">
      <c r="L1338" s="48"/>
      <c r="M1338" s="48"/>
    </row>
    <row r="1339" spans="12:13" x14ac:dyDescent="0.2">
      <c r="L1339" s="48"/>
      <c r="M1339" s="48"/>
    </row>
    <row r="1340" spans="12:13" x14ac:dyDescent="0.2">
      <c r="L1340" s="48"/>
      <c r="M1340" s="48"/>
    </row>
    <row r="1341" spans="12:13" x14ac:dyDescent="0.2">
      <c r="L1341" s="48"/>
      <c r="M1341" s="48"/>
    </row>
    <row r="1342" spans="12:13" x14ac:dyDescent="0.2">
      <c r="L1342" s="48"/>
      <c r="M1342" s="48"/>
    </row>
    <row r="1343" spans="12:13" x14ac:dyDescent="0.2">
      <c r="L1343" s="48"/>
      <c r="M1343" s="48"/>
    </row>
    <row r="1344" spans="12:13" x14ac:dyDescent="0.2">
      <c r="L1344" s="48"/>
      <c r="M1344" s="48"/>
    </row>
    <row r="1345" spans="12:13" x14ac:dyDescent="0.2">
      <c r="L1345" s="48"/>
      <c r="M1345" s="48"/>
    </row>
    <row r="1346" spans="12:13" x14ac:dyDescent="0.2">
      <c r="L1346" s="48"/>
      <c r="M1346" s="48"/>
    </row>
    <row r="1347" spans="12:13" x14ac:dyDescent="0.2">
      <c r="L1347" s="48"/>
      <c r="M1347" s="48"/>
    </row>
    <row r="1348" spans="12:13" x14ac:dyDescent="0.2">
      <c r="L1348" s="48"/>
      <c r="M1348" s="48"/>
    </row>
    <row r="1349" spans="12:13" x14ac:dyDescent="0.2">
      <c r="L1349" s="48"/>
      <c r="M1349" s="48"/>
    </row>
    <row r="1350" spans="12:13" x14ac:dyDescent="0.2">
      <c r="L1350" s="48"/>
      <c r="M1350" s="48"/>
    </row>
    <row r="1351" spans="12:13" x14ac:dyDescent="0.2">
      <c r="L1351" s="48"/>
      <c r="M1351" s="48"/>
    </row>
    <row r="1352" spans="12:13" x14ac:dyDescent="0.2">
      <c r="L1352" s="48"/>
      <c r="M1352" s="48"/>
    </row>
    <row r="1353" spans="12:13" x14ac:dyDescent="0.2">
      <c r="L1353" s="48"/>
      <c r="M1353" s="48"/>
    </row>
    <row r="1354" spans="12:13" x14ac:dyDescent="0.2">
      <c r="L1354" s="48"/>
      <c r="M1354" s="48"/>
    </row>
    <row r="1355" spans="12:13" x14ac:dyDescent="0.2">
      <c r="L1355" s="48"/>
      <c r="M1355" s="48"/>
    </row>
    <row r="1356" spans="12:13" x14ac:dyDescent="0.2">
      <c r="L1356" s="48"/>
      <c r="M1356" s="48"/>
    </row>
    <row r="1357" spans="12:13" x14ac:dyDescent="0.2">
      <c r="L1357" s="48"/>
      <c r="M1357" s="48"/>
    </row>
    <row r="1358" spans="12:13" x14ac:dyDescent="0.2">
      <c r="L1358" s="48"/>
      <c r="M1358" s="48"/>
    </row>
    <row r="1359" spans="12:13" x14ac:dyDescent="0.2">
      <c r="L1359" s="48"/>
      <c r="M1359" s="48"/>
    </row>
    <row r="1360" spans="12:13" x14ac:dyDescent="0.2">
      <c r="L1360" s="48"/>
      <c r="M1360" s="48"/>
    </row>
    <row r="1361" spans="12:13" x14ac:dyDescent="0.2">
      <c r="L1361" s="48"/>
      <c r="M1361" s="48"/>
    </row>
    <row r="1362" spans="12:13" x14ac:dyDescent="0.2">
      <c r="L1362" s="48"/>
      <c r="M1362" s="48"/>
    </row>
    <row r="1363" spans="12:13" x14ac:dyDescent="0.2">
      <c r="L1363" s="48"/>
      <c r="M1363" s="48"/>
    </row>
    <row r="1364" spans="12:13" x14ac:dyDescent="0.2">
      <c r="L1364" s="48"/>
      <c r="M1364" s="48"/>
    </row>
    <row r="1365" spans="12:13" x14ac:dyDescent="0.2">
      <c r="L1365" s="48"/>
      <c r="M1365" s="48"/>
    </row>
    <row r="1366" spans="12:13" x14ac:dyDescent="0.2">
      <c r="L1366" s="48"/>
      <c r="M1366" s="48"/>
    </row>
    <row r="1367" spans="12:13" x14ac:dyDescent="0.2">
      <c r="L1367" s="48"/>
      <c r="M1367" s="48"/>
    </row>
    <row r="1368" spans="12:13" x14ac:dyDescent="0.2">
      <c r="L1368" s="48"/>
      <c r="M1368" s="48"/>
    </row>
    <row r="1369" spans="12:13" x14ac:dyDescent="0.2">
      <c r="L1369" s="48"/>
      <c r="M1369" s="48"/>
    </row>
    <row r="1370" spans="12:13" x14ac:dyDescent="0.2">
      <c r="L1370" s="48"/>
      <c r="M1370" s="48"/>
    </row>
    <row r="1371" spans="12:13" x14ac:dyDescent="0.2">
      <c r="L1371" s="48"/>
      <c r="M1371" s="48"/>
    </row>
    <row r="1372" spans="12:13" x14ac:dyDescent="0.2">
      <c r="L1372" s="48"/>
      <c r="M1372" s="48"/>
    </row>
    <row r="1373" spans="12:13" x14ac:dyDescent="0.2">
      <c r="L1373" s="48"/>
      <c r="M1373" s="48"/>
    </row>
    <row r="1374" spans="12:13" x14ac:dyDescent="0.2">
      <c r="L1374" s="48"/>
      <c r="M1374" s="48"/>
    </row>
    <row r="1375" spans="12:13" x14ac:dyDescent="0.2">
      <c r="L1375" s="48"/>
      <c r="M1375" s="48"/>
    </row>
    <row r="1376" spans="12:13" x14ac:dyDescent="0.2">
      <c r="L1376" s="48"/>
      <c r="M1376" s="48"/>
    </row>
    <row r="1377" spans="12:13" x14ac:dyDescent="0.2">
      <c r="L1377" s="48"/>
      <c r="M1377" s="48"/>
    </row>
    <row r="1378" spans="12:13" x14ac:dyDescent="0.2">
      <c r="L1378" s="48"/>
      <c r="M1378" s="48"/>
    </row>
    <row r="1379" spans="12:13" x14ac:dyDescent="0.2">
      <c r="L1379" s="48"/>
      <c r="M1379" s="48"/>
    </row>
    <row r="1380" spans="12:13" x14ac:dyDescent="0.2">
      <c r="L1380" s="48"/>
      <c r="M1380" s="48"/>
    </row>
    <row r="1381" spans="12:13" x14ac:dyDescent="0.2">
      <c r="L1381" s="48"/>
      <c r="M1381" s="48"/>
    </row>
    <row r="1382" spans="12:13" x14ac:dyDescent="0.2">
      <c r="L1382" s="48"/>
      <c r="M1382" s="48"/>
    </row>
    <row r="1383" spans="12:13" x14ac:dyDescent="0.2">
      <c r="L1383" s="48"/>
      <c r="M1383" s="48"/>
    </row>
    <row r="1384" spans="12:13" x14ac:dyDescent="0.2">
      <c r="L1384" s="48"/>
      <c r="M1384" s="48"/>
    </row>
    <row r="1385" spans="12:13" x14ac:dyDescent="0.2">
      <c r="L1385" s="48"/>
      <c r="M1385" s="48"/>
    </row>
    <row r="1386" spans="12:13" x14ac:dyDescent="0.2">
      <c r="L1386" s="48"/>
      <c r="M1386" s="48"/>
    </row>
    <row r="1387" spans="12:13" x14ac:dyDescent="0.2">
      <c r="L1387" s="48"/>
      <c r="M1387" s="48"/>
    </row>
    <row r="1388" spans="12:13" x14ac:dyDescent="0.2">
      <c r="L1388" s="48"/>
      <c r="M1388" s="48"/>
    </row>
    <row r="1389" spans="12:13" x14ac:dyDescent="0.2">
      <c r="L1389" s="48"/>
      <c r="M1389" s="48"/>
    </row>
    <row r="1390" spans="12:13" x14ac:dyDescent="0.2">
      <c r="L1390" s="48"/>
      <c r="M1390" s="48"/>
    </row>
    <row r="1391" spans="12:13" x14ac:dyDescent="0.2">
      <c r="L1391" s="48"/>
      <c r="M1391" s="48"/>
    </row>
    <row r="1392" spans="12:13" x14ac:dyDescent="0.2">
      <c r="L1392" s="48"/>
      <c r="M1392" s="48"/>
    </row>
    <row r="1393" spans="12:13" x14ac:dyDescent="0.2">
      <c r="L1393" s="48"/>
      <c r="M1393" s="48"/>
    </row>
    <row r="1394" spans="12:13" x14ac:dyDescent="0.2">
      <c r="L1394" s="48"/>
      <c r="M1394" s="48"/>
    </row>
    <row r="1395" spans="12:13" x14ac:dyDescent="0.2">
      <c r="L1395" s="48"/>
      <c r="M1395" s="48"/>
    </row>
    <row r="1396" spans="12:13" x14ac:dyDescent="0.2">
      <c r="L1396" s="48"/>
      <c r="M1396" s="48"/>
    </row>
    <row r="1397" spans="12:13" x14ac:dyDescent="0.2">
      <c r="L1397" s="48"/>
      <c r="M1397" s="48"/>
    </row>
    <row r="1398" spans="12:13" x14ac:dyDescent="0.2">
      <c r="L1398" s="48"/>
      <c r="M1398" s="48"/>
    </row>
    <row r="1399" spans="12:13" x14ac:dyDescent="0.2">
      <c r="L1399" s="48"/>
      <c r="M1399" s="48"/>
    </row>
    <row r="1400" spans="12:13" x14ac:dyDescent="0.2">
      <c r="L1400" s="48"/>
      <c r="M1400" s="48"/>
    </row>
    <row r="1401" spans="12:13" x14ac:dyDescent="0.2">
      <c r="L1401" s="48"/>
      <c r="M1401" s="48"/>
    </row>
    <row r="1402" spans="12:13" x14ac:dyDescent="0.2">
      <c r="L1402" s="48"/>
      <c r="M1402" s="48"/>
    </row>
    <row r="1403" spans="12:13" x14ac:dyDescent="0.2">
      <c r="L1403" s="48"/>
      <c r="M1403" s="48"/>
    </row>
    <row r="1404" spans="12:13" x14ac:dyDescent="0.2">
      <c r="L1404" s="48"/>
      <c r="M1404" s="48"/>
    </row>
    <row r="1405" spans="12:13" x14ac:dyDescent="0.2">
      <c r="L1405" s="48"/>
      <c r="M1405" s="48"/>
    </row>
    <row r="1406" spans="12:13" x14ac:dyDescent="0.2">
      <c r="L1406" s="48"/>
      <c r="M1406" s="48"/>
    </row>
    <row r="1407" spans="12:13" x14ac:dyDescent="0.2">
      <c r="L1407" s="48"/>
      <c r="M1407" s="48"/>
    </row>
    <row r="1408" spans="12:13" x14ac:dyDescent="0.2">
      <c r="L1408" s="48"/>
      <c r="M1408" s="48"/>
    </row>
    <row r="1409" spans="12:13" x14ac:dyDescent="0.2">
      <c r="L1409" s="48"/>
      <c r="M1409" s="48"/>
    </row>
    <row r="1410" spans="12:13" x14ac:dyDescent="0.2">
      <c r="L1410" s="48"/>
      <c r="M1410" s="48"/>
    </row>
    <row r="1411" spans="12:13" x14ac:dyDescent="0.2">
      <c r="L1411" s="48"/>
      <c r="M1411" s="48"/>
    </row>
    <row r="1412" spans="12:13" x14ac:dyDescent="0.2">
      <c r="L1412" s="48"/>
      <c r="M1412" s="48"/>
    </row>
    <row r="1413" spans="12:13" x14ac:dyDescent="0.2">
      <c r="L1413" s="48"/>
      <c r="M1413" s="48"/>
    </row>
    <row r="1414" spans="12:13" x14ac:dyDescent="0.2">
      <c r="L1414" s="48"/>
      <c r="M1414" s="48"/>
    </row>
    <row r="1415" spans="12:13" x14ac:dyDescent="0.2">
      <c r="L1415" s="48"/>
      <c r="M1415" s="48"/>
    </row>
    <row r="1416" spans="12:13" x14ac:dyDescent="0.2">
      <c r="L1416" s="48"/>
      <c r="M1416" s="48"/>
    </row>
    <row r="1417" spans="12:13" x14ac:dyDescent="0.2">
      <c r="L1417" s="48"/>
      <c r="M1417" s="48"/>
    </row>
    <row r="1418" spans="12:13" x14ac:dyDescent="0.2">
      <c r="L1418" s="48"/>
      <c r="M1418" s="48"/>
    </row>
    <row r="1419" spans="12:13" x14ac:dyDescent="0.2">
      <c r="L1419" s="48"/>
      <c r="M1419" s="48"/>
    </row>
    <row r="1420" spans="12:13" x14ac:dyDescent="0.2">
      <c r="L1420" s="48"/>
      <c r="M1420" s="48"/>
    </row>
    <row r="1421" spans="12:13" x14ac:dyDescent="0.2">
      <c r="L1421" s="48"/>
      <c r="M1421" s="48"/>
    </row>
    <row r="1422" spans="12:13" x14ac:dyDescent="0.2">
      <c r="L1422" s="48"/>
      <c r="M1422" s="48"/>
    </row>
    <row r="1423" spans="12:13" x14ac:dyDescent="0.2">
      <c r="L1423" s="48"/>
      <c r="M1423" s="48"/>
    </row>
    <row r="1424" spans="12:13" x14ac:dyDescent="0.2">
      <c r="L1424" s="48"/>
      <c r="M1424" s="48"/>
    </row>
    <row r="1425" spans="12:13" x14ac:dyDescent="0.2">
      <c r="L1425" s="48"/>
      <c r="M1425" s="48"/>
    </row>
    <row r="1426" spans="12:13" x14ac:dyDescent="0.2">
      <c r="L1426" s="48"/>
      <c r="M1426" s="48"/>
    </row>
    <row r="1427" spans="12:13" x14ac:dyDescent="0.2">
      <c r="L1427" s="48"/>
      <c r="M1427" s="48"/>
    </row>
    <row r="1428" spans="12:13" x14ac:dyDescent="0.2">
      <c r="L1428" s="48"/>
      <c r="M1428" s="48"/>
    </row>
    <row r="1429" spans="12:13" x14ac:dyDescent="0.2">
      <c r="L1429" s="48"/>
      <c r="M1429" s="48"/>
    </row>
    <row r="1430" spans="12:13" x14ac:dyDescent="0.2">
      <c r="L1430" s="48"/>
      <c r="M1430" s="48"/>
    </row>
    <row r="1431" spans="12:13" x14ac:dyDescent="0.2">
      <c r="L1431" s="48"/>
      <c r="M1431" s="48"/>
    </row>
    <row r="1432" spans="12:13" x14ac:dyDescent="0.2">
      <c r="L1432" s="48"/>
      <c r="M1432" s="48"/>
    </row>
    <row r="1433" spans="12:13" x14ac:dyDescent="0.2">
      <c r="L1433" s="48"/>
      <c r="M1433" s="48"/>
    </row>
    <row r="1434" spans="12:13" x14ac:dyDescent="0.2">
      <c r="L1434" s="48"/>
      <c r="M1434" s="48"/>
    </row>
    <row r="1435" spans="12:13" x14ac:dyDescent="0.2">
      <c r="L1435" s="48"/>
      <c r="M1435" s="48"/>
    </row>
    <row r="1436" spans="12:13" x14ac:dyDescent="0.2">
      <c r="L1436" s="48"/>
      <c r="M1436" s="48"/>
    </row>
    <row r="1437" spans="12:13" x14ac:dyDescent="0.2">
      <c r="L1437" s="48"/>
      <c r="M1437" s="48"/>
    </row>
    <row r="1438" spans="12:13" x14ac:dyDescent="0.2">
      <c r="L1438" s="48"/>
      <c r="M1438" s="48"/>
    </row>
    <row r="1439" spans="12:13" x14ac:dyDescent="0.2">
      <c r="L1439" s="48"/>
      <c r="M1439" s="48"/>
    </row>
    <row r="1440" spans="12:13" x14ac:dyDescent="0.2">
      <c r="L1440" s="48"/>
      <c r="M1440" s="48"/>
    </row>
    <row r="1441" spans="12:13" x14ac:dyDescent="0.2">
      <c r="L1441" s="48"/>
      <c r="M1441" s="48"/>
    </row>
    <row r="1442" spans="12:13" x14ac:dyDescent="0.2">
      <c r="L1442" s="48"/>
      <c r="M1442" s="48"/>
    </row>
    <row r="1443" spans="12:13" x14ac:dyDescent="0.2">
      <c r="L1443" s="48"/>
      <c r="M1443" s="48"/>
    </row>
    <row r="1444" spans="12:13" x14ac:dyDescent="0.2">
      <c r="L1444" s="48"/>
      <c r="M1444" s="48"/>
    </row>
    <row r="1445" spans="12:13" x14ac:dyDescent="0.2">
      <c r="L1445" s="48"/>
      <c r="M1445" s="48"/>
    </row>
    <row r="1446" spans="12:13" x14ac:dyDescent="0.2">
      <c r="L1446" s="48"/>
      <c r="M1446" s="48"/>
    </row>
    <row r="1447" spans="12:13" x14ac:dyDescent="0.2">
      <c r="L1447" s="48"/>
      <c r="M1447" s="48"/>
    </row>
    <row r="1448" spans="12:13" x14ac:dyDescent="0.2">
      <c r="L1448" s="48"/>
      <c r="M1448" s="48"/>
    </row>
    <row r="1449" spans="12:13" x14ac:dyDescent="0.2">
      <c r="L1449" s="48"/>
      <c r="M1449" s="48"/>
    </row>
    <row r="1450" spans="12:13" x14ac:dyDescent="0.2">
      <c r="L1450" s="48"/>
      <c r="M1450" s="48"/>
    </row>
    <row r="1451" spans="12:13" x14ac:dyDescent="0.2">
      <c r="L1451" s="48"/>
      <c r="M1451" s="48"/>
    </row>
    <row r="1452" spans="12:13" x14ac:dyDescent="0.2">
      <c r="L1452" s="48"/>
      <c r="M1452" s="48"/>
    </row>
    <row r="1453" spans="12:13" x14ac:dyDescent="0.2">
      <c r="L1453" s="48"/>
      <c r="M1453" s="48"/>
    </row>
    <row r="1454" spans="12:13" x14ac:dyDescent="0.2">
      <c r="L1454" s="48"/>
      <c r="M1454" s="48"/>
    </row>
    <row r="1455" spans="12:13" x14ac:dyDescent="0.2">
      <c r="L1455" s="48"/>
      <c r="M1455" s="48"/>
    </row>
    <row r="1456" spans="12:13" x14ac:dyDescent="0.2">
      <c r="L1456" s="48"/>
      <c r="M1456" s="48"/>
    </row>
    <row r="1457" spans="12:13" x14ac:dyDescent="0.2">
      <c r="L1457" s="48"/>
      <c r="M1457" s="48"/>
    </row>
    <row r="1458" spans="12:13" x14ac:dyDescent="0.2">
      <c r="L1458" s="48"/>
      <c r="M1458" s="48"/>
    </row>
    <row r="1459" spans="12:13" x14ac:dyDescent="0.2">
      <c r="L1459" s="48"/>
      <c r="M1459" s="48"/>
    </row>
    <row r="1460" spans="12:13" x14ac:dyDescent="0.2">
      <c r="L1460" s="48"/>
      <c r="M1460" s="48"/>
    </row>
    <row r="1461" spans="12:13" x14ac:dyDescent="0.2">
      <c r="L1461" s="48"/>
      <c r="M1461" s="48"/>
    </row>
    <row r="1462" spans="12:13" x14ac:dyDescent="0.2">
      <c r="L1462" s="48"/>
      <c r="M1462" s="48"/>
    </row>
    <row r="1463" spans="12:13" x14ac:dyDescent="0.2">
      <c r="L1463" s="48"/>
      <c r="M1463" s="48"/>
    </row>
    <row r="1464" spans="12:13" x14ac:dyDescent="0.2">
      <c r="L1464" s="48"/>
      <c r="M1464" s="48"/>
    </row>
    <row r="1465" spans="12:13" x14ac:dyDescent="0.2">
      <c r="L1465" s="48"/>
      <c r="M1465" s="48"/>
    </row>
    <row r="1466" spans="12:13" x14ac:dyDescent="0.2">
      <c r="L1466" s="48"/>
      <c r="M1466" s="48"/>
    </row>
    <row r="1467" spans="12:13" x14ac:dyDescent="0.2">
      <c r="L1467" s="48"/>
      <c r="M1467" s="48"/>
    </row>
    <row r="1468" spans="12:13" x14ac:dyDescent="0.2">
      <c r="L1468" s="48"/>
      <c r="M1468" s="48"/>
    </row>
    <row r="1469" spans="12:13" x14ac:dyDescent="0.2">
      <c r="L1469" s="48"/>
      <c r="M1469" s="48"/>
    </row>
    <row r="1470" spans="12:13" x14ac:dyDescent="0.2">
      <c r="L1470" s="48"/>
      <c r="M1470" s="48"/>
    </row>
    <row r="1471" spans="12:13" x14ac:dyDescent="0.2">
      <c r="L1471" s="48"/>
      <c r="M1471" s="48"/>
    </row>
    <row r="1472" spans="12:13" x14ac:dyDescent="0.2">
      <c r="L1472" s="48"/>
      <c r="M1472" s="48"/>
    </row>
    <row r="1473" spans="12:13" x14ac:dyDescent="0.2">
      <c r="L1473" s="48"/>
      <c r="M1473" s="48"/>
    </row>
    <row r="1474" spans="12:13" x14ac:dyDescent="0.2">
      <c r="L1474" s="48"/>
      <c r="M1474" s="48"/>
    </row>
    <row r="1475" spans="12:13" x14ac:dyDescent="0.2">
      <c r="L1475" s="48"/>
      <c r="M1475" s="48"/>
    </row>
    <row r="1476" spans="12:13" x14ac:dyDescent="0.2">
      <c r="L1476" s="48"/>
      <c r="M1476" s="48"/>
    </row>
    <row r="1477" spans="12:13" x14ac:dyDescent="0.2">
      <c r="L1477" s="48"/>
      <c r="M1477" s="48"/>
    </row>
    <row r="1478" spans="12:13" x14ac:dyDescent="0.2">
      <c r="L1478" s="48"/>
      <c r="M1478" s="48"/>
    </row>
    <row r="1479" spans="12:13" x14ac:dyDescent="0.2">
      <c r="L1479" s="48"/>
      <c r="M1479" s="48"/>
    </row>
    <row r="1480" spans="12:13" x14ac:dyDescent="0.2">
      <c r="L1480" s="48"/>
      <c r="M1480" s="48"/>
    </row>
    <row r="1481" spans="12:13" x14ac:dyDescent="0.2">
      <c r="L1481" s="48"/>
      <c r="M1481" s="48"/>
    </row>
    <row r="1482" spans="12:13" x14ac:dyDescent="0.2">
      <c r="L1482" s="48"/>
      <c r="M1482" s="48"/>
    </row>
    <row r="1483" spans="12:13" x14ac:dyDescent="0.2">
      <c r="L1483" s="48"/>
      <c r="M1483" s="48"/>
    </row>
    <row r="1484" spans="12:13" x14ac:dyDescent="0.2">
      <c r="L1484" s="48"/>
      <c r="M1484" s="48"/>
    </row>
    <row r="1485" spans="12:13" x14ac:dyDescent="0.2">
      <c r="L1485" s="48"/>
      <c r="M1485" s="48"/>
    </row>
    <row r="1486" spans="12:13" x14ac:dyDescent="0.2">
      <c r="L1486" s="48"/>
      <c r="M1486" s="48"/>
    </row>
    <row r="1487" spans="12:13" x14ac:dyDescent="0.2">
      <c r="L1487" s="48"/>
      <c r="M1487" s="48"/>
    </row>
    <row r="1488" spans="12:13" x14ac:dyDescent="0.2">
      <c r="L1488" s="48"/>
      <c r="M1488" s="48"/>
    </row>
    <row r="1489" spans="12:13" x14ac:dyDescent="0.2">
      <c r="L1489" s="48"/>
      <c r="M1489" s="48"/>
    </row>
    <row r="1490" spans="12:13" x14ac:dyDescent="0.2">
      <c r="L1490" s="48"/>
      <c r="M1490" s="48"/>
    </row>
    <row r="1491" spans="12:13" x14ac:dyDescent="0.2">
      <c r="L1491" s="48"/>
      <c r="M1491" s="48"/>
    </row>
    <row r="1492" spans="12:13" x14ac:dyDescent="0.2">
      <c r="L1492" s="48"/>
      <c r="M1492" s="48"/>
    </row>
    <row r="1493" spans="12:13" x14ac:dyDescent="0.2">
      <c r="L1493" s="48"/>
      <c r="M1493" s="48"/>
    </row>
    <row r="1494" spans="12:13" x14ac:dyDescent="0.2">
      <c r="L1494" s="48"/>
      <c r="M1494" s="48"/>
    </row>
    <row r="1495" spans="12:13" x14ac:dyDescent="0.2">
      <c r="L1495" s="48"/>
      <c r="M1495" s="48"/>
    </row>
    <row r="1496" spans="12:13" x14ac:dyDescent="0.2">
      <c r="L1496" s="48"/>
      <c r="M1496" s="48"/>
    </row>
    <row r="1497" spans="12:13" x14ac:dyDescent="0.2">
      <c r="L1497" s="48"/>
      <c r="M1497" s="48"/>
    </row>
    <row r="1498" spans="12:13" x14ac:dyDescent="0.2">
      <c r="L1498" s="48"/>
      <c r="M1498" s="48"/>
    </row>
    <row r="1499" spans="12:13" x14ac:dyDescent="0.2">
      <c r="L1499" s="48"/>
      <c r="M1499" s="48"/>
    </row>
    <row r="1500" spans="12:13" x14ac:dyDescent="0.2">
      <c r="L1500" s="48"/>
      <c r="M1500" s="48"/>
    </row>
    <row r="1501" spans="12:13" x14ac:dyDescent="0.2">
      <c r="L1501" s="48"/>
      <c r="M1501" s="48"/>
    </row>
    <row r="1502" spans="12:13" x14ac:dyDescent="0.2">
      <c r="L1502" s="48"/>
      <c r="M1502" s="48"/>
    </row>
    <row r="1503" spans="12:13" x14ac:dyDescent="0.2">
      <c r="L1503" s="48"/>
      <c r="M1503" s="48"/>
    </row>
    <row r="1504" spans="12:13" x14ac:dyDescent="0.2">
      <c r="L1504" s="48"/>
      <c r="M1504" s="48"/>
    </row>
    <row r="1505" spans="12:13" x14ac:dyDescent="0.2">
      <c r="L1505" s="48"/>
      <c r="M1505" s="48"/>
    </row>
    <row r="1506" spans="12:13" x14ac:dyDescent="0.2">
      <c r="L1506" s="48"/>
      <c r="M1506" s="48"/>
    </row>
    <row r="1507" spans="12:13" x14ac:dyDescent="0.2">
      <c r="L1507" s="48"/>
      <c r="M1507" s="48"/>
    </row>
    <row r="1508" spans="12:13" x14ac:dyDescent="0.2">
      <c r="L1508" s="48"/>
      <c r="M1508" s="48"/>
    </row>
    <row r="1509" spans="12:13" x14ac:dyDescent="0.2">
      <c r="L1509" s="48"/>
      <c r="M1509" s="48"/>
    </row>
    <row r="1510" spans="12:13" x14ac:dyDescent="0.2">
      <c r="L1510" s="48"/>
      <c r="M1510" s="48"/>
    </row>
  </sheetData>
  <conditionalFormatting sqref="F4">
    <cfRule type="cellIs" dxfId="4" priority="1" operator="notEqual">
      <formula>0</formula>
    </cfRule>
  </conditionalFormatting>
  <hyperlinks>
    <hyperlink ref="F4" location="Overall_Error_Check" tooltip="Go to Overall Error Check" display="Overall_Error_Check" xr:uid="{0C93E745-4B68-46EF-802F-E9C4E44EADC1}"/>
    <hyperlink ref="A3:E3" location="HL_Navigator" tooltip="Go to Navigator (Table of Contents)" display="Navigator" xr:uid="{3B3B536C-3FEF-4F2D-83B9-3E59EBB1BC2B}"/>
    <hyperlink ref="A3" location="HL_Navigator" display="Navigator" xr:uid="{0F21D07D-F524-4D79-B10C-6D6847A8DDC4}"/>
  </hyperlink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603AE-71A0-42D7-BA34-25170AE8492F}">
  <sheetPr codeName="Sheet12">
    <outlinePr summaryBelow="0" summaryRight="0"/>
  </sheetPr>
  <dimension ref="A1:M1510"/>
  <sheetViews>
    <sheetView showGridLines="0" workbookViewId="0">
      <pane ySplit="4" topLeftCell="A5" activePane="bottomLeft" state="frozen"/>
      <selection pane="bottomLeft" activeCell="C14" sqref="C14"/>
    </sheetView>
  </sheetViews>
  <sheetFormatPr defaultRowHeight="11.4" x14ac:dyDescent="0.2"/>
  <cols>
    <col min="1" max="2" width="3.75" customWidth="1"/>
    <col min="3" max="3" width="19" bestFit="1" customWidth="1"/>
    <col min="4" max="4" width="12.125" customWidth="1"/>
    <col min="5" max="5" width="27.25" bestFit="1" customWidth="1"/>
    <col min="6" max="6" width="12.25" bestFit="1" customWidth="1"/>
    <col min="7" max="7" width="7.875" bestFit="1" customWidth="1"/>
    <col min="8" max="8" width="9.75" bestFit="1" customWidth="1"/>
    <col min="9" max="9" width="14.875" bestFit="1" customWidth="1"/>
    <col min="10" max="10" width="14.25" bestFit="1" customWidth="1"/>
    <col min="11" max="11" width="15" bestFit="1" customWidth="1"/>
    <col min="12" max="12" width="5" bestFit="1" customWidth="1"/>
    <col min="13" max="13" width="7.25" bestFit="1" customWidth="1"/>
    <col min="14" max="14" width="12.75" bestFit="1" customWidth="1"/>
    <col min="15" max="15" width="10.125" bestFit="1" customWidth="1"/>
    <col min="20" max="20" width="12.125" bestFit="1" customWidth="1"/>
  </cols>
  <sheetData>
    <row r="1" spans="1:12" ht="21" x14ac:dyDescent="0.4">
      <c r="A1" s="39" t="str">
        <f ca="1">IF(ISERROR(RIGHT(CELL("filename",A1),LEN(CELL("filename",A1))-FIND("]",CELL("filename",A1)))),
"",
RIGHT(CELL("filename",A1),LEN(CELL("filename",A1))-FIND("]",CELL("filename",A1))))</f>
        <v>Northwind</v>
      </c>
    </row>
    <row r="2" spans="1:12" ht="17.399999999999999" x14ac:dyDescent="0.3">
      <c r="A2" s="40" t="str">
        <f>Model_Name</f>
        <v>SP Python in Excel Example Starter File Chapter 7</v>
      </c>
    </row>
    <row r="3" spans="1:12" ht="12" x14ac:dyDescent="0.25">
      <c r="A3" s="11" t="s">
        <v>0</v>
      </c>
      <c r="B3" s="11"/>
      <c r="C3" s="11"/>
      <c r="D3" s="11"/>
      <c r="E3" s="11"/>
    </row>
    <row r="4" spans="1:12" ht="13.8" x14ac:dyDescent="0.25">
      <c r="B4" t="s">
        <v>5</v>
      </c>
      <c r="F4" s="1">
        <f>Overall_Error_Check</f>
        <v>0</v>
      </c>
    </row>
    <row r="6" spans="1:12" ht="16.2" thickBot="1" x14ac:dyDescent="0.35">
      <c r="B6" s="41">
        <f>MAX($B$5:$B5)+1</f>
        <v>1</v>
      </c>
      <c r="C6" s="2" t="str">
        <f ca="1">A1</f>
        <v>Northwind</v>
      </c>
      <c r="D6" s="2"/>
      <c r="E6" s="2"/>
      <c r="F6" s="2"/>
      <c r="G6" s="2"/>
      <c r="H6" s="2"/>
      <c r="I6" s="2"/>
      <c r="J6" s="2"/>
      <c r="K6" s="2"/>
      <c r="L6" s="2"/>
    </row>
    <row r="7" spans="1:12" ht="12" thickTop="1" x14ac:dyDescent="0.2"/>
    <row r="8" spans="1:12" ht="16.8" x14ac:dyDescent="0.3">
      <c r="B8" t="s">
        <v>166</v>
      </c>
      <c r="C8" s="3" t="s">
        <v>73</v>
      </c>
      <c r="E8" t="s">
        <v>127</v>
      </c>
      <c r="F8" s="3"/>
    </row>
    <row r="9" spans="1:12" x14ac:dyDescent="0.2">
      <c r="B9">
        <v>1</v>
      </c>
      <c r="C9" t="e" cm="1" vm="1">
        <f t="array" ref="C9">_xlfn._xlws.PY(1,1,Categories)</f>
        <v>#VALUE!</v>
      </c>
      <c r="D9" t="s">
        <v>167</v>
      </c>
      <c r="E9" t="s">
        <v>128</v>
      </c>
      <c r="F9" t="s">
        <v>129</v>
      </c>
      <c r="G9" t="s">
        <v>12</v>
      </c>
    </row>
    <row r="10" spans="1:12" s="49" customFormat="1" ht="14.4" x14ac:dyDescent="0.3">
      <c r="C10"/>
      <c r="D10"/>
      <c r="E10">
        <v>1</v>
      </c>
      <c r="F10" t="s">
        <v>130</v>
      </c>
      <c r="G10" t="s">
        <v>131</v>
      </c>
      <c r="H10"/>
      <c r="I10"/>
      <c r="J10"/>
      <c r="K10"/>
    </row>
    <row r="11" spans="1:12" s="49" customFormat="1" ht="14.4" x14ac:dyDescent="0.3">
      <c r="B11" s="49">
        <v>2</v>
      </c>
      <c r="C11" t="e" cm="1" vm="1">
        <f t="array" ref="C11">_xlfn._xlws.PY(2,1,Alphabetical_list_of_products)</f>
        <v>#VALUE!</v>
      </c>
      <c r="D11" t="s">
        <v>168</v>
      </c>
      <c r="E11">
        <v>2</v>
      </c>
      <c r="F11" t="s">
        <v>132</v>
      </c>
      <c r="G11" t="s">
        <v>133</v>
      </c>
      <c r="H11"/>
      <c r="I11"/>
      <c r="J11"/>
      <c r="K11"/>
    </row>
    <row r="12" spans="1:12" s="49" customFormat="1" ht="14.4" x14ac:dyDescent="0.3">
      <c r="C12"/>
      <c r="D12"/>
      <c r="E12">
        <v>3</v>
      </c>
      <c r="F12" t="s">
        <v>134</v>
      </c>
      <c r="G12" t="s">
        <v>135</v>
      </c>
      <c r="H12"/>
      <c r="I12"/>
      <c r="J12"/>
      <c r="K12"/>
    </row>
    <row r="13" spans="1:12" s="49" customFormat="1" ht="14.4" x14ac:dyDescent="0.3">
      <c r="B13" s="49">
        <v>3</v>
      </c>
      <c r="C13" t="s">
        <v>165</v>
      </c>
      <c r="D13" t="s">
        <v>169</v>
      </c>
      <c r="E13">
        <v>4</v>
      </c>
      <c r="F13" t="s">
        <v>136</v>
      </c>
      <c r="G13" t="s">
        <v>137</v>
      </c>
      <c r="H13"/>
      <c r="I13"/>
      <c r="J13"/>
      <c r="K13"/>
    </row>
    <row r="14" spans="1:12" s="49" customFormat="1" ht="14.4" x14ac:dyDescent="0.3">
      <c r="C14" t="e" cm="1" vm="1">
        <f t="array" ref="C14">_xlfn._xlws.PY(3,1,Categories,Alphabetical_list_of_products)</f>
        <v>#VALUE!</v>
      </c>
      <c r="D14"/>
      <c r="E14">
        <v>5</v>
      </c>
      <c r="F14" t="s">
        <v>138</v>
      </c>
      <c r="G14" t="s">
        <v>139</v>
      </c>
      <c r="H14"/>
      <c r="I14"/>
      <c r="J14"/>
      <c r="K14"/>
    </row>
    <row r="15" spans="1:12" s="49" customFormat="1" ht="14.4" x14ac:dyDescent="0.3">
      <c r="C15"/>
      <c r="D15"/>
      <c r="E15">
        <v>6</v>
      </c>
      <c r="F15" t="s">
        <v>140</v>
      </c>
      <c r="G15" t="s">
        <v>141</v>
      </c>
      <c r="H15"/>
      <c r="I15"/>
      <c r="J15"/>
      <c r="K15"/>
    </row>
    <row r="16" spans="1:12" s="49" customFormat="1" ht="14.4" x14ac:dyDescent="0.3">
      <c r="C16"/>
      <c r="D16"/>
      <c r="E16">
        <v>7</v>
      </c>
      <c r="F16" t="s">
        <v>142</v>
      </c>
      <c r="G16" t="s">
        <v>143</v>
      </c>
      <c r="H16"/>
      <c r="I16"/>
      <c r="J16"/>
      <c r="K16"/>
    </row>
    <row r="17" spans="3:13" s="49" customFormat="1" ht="14.4" x14ac:dyDescent="0.3">
      <c r="C17"/>
      <c r="D17"/>
      <c r="E17">
        <v>8</v>
      </c>
      <c r="F17" t="s">
        <v>144</v>
      </c>
      <c r="G17" t="s">
        <v>145</v>
      </c>
      <c r="H17"/>
      <c r="I17"/>
      <c r="J17"/>
      <c r="K17"/>
    </row>
    <row r="18" spans="3:13" s="49" customFormat="1" ht="14.4" x14ac:dyDescent="0.3">
      <c r="C18"/>
      <c r="D18"/>
      <c r="E18"/>
      <c r="F18"/>
      <c r="G18"/>
      <c r="H18"/>
      <c r="I18"/>
      <c r="J18"/>
      <c r="K18"/>
    </row>
    <row r="19" spans="3:13" s="49" customFormat="1" ht="14.4" x14ac:dyDescent="0.3">
      <c r="C19"/>
      <c r="D19"/>
      <c r="E19"/>
      <c r="F19"/>
      <c r="G19"/>
      <c r="H19"/>
      <c r="I19"/>
      <c r="J19"/>
      <c r="K19"/>
    </row>
    <row r="20" spans="3:13" x14ac:dyDescent="0.2">
      <c r="E20" t="s">
        <v>146</v>
      </c>
      <c r="L20" s="48"/>
      <c r="M20" s="48"/>
    </row>
    <row r="21" spans="3:13" x14ac:dyDescent="0.2">
      <c r="E21" t="s">
        <v>147</v>
      </c>
      <c r="F21" t="s">
        <v>148</v>
      </c>
      <c r="G21" t="s">
        <v>128</v>
      </c>
      <c r="H21" t="s">
        <v>149</v>
      </c>
      <c r="L21" s="48"/>
      <c r="M21" s="48"/>
    </row>
    <row r="22" spans="3:13" x14ac:dyDescent="0.2">
      <c r="E22">
        <v>1</v>
      </c>
      <c r="F22" t="s">
        <v>150</v>
      </c>
      <c r="G22">
        <v>1</v>
      </c>
      <c r="H22">
        <v>18</v>
      </c>
      <c r="L22" s="48"/>
      <c r="M22" s="48"/>
    </row>
    <row r="23" spans="3:13" x14ac:dyDescent="0.2">
      <c r="E23">
        <v>2</v>
      </c>
      <c r="F23" t="s">
        <v>151</v>
      </c>
      <c r="G23">
        <v>1</v>
      </c>
      <c r="H23">
        <v>19</v>
      </c>
      <c r="L23" s="48"/>
      <c r="M23" s="48"/>
    </row>
    <row r="24" spans="3:13" x14ac:dyDescent="0.2">
      <c r="E24">
        <v>3</v>
      </c>
      <c r="F24" t="s">
        <v>152</v>
      </c>
      <c r="G24">
        <v>2</v>
      </c>
      <c r="H24">
        <v>10</v>
      </c>
      <c r="L24" s="48"/>
      <c r="M24" s="48"/>
    </row>
    <row r="25" spans="3:13" x14ac:dyDescent="0.2">
      <c r="E25">
        <v>4</v>
      </c>
      <c r="F25" t="s">
        <v>153</v>
      </c>
      <c r="G25">
        <v>2</v>
      </c>
      <c r="H25">
        <v>22</v>
      </c>
      <c r="L25" s="48"/>
      <c r="M25" s="48"/>
    </row>
    <row r="26" spans="3:13" x14ac:dyDescent="0.2">
      <c r="E26">
        <v>5</v>
      </c>
      <c r="F26" t="s">
        <v>154</v>
      </c>
      <c r="G26">
        <v>2</v>
      </c>
      <c r="H26">
        <v>21.35</v>
      </c>
      <c r="L26" s="48"/>
      <c r="M26" s="48"/>
    </row>
    <row r="27" spans="3:13" x14ac:dyDescent="0.2">
      <c r="E27">
        <v>6</v>
      </c>
      <c r="F27" t="s">
        <v>155</v>
      </c>
      <c r="G27">
        <v>2</v>
      </c>
      <c r="H27">
        <v>25</v>
      </c>
      <c r="L27" s="48"/>
      <c r="M27" s="48"/>
    </row>
    <row r="28" spans="3:13" x14ac:dyDescent="0.2">
      <c r="E28">
        <v>7</v>
      </c>
      <c r="F28" t="s">
        <v>156</v>
      </c>
      <c r="G28">
        <v>7</v>
      </c>
      <c r="H28">
        <v>30</v>
      </c>
      <c r="L28" s="48"/>
      <c r="M28" s="48"/>
    </row>
    <row r="29" spans="3:13" x14ac:dyDescent="0.2">
      <c r="E29">
        <v>8</v>
      </c>
      <c r="F29" t="s">
        <v>157</v>
      </c>
      <c r="G29">
        <v>2</v>
      </c>
      <c r="H29">
        <v>40</v>
      </c>
      <c r="L29" s="48"/>
      <c r="M29" s="48"/>
    </row>
    <row r="30" spans="3:13" x14ac:dyDescent="0.2">
      <c r="E30">
        <v>9</v>
      </c>
      <c r="F30" t="s">
        <v>158</v>
      </c>
      <c r="G30">
        <v>6</v>
      </c>
      <c r="H30">
        <v>97</v>
      </c>
      <c r="L30" s="48"/>
      <c r="M30" s="48"/>
    </row>
    <row r="31" spans="3:13" x14ac:dyDescent="0.2">
      <c r="E31">
        <v>10</v>
      </c>
      <c r="F31" t="s">
        <v>159</v>
      </c>
      <c r="G31">
        <v>8</v>
      </c>
      <c r="H31">
        <v>31</v>
      </c>
      <c r="L31" s="48"/>
      <c r="M31" s="48"/>
    </row>
    <row r="32" spans="3:13" x14ac:dyDescent="0.2">
      <c r="E32">
        <v>11</v>
      </c>
      <c r="F32" t="s">
        <v>160</v>
      </c>
      <c r="G32">
        <v>4</v>
      </c>
      <c r="H32">
        <v>21</v>
      </c>
      <c r="L32" s="48"/>
      <c r="M32" s="48"/>
    </row>
    <row r="33" spans="5:13" x14ac:dyDescent="0.2">
      <c r="E33">
        <v>12</v>
      </c>
      <c r="F33" t="s">
        <v>161</v>
      </c>
      <c r="G33">
        <v>4</v>
      </c>
      <c r="H33">
        <v>38</v>
      </c>
      <c r="L33" s="48"/>
      <c r="M33" s="48"/>
    </row>
    <row r="34" spans="5:13" x14ac:dyDescent="0.2">
      <c r="E34">
        <v>13</v>
      </c>
      <c r="F34" t="s">
        <v>162</v>
      </c>
      <c r="G34">
        <v>8</v>
      </c>
      <c r="H34">
        <v>6</v>
      </c>
      <c r="L34" s="48"/>
      <c r="M34" s="48"/>
    </row>
    <row r="35" spans="5:13" x14ac:dyDescent="0.2">
      <c r="E35">
        <v>14</v>
      </c>
      <c r="F35" t="s">
        <v>163</v>
      </c>
      <c r="G35">
        <v>7</v>
      </c>
      <c r="H35">
        <v>23.25</v>
      </c>
      <c r="L35" s="48"/>
      <c r="M35" s="48"/>
    </row>
    <row r="36" spans="5:13" x14ac:dyDescent="0.2">
      <c r="E36">
        <v>15</v>
      </c>
      <c r="F36" t="s">
        <v>164</v>
      </c>
      <c r="G36">
        <v>2</v>
      </c>
      <c r="H36">
        <v>15.5</v>
      </c>
      <c r="L36" s="48"/>
      <c r="M36" s="48"/>
    </row>
    <row r="37" spans="5:13" x14ac:dyDescent="0.2">
      <c r="L37" s="48"/>
      <c r="M37" s="48"/>
    </row>
    <row r="38" spans="5:13" x14ac:dyDescent="0.2">
      <c r="L38" s="48"/>
      <c r="M38" s="48"/>
    </row>
    <row r="39" spans="5:13" x14ac:dyDescent="0.2">
      <c r="L39" s="48"/>
      <c r="M39" s="48"/>
    </row>
    <row r="40" spans="5:13" x14ac:dyDescent="0.2">
      <c r="L40" s="48"/>
      <c r="M40" s="48"/>
    </row>
    <row r="41" spans="5:13" x14ac:dyDescent="0.2">
      <c r="L41" s="48"/>
      <c r="M41" s="48"/>
    </row>
    <row r="42" spans="5:13" x14ac:dyDescent="0.2">
      <c r="L42" s="48"/>
      <c r="M42" s="48"/>
    </row>
    <row r="43" spans="5:13" x14ac:dyDescent="0.2">
      <c r="L43" s="48"/>
      <c r="M43" s="48"/>
    </row>
    <row r="44" spans="5:13" x14ac:dyDescent="0.2">
      <c r="L44" s="48"/>
      <c r="M44" s="48"/>
    </row>
    <row r="45" spans="5:13" x14ac:dyDescent="0.2">
      <c r="L45" s="48"/>
      <c r="M45" s="48"/>
    </row>
    <row r="46" spans="5:13" x14ac:dyDescent="0.2">
      <c r="L46" s="48"/>
      <c r="M46" s="48"/>
    </row>
    <row r="47" spans="5:13" x14ac:dyDescent="0.2">
      <c r="L47" s="48"/>
      <c r="M47" s="48"/>
    </row>
    <row r="48" spans="5:13" x14ac:dyDescent="0.2">
      <c r="L48" s="48"/>
      <c r="M48" s="48"/>
    </row>
    <row r="49" spans="12:13" x14ac:dyDescent="0.2">
      <c r="L49" s="48"/>
      <c r="M49" s="48"/>
    </row>
    <row r="50" spans="12:13" x14ac:dyDescent="0.2">
      <c r="L50" s="48"/>
      <c r="M50" s="48"/>
    </row>
    <row r="51" spans="12:13" x14ac:dyDescent="0.2">
      <c r="L51" s="48"/>
      <c r="M51" s="48"/>
    </row>
    <row r="52" spans="12:13" x14ac:dyDescent="0.2">
      <c r="L52" s="48"/>
      <c r="M52" s="48"/>
    </row>
    <row r="53" spans="12:13" x14ac:dyDescent="0.2">
      <c r="L53" s="48"/>
      <c r="M53" s="48"/>
    </row>
    <row r="54" spans="12:13" x14ac:dyDescent="0.2">
      <c r="L54" s="48"/>
      <c r="M54" s="48"/>
    </row>
    <row r="55" spans="12:13" x14ac:dyDescent="0.2">
      <c r="L55" s="48"/>
      <c r="M55" s="48"/>
    </row>
    <row r="56" spans="12:13" x14ac:dyDescent="0.2">
      <c r="L56" s="48"/>
      <c r="M56" s="48"/>
    </row>
    <row r="57" spans="12:13" x14ac:dyDescent="0.2">
      <c r="L57" s="48"/>
      <c r="M57" s="48"/>
    </row>
    <row r="58" spans="12:13" x14ac:dyDescent="0.2">
      <c r="L58" s="48"/>
      <c r="M58" s="48"/>
    </row>
    <row r="59" spans="12:13" x14ac:dyDescent="0.2">
      <c r="L59" s="48"/>
      <c r="M59" s="48"/>
    </row>
    <row r="60" spans="12:13" x14ac:dyDescent="0.2">
      <c r="L60" s="48"/>
      <c r="M60" s="48"/>
    </row>
    <row r="61" spans="12:13" x14ac:dyDescent="0.2">
      <c r="L61" s="48"/>
      <c r="M61" s="48"/>
    </row>
    <row r="62" spans="12:13" x14ac:dyDescent="0.2">
      <c r="L62" s="48"/>
      <c r="M62" s="48"/>
    </row>
    <row r="63" spans="12:13" x14ac:dyDescent="0.2">
      <c r="L63" s="48"/>
      <c r="M63" s="48"/>
    </row>
    <row r="64" spans="12:13" x14ac:dyDescent="0.2">
      <c r="L64" s="48"/>
      <c r="M64" s="48"/>
    </row>
    <row r="65" spans="12:13" x14ac:dyDescent="0.2">
      <c r="L65" s="48"/>
      <c r="M65" s="48"/>
    </row>
    <row r="66" spans="12:13" x14ac:dyDescent="0.2">
      <c r="L66" s="48"/>
      <c r="M66" s="48"/>
    </row>
    <row r="67" spans="12:13" x14ac:dyDescent="0.2">
      <c r="L67" s="48"/>
      <c r="M67" s="48"/>
    </row>
    <row r="68" spans="12:13" x14ac:dyDescent="0.2">
      <c r="L68" s="48"/>
      <c r="M68" s="48"/>
    </row>
    <row r="69" spans="12:13" x14ac:dyDescent="0.2">
      <c r="L69" s="48"/>
      <c r="M69" s="48"/>
    </row>
    <row r="70" spans="12:13" x14ac:dyDescent="0.2">
      <c r="L70" s="48"/>
      <c r="M70" s="48"/>
    </row>
    <row r="71" spans="12:13" x14ac:dyDescent="0.2">
      <c r="L71" s="48"/>
      <c r="M71" s="48"/>
    </row>
    <row r="72" spans="12:13" x14ac:dyDescent="0.2">
      <c r="L72" s="48"/>
      <c r="M72" s="48"/>
    </row>
    <row r="73" spans="12:13" x14ac:dyDescent="0.2">
      <c r="L73" s="48"/>
      <c r="M73" s="48"/>
    </row>
    <row r="74" spans="12:13" x14ac:dyDescent="0.2">
      <c r="L74" s="48"/>
      <c r="M74" s="48"/>
    </row>
    <row r="75" spans="12:13" x14ac:dyDescent="0.2">
      <c r="L75" s="48"/>
      <c r="M75" s="48"/>
    </row>
    <row r="76" spans="12:13" x14ac:dyDescent="0.2">
      <c r="L76" s="48"/>
      <c r="M76" s="48"/>
    </row>
    <row r="77" spans="12:13" x14ac:dyDescent="0.2">
      <c r="L77" s="48"/>
      <c r="M77" s="48"/>
    </row>
    <row r="78" spans="12:13" x14ac:dyDescent="0.2">
      <c r="L78" s="48"/>
      <c r="M78" s="48"/>
    </row>
    <row r="79" spans="12:13" x14ac:dyDescent="0.2">
      <c r="L79" s="48"/>
      <c r="M79" s="48"/>
    </row>
    <row r="80" spans="12:13" x14ac:dyDescent="0.2">
      <c r="L80" s="48"/>
      <c r="M80" s="48"/>
    </row>
    <row r="81" spans="12:13" x14ac:dyDescent="0.2">
      <c r="L81" s="48"/>
      <c r="M81" s="48"/>
    </row>
    <row r="82" spans="12:13" x14ac:dyDescent="0.2">
      <c r="L82" s="48"/>
      <c r="M82" s="48"/>
    </row>
    <row r="83" spans="12:13" x14ac:dyDescent="0.2">
      <c r="L83" s="48"/>
      <c r="M83" s="48"/>
    </row>
    <row r="84" spans="12:13" x14ac:dyDescent="0.2">
      <c r="L84" s="48"/>
      <c r="M84" s="48"/>
    </row>
    <row r="85" spans="12:13" x14ac:dyDescent="0.2">
      <c r="L85" s="48"/>
      <c r="M85" s="48"/>
    </row>
    <row r="86" spans="12:13" x14ac:dyDescent="0.2">
      <c r="L86" s="48"/>
      <c r="M86" s="48"/>
    </row>
    <row r="87" spans="12:13" x14ac:dyDescent="0.2">
      <c r="L87" s="48"/>
      <c r="M87" s="48"/>
    </row>
    <row r="88" spans="12:13" x14ac:dyDescent="0.2">
      <c r="L88" s="48"/>
      <c r="M88" s="48"/>
    </row>
    <row r="89" spans="12:13" x14ac:dyDescent="0.2">
      <c r="L89" s="48"/>
      <c r="M89" s="48"/>
    </row>
    <row r="90" spans="12:13" x14ac:dyDescent="0.2">
      <c r="L90" s="48"/>
      <c r="M90" s="48"/>
    </row>
    <row r="91" spans="12:13" x14ac:dyDescent="0.2">
      <c r="L91" s="48"/>
      <c r="M91" s="48"/>
    </row>
    <row r="92" spans="12:13" x14ac:dyDescent="0.2">
      <c r="L92" s="48"/>
      <c r="M92" s="48"/>
    </row>
    <row r="93" spans="12:13" x14ac:dyDescent="0.2">
      <c r="L93" s="48"/>
      <c r="M93" s="48"/>
    </row>
    <row r="94" spans="12:13" x14ac:dyDescent="0.2">
      <c r="L94" s="48"/>
      <c r="M94" s="48"/>
    </row>
    <row r="95" spans="12:13" x14ac:dyDescent="0.2">
      <c r="L95" s="48"/>
      <c r="M95" s="48"/>
    </row>
    <row r="96" spans="12:13" x14ac:dyDescent="0.2">
      <c r="L96" s="48"/>
      <c r="M96" s="48"/>
    </row>
    <row r="97" spans="12:13" x14ac:dyDescent="0.2">
      <c r="L97" s="48"/>
      <c r="M97" s="48"/>
    </row>
    <row r="98" spans="12:13" x14ac:dyDescent="0.2">
      <c r="L98" s="48"/>
      <c r="M98" s="48"/>
    </row>
    <row r="99" spans="12:13" x14ac:dyDescent="0.2">
      <c r="L99" s="48"/>
      <c r="M99" s="48"/>
    </row>
    <row r="100" spans="12:13" x14ac:dyDescent="0.2">
      <c r="L100" s="48"/>
      <c r="M100" s="48"/>
    </row>
    <row r="101" spans="12:13" x14ac:dyDescent="0.2">
      <c r="L101" s="48"/>
      <c r="M101" s="48"/>
    </row>
    <row r="102" spans="12:13" x14ac:dyDescent="0.2">
      <c r="L102" s="48"/>
      <c r="M102" s="48"/>
    </row>
    <row r="103" spans="12:13" x14ac:dyDescent="0.2">
      <c r="L103" s="48"/>
      <c r="M103" s="48"/>
    </row>
    <row r="104" spans="12:13" x14ac:dyDescent="0.2">
      <c r="L104" s="48"/>
      <c r="M104" s="48"/>
    </row>
    <row r="105" spans="12:13" x14ac:dyDescent="0.2">
      <c r="L105" s="48"/>
      <c r="M105" s="48"/>
    </row>
    <row r="106" spans="12:13" x14ac:dyDescent="0.2">
      <c r="L106" s="48"/>
      <c r="M106" s="48"/>
    </row>
    <row r="107" spans="12:13" x14ac:dyDescent="0.2">
      <c r="L107" s="48"/>
      <c r="M107" s="48"/>
    </row>
    <row r="108" spans="12:13" x14ac:dyDescent="0.2">
      <c r="L108" s="48"/>
      <c r="M108" s="48"/>
    </row>
    <row r="109" spans="12:13" x14ac:dyDescent="0.2">
      <c r="L109" s="48"/>
      <c r="M109" s="48"/>
    </row>
    <row r="110" spans="12:13" x14ac:dyDescent="0.2">
      <c r="L110" s="48"/>
      <c r="M110" s="48"/>
    </row>
    <row r="111" spans="12:13" x14ac:dyDescent="0.2">
      <c r="L111" s="48"/>
      <c r="M111" s="48"/>
    </row>
    <row r="112" spans="12:13" x14ac:dyDescent="0.2">
      <c r="L112" s="48"/>
      <c r="M112" s="48"/>
    </row>
    <row r="113" spans="12:13" x14ac:dyDescent="0.2">
      <c r="L113" s="48"/>
      <c r="M113" s="48"/>
    </row>
    <row r="114" spans="12:13" x14ac:dyDescent="0.2">
      <c r="L114" s="48"/>
      <c r="M114" s="48"/>
    </row>
    <row r="115" spans="12:13" x14ac:dyDescent="0.2">
      <c r="L115" s="48"/>
      <c r="M115" s="48"/>
    </row>
    <row r="116" spans="12:13" x14ac:dyDescent="0.2">
      <c r="L116" s="48"/>
      <c r="M116" s="48"/>
    </row>
    <row r="117" spans="12:13" x14ac:dyDescent="0.2">
      <c r="L117" s="48"/>
      <c r="M117" s="48"/>
    </row>
    <row r="118" spans="12:13" x14ac:dyDescent="0.2">
      <c r="L118" s="48"/>
      <c r="M118" s="48"/>
    </row>
    <row r="119" spans="12:13" x14ac:dyDescent="0.2">
      <c r="L119" s="48"/>
      <c r="M119" s="48"/>
    </row>
    <row r="120" spans="12:13" x14ac:dyDescent="0.2">
      <c r="L120" s="48"/>
      <c r="M120" s="48"/>
    </row>
    <row r="121" spans="12:13" x14ac:dyDescent="0.2">
      <c r="L121" s="48"/>
      <c r="M121" s="48"/>
    </row>
    <row r="122" spans="12:13" x14ac:dyDescent="0.2">
      <c r="L122" s="48"/>
      <c r="M122" s="48"/>
    </row>
    <row r="123" spans="12:13" x14ac:dyDescent="0.2">
      <c r="L123" s="48"/>
      <c r="M123" s="48"/>
    </row>
    <row r="124" spans="12:13" x14ac:dyDescent="0.2">
      <c r="L124" s="48"/>
      <c r="M124" s="48"/>
    </row>
    <row r="125" spans="12:13" x14ac:dyDescent="0.2">
      <c r="L125" s="48"/>
      <c r="M125" s="48"/>
    </row>
    <row r="126" spans="12:13" x14ac:dyDescent="0.2">
      <c r="L126" s="48"/>
      <c r="M126" s="48"/>
    </row>
    <row r="127" spans="12:13" x14ac:dyDescent="0.2">
      <c r="L127" s="48"/>
      <c r="M127" s="48"/>
    </row>
    <row r="128" spans="12:13" x14ac:dyDescent="0.2">
      <c r="L128" s="48"/>
      <c r="M128" s="48"/>
    </row>
    <row r="129" spans="12:13" x14ac:dyDescent="0.2">
      <c r="L129" s="48"/>
      <c r="M129" s="48"/>
    </row>
    <row r="130" spans="12:13" x14ac:dyDescent="0.2">
      <c r="L130" s="48"/>
      <c r="M130" s="48"/>
    </row>
    <row r="131" spans="12:13" x14ac:dyDescent="0.2">
      <c r="L131" s="48"/>
      <c r="M131" s="48"/>
    </row>
    <row r="132" spans="12:13" x14ac:dyDescent="0.2">
      <c r="L132" s="48"/>
      <c r="M132" s="48"/>
    </row>
    <row r="133" spans="12:13" x14ac:dyDescent="0.2">
      <c r="L133" s="48"/>
      <c r="M133" s="48"/>
    </row>
    <row r="134" spans="12:13" x14ac:dyDescent="0.2">
      <c r="L134" s="48"/>
      <c r="M134" s="48"/>
    </row>
    <row r="135" spans="12:13" x14ac:dyDescent="0.2">
      <c r="L135" s="48"/>
      <c r="M135" s="48"/>
    </row>
    <row r="136" spans="12:13" x14ac:dyDescent="0.2">
      <c r="L136" s="48"/>
      <c r="M136" s="48"/>
    </row>
    <row r="137" spans="12:13" x14ac:dyDescent="0.2">
      <c r="L137" s="48"/>
      <c r="M137" s="48"/>
    </row>
    <row r="138" spans="12:13" x14ac:dyDescent="0.2">
      <c r="L138" s="48"/>
      <c r="M138" s="48"/>
    </row>
    <row r="139" spans="12:13" x14ac:dyDescent="0.2">
      <c r="L139" s="48"/>
      <c r="M139" s="48"/>
    </row>
    <row r="140" spans="12:13" x14ac:dyDescent="0.2">
      <c r="L140" s="48"/>
      <c r="M140" s="48"/>
    </row>
    <row r="141" spans="12:13" x14ac:dyDescent="0.2">
      <c r="L141" s="48"/>
      <c r="M141" s="48"/>
    </row>
    <row r="142" spans="12:13" x14ac:dyDescent="0.2">
      <c r="L142" s="48"/>
      <c r="M142" s="48"/>
    </row>
    <row r="143" spans="12:13" x14ac:dyDescent="0.2">
      <c r="L143" s="48"/>
      <c r="M143" s="48"/>
    </row>
    <row r="144" spans="12:13" x14ac:dyDescent="0.2">
      <c r="L144" s="48"/>
      <c r="M144" s="48"/>
    </row>
    <row r="145" spans="12:13" x14ac:dyDescent="0.2">
      <c r="L145" s="48"/>
      <c r="M145" s="48"/>
    </row>
    <row r="146" spans="12:13" x14ac:dyDescent="0.2">
      <c r="L146" s="48"/>
      <c r="M146" s="48"/>
    </row>
    <row r="147" spans="12:13" x14ac:dyDescent="0.2">
      <c r="L147" s="48"/>
      <c r="M147" s="48"/>
    </row>
    <row r="148" spans="12:13" x14ac:dyDescent="0.2">
      <c r="L148" s="48"/>
      <c r="M148" s="48"/>
    </row>
    <row r="149" spans="12:13" x14ac:dyDescent="0.2">
      <c r="L149" s="48"/>
      <c r="M149" s="48"/>
    </row>
    <row r="150" spans="12:13" x14ac:dyDescent="0.2">
      <c r="L150" s="48"/>
      <c r="M150" s="48"/>
    </row>
    <row r="151" spans="12:13" x14ac:dyDescent="0.2">
      <c r="L151" s="48"/>
      <c r="M151" s="48"/>
    </row>
    <row r="152" spans="12:13" x14ac:dyDescent="0.2">
      <c r="L152" s="48"/>
      <c r="M152" s="48"/>
    </row>
    <row r="153" spans="12:13" x14ac:dyDescent="0.2">
      <c r="L153" s="48"/>
      <c r="M153" s="48"/>
    </row>
    <row r="154" spans="12:13" x14ac:dyDescent="0.2">
      <c r="L154" s="48"/>
      <c r="M154" s="48"/>
    </row>
    <row r="155" spans="12:13" x14ac:dyDescent="0.2">
      <c r="L155" s="48"/>
      <c r="M155" s="48"/>
    </row>
    <row r="156" spans="12:13" x14ac:dyDescent="0.2">
      <c r="L156" s="48"/>
      <c r="M156" s="48"/>
    </row>
    <row r="157" spans="12:13" x14ac:dyDescent="0.2">
      <c r="L157" s="48"/>
      <c r="M157" s="48"/>
    </row>
    <row r="158" spans="12:13" x14ac:dyDescent="0.2">
      <c r="L158" s="48"/>
      <c r="M158" s="48"/>
    </row>
    <row r="159" spans="12:13" x14ac:dyDescent="0.2">
      <c r="L159" s="48"/>
      <c r="M159" s="48"/>
    </row>
    <row r="160" spans="12:13" x14ac:dyDescent="0.2">
      <c r="L160" s="48"/>
      <c r="M160" s="48"/>
    </row>
    <row r="161" spans="12:13" x14ac:dyDescent="0.2">
      <c r="L161" s="48"/>
      <c r="M161" s="48"/>
    </row>
    <row r="162" spans="12:13" x14ac:dyDescent="0.2">
      <c r="L162" s="48"/>
      <c r="M162" s="48"/>
    </row>
    <row r="163" spans="12:13" x14ac:dyDescent="0.2">
      <c r="L163" s="48"/>
      <c r="M163" s="48"/>
    </row>
    <row r="164" spans="12:13" x14ac:dyDescent="0.2">
      <c r="L164" s="48"/>
      <c r="M164" s="48"/>
    </row>
    <row r="165" spans="12:13" x14ac:dyDescent="0.2">
      <c r="L165" s="48"/>
      <c r="M165" s="48"/>
    </row>
    <row r="166" spans="12:13" x14ac:dyDescent="0.2">
      <c r="L166" s="48"/>
      <c r="M166" s="48"/>
    </row>
    <row r="167" spans="12:13" x14ac:dyDescent="0.2">
      <c r="L167" s="48"/>
      <c r="M167" s="48"/>
    </row>
    <row r="168" spans="12:13" x14ac:dyDescent="0.2">
      <c r="L168" s="48"/>
      <c r="M168" s="48"/>
    </row>
    <row r="169" spans="12:13" x14ac:dyDescent="0.2">
      <c r="L169" s="48"/>
      <c r="M169" s="48"/>
    </row>
    <row r="170" spans="12:13" x14ac:dyDescent="0.2">
      <c r="L170" s="48"/>
      <c r="M170" s="48"/>
    </row>
    <row r="171" spans="12:13" x14ac:dyDescent="0.2">
      <c r="L171" s="48"/>
      <c r="M171" s="48"/>
    </row>
    <row r="172" spans="12:13" x14ac:dyDescent="0.2">
      <c r="L172" s="48"/>
      <c r="M172" s="48"/>
    </row>
    <row r="173" spans="12:13" x14ac:dyDescent="0.2">
      <c r="L173" s="48"/>
      <c r="M173" s="48"/>
    </row>
    <row r="174" spans="12:13" x14ac:dyDescent="0.2">
      <c r="L174" s="48"/>
      <c r="M174" s="48"/>
    </row>
    <row r="175" spans="12:13" x14ac:dyDescent="0.2">
      <c r="L175" s="48"/>
      <c r="M175" s="48"/>
    </row>
    <row r="176" spans="12:13" x14ac:dyDescent="0.2">
      <c r="L176" s="48"/>
      <c r="M176" s="48"/>
    </row>
    <row r="177" spans="12:13" x14ac:dyDescent="0.2">
      <c r="L177" s="48"/>
      <c r="M177" s="48"/>
    </row>
    <row r="178" spans="12:13" x14ac:dyDescent="0.2">
      <c r="L178" s="48"/>
      <c r="M178" s="48"/>
    </row>
    <row r="179" spans="12:13" x14ac:dyDescent="0.2">
      <c r="L179" s="48"/>
      <c r="M179" s="48"/>
    </row>
    <row r="180" spans="12:13" x14ac:dyDescent="0.2">
      <c r="L180" s="48"/>
      <c r="M180" s="48"/>
    </row>
    <row r="181" spans="12:13" x14ac:dyDescent="0.2">
      <c r="L181" s="48"/>
      <c r="M181" s="48"/>
    </row>
    <row r="182" spans="12:13" x14ac:dyDescent="0.2">
      <c r="L182" s="48"/>
      <c r="M182" s="48"/>
    </row>
    <row r="183" spans="12:13" x14ac:dyDescent="0.2">
      <c r="L183" s="48"/>
      <c r="M183" s="48"/>
    </row>
    <row r="184" spans="12:13" x14ac:dyDescent="0.2">
      <c r="L184" s="48"/>
      <c r="M184" s="48"/>
    </row>
    <row r="185" spans="12:13" x14ac:dyDescent="0.2">
      <c r="L185" s="48"/>
      <c r="M185" s="48"/>
    </row>
    <row r="186" spans="12:13" x14ac:dyDescent="0.2">
      <c r="L186" s="48"/>
      <c r="M186" s="48"/>
    </row>
    <row r="187" spans="12:13" x14ac:dyDescent="0.2">
      <c r="L187" s="48"/>
      <c r="M187" s="48"/>
    </row>
    <row r="188" spans="12:13" x14ac:dyDescent="0.2">
      <c r="L188" s="48"/>
      <c r="M188" s="48"/>
    </row>
    <row r="189" spans="12:13" x14ac:dyDescent="0.2">
      <c r="L189" s="48"/>
      <c r="M189" s="48"/>
    </row>
    <row r="190" spans="12:13" x14ac:dyDescent="0.2">
      <c r="L190" s="48"/>
      <c r="M190" s="48"/>
    </row>
    <row r="191" spans="12:13" x14ac:dyDescent="0.2">
      <c r="L191" s="48"/>
      <c r="M191" s="48"/>
    </row>
    <row r="192" spans="12:13" x14ac:dyDescent="0.2">
      <c r="L192" s="48"/>
      <c r="M192" s="48"/>
    </row>
    <row r="193" spans="12:13" x14ac:dyDescent="0.2">
      <c r="L193" s="48"/>
      <c r="M193" s="48"/>
    </row>
    <row r="194" spans="12:13" x14ac:dyDescent="0.2">
      <c r="L194" s="48"/>
      <c r="M194" s="48"/>
    </row>
    <row r="195" spans="12:13" x14ac:dyDescent="0.2">
      <c r="L195" s="48"/>
      <c r="M195" s="48"/>
    </row>
    <row r="196" spans="12:13" x14ac:dyDescent="0.2">
      <c r="L196" s="48"/>
      <c r="M196" s="48"/>
    </row>
    <row r="197" spans="12:13" x14ac:dyDescent="0.2">
      <c r="L197" s="48"/>
      <c r="M197" s="48"/>
    </row>
    <row r="198" spans="12:13" x14ac:dyDescent="0.2">
      <c r="L198" s="48"/>
      <c r="M198" s="48"/>
    </row>
    <row r="199" spans="12:13" x14ac:dyDescent="0.2">
      <c r="L199" s="48"/>
      <c r="M199" s="48"/>
    </row>
    <row r="200" spans="12:13" x14ac:dyDescent="0.2">
      <c r="L200" s="48"/>
      <c r="M200" s="48"/>
    </row>
    <row r="201" spans="12:13" x14ac:dyDescent="0.2">
      <c r="L201" s="48"/>
      <c r="M201" s="48"/>
    </row>
    <row r="202" spans="12:13" x14ac:dyDescent="0.2">
      <c r="L202" s="48"/>
      <c r="M202" s="48"/>
    </row>
    <row r="203" spans="12:13" x14ac:dyDescent="0.2">
      <c r="L203" s="48"/>
      <c r="M203" s="48"/>
    </row>
    <row r="204" spans="12:13" x14ac:dyDescent="0.2">
      <c r="L204" s="48"/>
      <c r="M204" s="48"/>
    </row>
    <row r="205" spans="12:13" x14ac:dyDescent="0.2">
      <c r="L205" s="48"/>
      <c r="M205" s="48"/>
    </row>
    <row r="206" spans="12:13" x14ac:dyDescent="0.2">
      <c r="L206" s="48"/>
      <c r="M206" s="48"/>
    </row>
    <row r="207" spans="12:13" x14ac:dyDescent="0.2">
      <c r="L207" s="48"/>
      <c r="M207" s="48"/>
    </row>
    <row r="208" spans="12:13" x14ac:dyDescent="0.2">
      <c r="L208" s="48"/>
      <c r="M208" s="48"/>
    </row>
    <row r="209" spans="12:13" x14ac:dyDescent="0.2">
      <c r="L209" s="48"/>
      <c r="M209" s="48"/>
    </row>
    <row r="210" spans="12:13" x14ac:dyDescent="0.2">
      <c r="L210" s="48"/>
      <c r="M210" s="48"/>
    </row>
    <row r="211" spans="12:13" x14ac:dyDescent="0.2">
      <c r="L211" s="48"/>
      <c r="M211" s="48"/>
    </row>
    <row r="212" spans="12:13" x14ac:dyDescent="0.2">
      <c r="L212" s="48"/>
      <c r="M212" s="48"/>
    </row>
    <row r="213" spans="12:13" x14ac:dyDescent="0.2">
      <c r="L213" s="48"/>
      <c r="M213" s="48"/>
    </row>
    <row r="214" spans="12:13" x14ac:dyDescent="0.2">
      <c r="L214" s="48"/>
      <c r="M214" s="48"/>
    </row>
    <row r="215" spans="12:13" x14ac:dyDescent="0.2">
      <c r="L215" s="48"/>
      <c r="M215" s="48"/>
    </row>
    <row r="216" spans="12:13" x14ac:dyDescent="0.2">
      <c r="L216" s="48"/>
      <c r="M216" s="48"/>
    </row>
    <row r="217" spans="12:13" x14ac:dyDescent="0.2">
      <c r="L217" s="48"/>
      <c r="M217" s="48"/>
    </row>
    <row r="218" spans="12:13" x14ac:dyDescent="0.2">
      <c r="L218" s="48"/>
      <c r="M218" s="48"/>
    </row>
    <row r="219" spans="12:13" x14ac:dyDescent="0.2">
      <c r="L219" s="48"/>
      <c r="M219" s="48"/>
    </row>
    <row r="220" spans="12:13" x14ac:dyDescent="0.2">
      <c r="L220" s="48"/>
      <c r="M220" s="48"/>
    </row>
    <row r="221" spans="12:13" x14ac:dyDescent="0.2">
      <c r="L221" s="48"/>
      <c r="M221" s="48"/>
    </row>
    <row r="222" spans="12:13" x14ac:dyDescent="0.2">
      <c r="L222" s="48"/>
      <c r="M222" s="48"/>
    </row>
    <row r="223" spans="12:13" x14ac:dyDescent="0.2">
      <c r="L223" s="48"/>
      <c r="M223" s="48"/>
    </row>
    <row r="224" spans="12:13" x14ac:dyDescent="0.2">
      <c r="L224" s="48"/>
      <c r="M224" s="48"/>
    </row>
    <row r="225" spans="12:13" x14ac:dyDescent="0.2">
      <c r="L225" s="48"/>
      <c r="M225" s="48"/>
    </row>
    <row r="226" spans="12:13" x14ac:dyDescent="0.2">
      <c r="L226" s="48"/>
      <c r="M226" s="48"/>
    </row>
    <row r="227" spans="12:13" x14ac:dyDescent="0.2">
      <c r="L227" s="48"/>
      <c r="M227" s="48"/>
    </row>
    <row r="228" spans="12:13" x14ac:dyDescent="0.2">
      <c r="L228" s="48"/>
      <c r="M228" s="48"/>
    </row>
    <row r="229" spans="12:13" x14ac:dyDescent="0.2">
      <c r="L229" s="48"/>
      <c r="M229" s="48"/>
    </row>
    <row r="230" spans="12:13" x14ac:dyDescent="0.2">
      <c r="L230" s="48"/>
      <c r="M230" s="48"/>
    </row>
    <row r="231" spans="12:13" x14ac:dyDescent="0.2">
      <c r="L231" s="48"/>
      <c r="M231" s="48"/>
    </row>
    <row r="232" spans="12:13" x14ac:dyDescent="0.2">
      <c r="L232" s="48"/>
      <c r="M232" s="48"/>
    </row>
    <row r="233" spans="12:13" x14ac:dyDescent="0.2">
      <c r="L233" s="48"/>
      <c r="M233" s="48"/>
    </row>
    <row r="234" spans="12:13" x14ac:dyDescent="0.2">
      <c r="L234" s="48"/>
      <c r="M234" s="48"/>
    </row>
    <row r="235" spans="12:13" x14ac:dyDescent="0.2">
      <c r="L235" s="48"/>
      <c r="M235" s="48"/>
    </row>
    <row r="236" spans="12:13" x14ac:dyDescent="0.2">
      <c r="L236" s="48"/>
      <c r="M236" s="48"/>
    </row>
    <row r="237" spans="12:13" x14ac:dyDescent="0.2">
      <c r="L237" s="48"/>
      <c r="M237" s="48"/>
    </row>
    <row r="238" spans="12:13" x14ac:dyDescent="0.2">
      <c r="L238" s="48"/>
      <c r="M238" s="48"/>
    </row>
    <row r="239" spans="12:13" x14ac:dyDescent="0.2">
      <c r="L239" s="48"/>
      <c r="M239" s="48"/>
    </row>
    <row r="240" spans="12:13" x14ac:dyDescent="0.2">
      <c r="L240" s="48"/>
      <c r="M240" s="48"/>
    </row>
    <row r="241" spans="12:13" x14ac:dyDescent="0.2">
      <c r="L241" s="48"/>
      <c r="M241" s="48"/>
    </row>
    <row r="242" spans="12:13" x14ac:dyDescent="0.2">
      <c r="L242" s="48"/>
      <c r="M242" s="48"/>
    </row>
    <row r="243" spans="12:13" x14ac:dyDescent="0.2">
      <c r="L243" s="48"/>
      <c r="M243" s="48"/>
    </row>
    <row r="244" spans="12:13" x14ac:dyDescent="0.2">
      <c r="L244" s="48"/>
      <c r="M244" s="48"/>
    </row>
    <row r="245" spans="12:13" x14ac:dyDescent="0.2">
      <c r="L245" s="48"/>
      <c r="M245" s="48"/>
    </row>
    <row r="246" spans="12:13" x14ac:dyDescent="0.2">
      <c r="L246" s="48"/>
      <c r="M246" s="48"/>
    </row>
    <row r="247" spans="12:13" x14ac:dyDescent="0.2">
      <c r="L247" s="48"/>
      <c r="M247" s="48"/>
    </row>
    <row r="248" spans="12:13" x14ac:dyDescent="0.2">
      <c r="L248" s="48"/>
      <c r="M248" s="48"/>
    </row>
    <row r="249" spans="12:13" x14ac:dyDescent="0.2">
      <c r="L249" s="48"/>
      <c r="M249" s="48"/>
    </row>
    <row r="250" spans="12:13" x14ac:dyDescent="0.2">
      <c r="L250" s="48"/>
      <c r="M250" s="48"/>
    </row>
    <row r="251" spans="12:13" x14ac:dyDescent="0.2">
      <c r="L251" s="48"/>
      <c r="M251" s="48"/>
    </row>
    <row r="252" spans="12:13" x14ac:dyDescent="0.2">
      <c r="L252" s="48"/>
      <c r="M252" s="48"/>
    </row>
    <row r="253" spans="12:13" x14ac:dyDescent="0.2">
      <c r="L253" s="48"/>
      <c r="M253" s="48"/>
    </row>
    <row r="254" spans="12:13" x14ac:dyDescent="0.2">
      <c r="L254" s="48"/>
      <c r="M254" s="48"/>
    </row>
    <row r="255" spans="12:13" x14ac:dyDescent="0.2">
      <c r="L255" s="48"/>
      <c r="M255" s="48"/>
    </row>
    <row r="256" spans="12:13" x14ac:dyDescent="0.2">
      <c r="L256" s="48"/>
      <c r="M256" s="48"/>
    </row>
    <row r="257" spans="12:13" x14ac:dyDescent="0.2">
      <c r="L257" s="48"/>
      <c r="M257" s="48"/>
    </row>
    <row r="258" spans="12:13" x14ac:dyDescent="0.2">
      <c r="L258" s="48"/>
      <c r="M258" s="48"/>
    </row>
    <row r="259" spans="12:13" x14ac:dyDescent="0.2">
      <c r="L259" s="48"/>
      <c r="M259" s="48"/>
    </row>
    <row r="260" spans="12:13" x14ac:dyDescent="0.2">
      <c r="L260" s="48"/>
      <c r="M260" s="48"/>
    </row>
    <row r="261" spans="12:13" x14ac:dyDescent="0.2">
      <c r="L261" s="48"/>
      <c r="M261" s="48"/>
    </row>
    <row r="262" spans="12:13" x14ac:dyDescent="0.2">
      <c r="L262" s="48"/>
      <c r="M262" s="48"/>
    </row>
    <row r="263" spans="12:13" x14ac:dyDescent="0.2">
      <c r="L263" s="48"/>
      <c r="M263" s="48"/>
    </row>
    <row r="264" spans="12:13" x14ac:dyDescent="0.2">
      <c r="L264" s="48"/>
      <c r="M264" s="48"/>
    </row>
    <row r="265" spans="12:13" x14ac:dyDescent="0.2">
      <c r="L265" s="48"/>
      <c r="M265" s="48"/>
    </row>
    <row r="266" spans="12:13" x14ac:dyDescent="0.2">
      <c r="L266" s="48"/>
      <c r="M266" s="48"/>
    </row>
    <row r="267" spans="12:13" x14ac:dyDescent="0.2">
      <c r="L267" s="48"/>
      <c r="M267" s="48"/>
    </row>
    <row r="268" spans="12:13" x14ac:dyDescent="0.2">
      <c r="L268" s="48"/>
      <c r="M268" s="48"/>
    </row>
    <row r="269" spans="12:13" x14ac:dyDescent="0.2">
      <c r="L269" s="48"/>
      <c r="M269" s="48"/>
    </row>
    <row r="270" spans="12:13" x14ac:dyDescent="0.2">
      <c r="L270" s="48"/>
      <c r="M270" s="48"/>
    </row>
    <row r="271" spans="12:13" x14ac:dyDescent="0.2">
      <c r="L271" s="48"/>
      <c r="M271" s="48"/>
    </row>
    <row r="272" spans="12:13" x14ac:dyDescent="0.2">
      <c r="L272" s="48"/>
      <c r="M272" s="48"/>
    </row>
    <row r="273" spans="12:13" x14ac:dyDescent="0.2">
      <c r="L273" s="48"/>
      <c r="M273" s="48"/>
    </row>
    <row r="274" spans="12:13" x14ac:dyDescent="0.2">
      <c r="L274" s="48"/>
      <c r="M274" s="48"/>
    </row>
    <row r="275" spans="12:13" x14ac:dyDescent="0.2">
      <c r="L275" s="48"/>
      <c r="M275" s="48"/>
    </row>
    <row r="276" spans="12:13" x14ac:dyDescent="0.2">
      <c r="L276" s="48"/>
      <c r="M276" s="48"/>
    </row>
    <row r="277" spans="12:13" x14ac:dyDescent="0.2">
      <c r="L277" s="48"/>
      <c r="M277" s="48"/>
    </row>
    <row r="278" spans="12:13" x14ac:dyDescent="0.2">
      <c r="L278" s="48"/>
      <c r="M278" s="48"/>
    </row>
    <row r="279" spans="12:13" x14ac:dyDescent="0.2">
      <c r="L279" s="48"/>
      <c r="M279" s="48"/>
    </row>
    <row r="280" spans="12:13" x14ac:dyDescent="0.2">
      <c r="L280" s="48"/>
      <c r="M280" s="48"/>
    </row>
    <row r="281" spans="12:13" x14ac:dyDescent="0.2">
      <c r="L281" s="48"/>
      <c r="M281" s="48"/>
    </row>
    <row r="282" spans="12:13" x14ac:dyDescent="0.2">
      <c r="L282" s="48"/>
      <c r="M282" s="48"/>
    </row>
    <row r="283" spans="12:13" x14ac:dyDescent="0.2">
      <c r="L283" s="48"/>
      <c r="M283" s="48"/>
    </row>
    <row r="284" spans="12:13" x14ac:dyDescent="0.2">
      <c r="L284" s="48"/>
      <c r="M284" s="48"/>
    </row>
    <row r="285" spans="12:13" x14ac:dyDescent="0.2">
      <c r="L285" s="48"/>
      <c r="M285" s="48"/>
    </row>
    <row r="286" spans="12:13" x14ac:dyDescent="0.2">
      <c r="L286" s="48"/>
      <c r="M286" s="48"/>
    </row>
    <row r="287" spans="12:13" x14ac:dyDescent="0.2">
      <c r="L287" s="48"/>
      <c r="M287" s="48"/>
    </row>
    <row r="288" spans="12:13" x14ac:dyDescent="0.2">
      <c r="L288" s="48"/>
      <c r="M288" s="48"/>
    </row>
    <row r="289" spans="12:13" x14ac:dyDescent="0.2">
      <c r="L289" s="48"/>
      <c r="M289" s="48"/>
    </row>
    <row r="290" spans="12:13" x14ac:dyDescent="0.2">
      <c r="L290" s="48"/>
      <c r="M290" s="48"/>
    </row>
    <row r="291" spans="12:13" x14ac:dyDescent="0.2">
      <c r="L291" s="48"/>
      <c r="M291" s="48"/>
    </row>
    <row r="292" spans="12:13" x14ac:dyDescent="0.2">
      <c r="L292" s="48"/>
      <c r="M292" s="48"/>
    </row>
    <row r="293" spans="12:13" x14ac:dyDescent="0.2">
      <c r="L293" s="48"/>
      <c r="M293" s="48"/>
    </row>
    <row r="294" spans="12:13" x14ac:dyDescent="0.2">
      <c r="L294" s="48"/>
      <c r="M294" s="48"/>
    </row>
    <row r="295" spans="12:13" x14ac:dyDescent="0.2">
      <c r="L295" s="48"/>
      <c r="M295" s="48"/>
    </row>
    <row r="296" spans="12:13" x14ac:dyDescent="0.2">
      <c r="L296" s="48"/>
      <c r="M296" s="48"/>
    </row>
    <row r="297" spans="12:13" x14ac:dyDescent="0.2">
      <c r="L297" s="48"/>
      <c r="M297" s="48"/>
    </row>
    <row r="298" spans="12:13" x14ac:dyDescent="0.2">
      <c r="L298" s="48"/>
      <c r="M298" s="48"/>
    </row>
    <row r="299" spans="12:13" x14ac:dyDescent="0.2">
      <c r="L299" s="48"/>
      <c r="M299" s="48"/>
    </row>
    <row r="300" spans="12:13" x14ac:dyDescent="0.2">
      <c r="L300" s="48"/>
      <c r="M300" s="48"/>
    </row>
    <row r="301" spans="12:13" x14ac:dyDescent="0.2">
      <c r="L301" s="48"/>
      <c r="M301" s="48"/>
    </row>
    <row r="302" spans="12:13" x14ac:dyDescent="0.2">
      <c r="L302" s="48"/>
      <c r="M302" s="48"/>
    </row>
    <row r="303" spans="12:13" x14ac:dyDescent="0.2">
      <c r="L303" s="48"/>
      <c r="M303" s="48"/>
    </row>
    <row r="304" spans="12:13" x14ac:dyDescent="0.2">
      <c r="L304" s="48"/>
      <c r="M304" s="48"/>
    </row>
    <row r="305" spans="12:13" x14ac:dyDescent="0.2">
      <c r="L305" s="48"/>
      <c r="M305" s="48"/>
    </row>
    <row r="306" spans="12:13" x14ac:dyDescent="0.2">
      <c r="L306" s="48"/>
      <c r="M306" s="48"/>
    </row>
    <row r="307" spans="12:13" x14ac:dyDescent="0.2">
      <c r="L307" s="48"/>
      <c r="M307" s="48"/>
    </row>
    <row r="308" spans="12:13" x14ac:dyDescent="0.2">
      <c r="L308" s="48"/>
      <c r="M308" s="48"/>
    </row>
    <row r="309" spans="12:13" x14ac:dyDescent="0.2">
      <c r="L309" s="48"/>
      <c r="M309" s="48"/>
    </row>
    <row r="310" spans="12:13" x14ac:dyDescent="0.2">
      <c r="L310" s="48"/>
      <c r="M310" s="48"/>
    </row>
    <row r="311" spans="12:13" x14ac:dyDescent="0.2">
      <c r="L311" s="48"/>
      <c r="M311" s="48"/>
    </row>
    <row r="312" spans="12:13" x14ac:dyDescent="0.2">
      <c r="L312" s="48"/>
      <c r="M312" s="48"/>
    </row>
    <row r="313" spans="12:13" x14ac:dyDescent="0.2">
      <c r="L313" s="48"/>
      <c r="M313" s="48"/>
    </row>
    <row r="314" spans="12:13" x14ac:dyDescent="0.2">
      <c r="L314" s="48"/>
      <c r="M314" s="48"/>
    </row>
    <row r="315" spans="12:13" x14ac:dyDescent="0.2">
      <c r="L315" s="48"/>
      <c r="M315" s="48"/>
    </row>
    <row r="316" spans="12:13" x14ac:dyDescent="0.2">
      <c r="L316" s="48"/>
      <c r="M316" s="48"/>
    </row>
    <row r="317" spans="12:13" x14ac:dyDescent="0.2">
      <c r="L317" s="48"/>
      <c r="M317" s="48"/>
    </row>
    <row r="318" spans="12:13" x14ac:dyDescent="0.2">
      <c r="L318" s="48"/>
      <c r="M318" s="48"/>
    </row>
    <row r="319" spans="12:13" x14ac:dyDescent="0.2">
      <c r="L319" s="48"/>
      <c r="M319" s="48"/>
    </row>
    <row r="320" spans="12:13" x14ac:dyDescent="0.2">
      <c r="L320" s="48"/>
      <c r="M320" s="48"/>
    </row>
    <row r="321" spans="12:13" x14ac:dyDescent="0.2">
      <c r="L321" s="48"/>
      <c r="M321" s="48"/>
    </row>
    <row r="322" spans="12:13" x14ac:dyDescent="0.2">
      <c r="L322" s="48"/>
      <c r="M322" s="48"/>
    </row>
    <row r="323" spans="12:13" x14ac:dyDescent="0.2">
      <c r="L323" s="48"/>
      <c r="M323" s="48"/>
    </row>
    <row r="324" spans="12:13" x14ac:dyDescent="0.2">
      <c r="L324" s="48"/>
      <c r="M324" s="48"/>
    </row>
    <row r="325" spans="12:13" x14ac:dyDescent="0.2">
      <c r="L325" s="48"/>
      <c r="M325" s="48"/>
    </row>
    <row r="326" spans="12:13" x14ac:dyDescent="0.2">
      <c r="L326" s="48"/>
      <c r="M326" s="48"/>
    </row>
    <row r="327" spans="12:13" x14ac:dyDescent="0.2">
      <c r="L327" s="48"/>
      <c r="M327" s="48"/>
    </row>
    <row r="328" spans="12:13" x14ac:dyDescent="0.2">
      <c r="L328" s="48"/>
      <c r="M328" s="48"/>
    </row>
    <row r="329" spans="12:13" x14ac:dyDescent="0.2">
      <c r="L329" s="48"/>
      <c r="M329" s="48"/>
    </row>
    <row r="330" spans="12:13" x14ac:dyDescent="0.2">
      <c r="L330" s="48"/>
      <c r="M330" s="48"/>
    </row>
    <row r="331" spans="12:13" x14ac:dyDescent="0.2">
      <c r="L331" s="48"/>
      <c r="M331" s="48"/>
    </row>
    <row r="332" spans="12:13" x14ac:dyDescent="0.2">
      <c r="L332" s="48"/>
      <c r="M332" s="48"/>
    </row>
    <row r="333" spans="12:13" x14ac:dyDescent="0.2">
      <c r="L333" s="48"/>
      <c r="M333" s="48"/>
    </row>
    <row r="334" spans="12:13" x14ac:dyDescent="0.2">
      <c r="L334" s="48"/>
      <c r="M334" s="48"/>
    </row>
    <row r="335" spans="12:13" x14ac:dyDescent="0.2">
      <c r="L335" s="48"/>
      <c r="M335" s="48"/>
    </row>
    <row r="336" spans="12:13" x14ac:dyDescent="0.2">
      <c r="L336" s="48"/>
      <c r="M336" s="48"/>
    </row>
    <row r="337" spans="12:13" x14ac:dyDescent="0.2">
      <c r="L337" s="48"/>
      <c r="M337" s="48"/>
    </row>
    <row r="338" spans="12:13" x14ac:dyDescent="0.2">
      <c r="L338" s="48"/>
      <c r="M338" s="48"/>
    </row>
    <row r="339" spans="12:13" x14ac:dyDescent="0.2">
      <c r="L339" s="48"/>
      <c r="M339" s="48"/>
    </row>
    <row r="340" spans="12:13" x14ac:dyDescent="0.2">
      <c r="L340" s="48"/>
      <c r="M340" s="48"/>
    </row>
    <row r="341" spans="12:13" x14ac:dyDescent="0.2">
      <c r="L341" s="48"/>
      <c r="M341" s="48"/>
    </row>
    <row r="342" spans="12:13" x14ac:dyDescent="0.2">
      <c r="L342" s="48"/>
      <c r="M342" s="48"/>
    </row>
    <row r="343" spans="12:13" x14ac:dyDescent="0.2">
      <c r="L343" s="48"/>
      <c r="M343" s="48"/>
    </row>
    <row r="344" spans="12:13" x14ac:dyDescent="0.2">
      <c r="L344" s="48"/>
      <c r="M344" s="48"/>
    </row>
    <row r="345" spans="12:13" x14ac:dyDescent="0.2">
      <c r="L345" s="48"/>
      <c r="M345" s="48"/>
    </row>
    <row r="346" spans="12:13" x14ac:dyDescent="0.2">
      <c r="L346" s="48"/>
      <c r="M346" s="48"/>
    </row>
    <row r="347" spans="12:13" x14ac:dyDescent="0.2">
      <c r="L347" s="48"/>
      <c r="M347" s="48"/>
    </row>
    <row r="348" spans="12:13" x14ac:dyDescent="0.2">
      <c r="L348" s="48"/>
      <c r="M348" s="48"/>
    </row>
    <row r="349" spans="12:13" x14ac:dyDescent="0.2">
      <c r="L349" s="48"/>
      <c r="M349" s="48"/>
    </row>
    <row r="350" spans="12:13" x14ac:dyDescent="0.2">
      <c r="L350" s="48"/>
      <c r="M350" s="48"/>
    </row>
    <row r="351" spans="12:13" x14ac:dyDescent="0.2">
      <c r="L351" s="48"/>
      <c r="M351" s="48"/>
    </row>
    <row r="352" spans="12:13" x14ac:dyDescent="0.2">
      <c r="L352" s="48"/>
      <c r="M352" s="48"/>
    </row>
    <row r="353" spans="12:13" x14ac:dyDescent="0.2">
      <c r="L353" s="48"/>
      <c r="M353" s="48"/>
    </row>
    <row r="354" spans="12:13" x14ac:dyDescent="0.2">
      <c r="L354" s="48"/>
      <c r="M354" s="48"/>
    </row>
    <row r="355" spans="12:13" x14ac:dyDescent="0.2">
      <c r="L355" s="48"/>
      <c r="M355" s="48"/>
    </row>
    <row r="356" spans="12:13" x14ac:dyDescent="0.2">
      <c r="L356" s="48"/>
      <c r="M356" s="48"/>
    </row>
    <row r="357" spans="12:13" x14ac:dyDescent="0.2">
      <c r="L357" s="48"/>
      <c r="M357" s="48"/>
    </row>
    <row r="358" spans="12:13" x14ac:dyDescent="0.2">
      <c r="L358" s="48"/>
      <c r="M358" s="48"/>
    </row>
    <row r="359" spans="12:13" x14ac:dyDescent="0.2">
      <c r="L359" s="48"/>
      <c r="M359" s="48"/>
    </row>
    <row r="360" spans="12:13" x14ac:dyDescent="0.2">
      <c r="L360" s="48"/>
      <c r="M360" s="48"/>
    </row>
    <row r="361" spans="12:13" x14ac:dyDescent="0.2">
      <c r="L361" s="48"/>
      <c r="M361" s="48"/>
    </row>
    <row r="362" spans="12:13" x14ac:dyDescent="0.2">
      <c r="L362" s="48"/>
      <c r="M362" s="48"/>
    </row>
    <row r="363" spans="12:13" x14ac:dyDescent="0.2">
      <c r="L363" s="48"/>
      <c r="M363" s="48"/>
    </row>
    <row r="364" spans="12:13" x14ac:dyDescent="0.2">
      <c r="L364" s="48"/>
      <c r="M364" s="48"/>
    </row>
    <row r="365" spans="12:13" x14ac:dyDescent="0.2">
      <c r="L365" s="48"/>
      <c r="M365" s="48"/>
    </row>
    <row r="366" spans="12:13" x14ac:dyDescent="0.2">
      <c r="L366" s="48"/>
      <c r="M366" s="48"/>
    </row>
    <row r="367" spans="12:13" x14ac:dyDescent="0.2">
      <c r="L367" s="48"/>
      <c r="M367" s="48"/>
    </row>
    <row r="368" spans="12:13" x14ac:dyDescent="0.2">
      <c r="L368" s="48"/>
      <c r="M368" s="48"/>
    </row>
    <row r="369" spans="12:13" x14ac:dyDescent="0.2">
      <c r="L369" s="48"/>
      <c r="M369" s="48"/>
    </row>
    <row r="370" spans="12:13" x14ac:dyDescent="0.2">
      <c r="L370" s="48"/>
      <c r="M370" s="48"/>
    </row>
    <row r="371" spans="12:13" x14ac:dyDescent="0.2">
      <c r="L371" s="48"/>
      <c r="M371" s="48"/>
    </row>
    <row r="372" spans="12:13" x14ac:dyDescent="0.2">
      <c r="L372" s="48"/>
      <c r="M372" s="48"/>
    </row>
    <row r="373" spans="12:13" x14ac:dyDescent="0.2">
      <c r="L373" s="48"/>
      <c r="M373" s="48"/>
    </row>
    <row r="374" spans="12:13" x14ac:dyDescent="0.2">
      <c r="L374" s="48"/>
      <c r="M374" s="48"/>
    </row>
    <row r="375" spans="12:13" x14ac:dyDescent="0.2">
      <c r="L375" s="48"/>
      <c r="M375" s="48"/>
    </row>
    <row r="376" spans="12:13" x14ac:dyDescent="0.2">
      <c r="L376" s="48"/>
      <c r="M376" s="48"/>
    </row>
    <row r="377" spans="12:13" x14ac:dyDescent="0.2">
      <c r="L377" s="48"/>
      <c r="M377" s="48"/>
    </row>
    <row r="378" spans="12:13" x14ac:dyDescent="0.2">
      <c r="L378" s="48"/>
      <c r="M378" s="48"/>
    </row>
    <row r="379" spans="12:13" x14ac:dyDescent="0.2">
      <c r="L379" s="48"/>
      <c r="M379" s="48"/>
    </row>
    <row r="380" spans="12:13" x14ac:dyDescent="0.2">
      <c r="L380" s="48"/>
      <c r="M380" s="48"/>
    </row>
    <row r="381" spans="12:13" x14ac:dyDescent="0.2">
      <c r="L381" s="48"/>
      <c r="M381" s="48"/>
    </row>
    <row r="382" spans="12:13" x14ac:dyDescent="0.2">
      <c r="L382" s="48"/>
      <c r="M382" s="48"/>
    </row>
    <row r="383" spans="12:13" x14ac:dyDescent="0.2">
      <c r="L383" s="48"/>
      <c r="M383" s="48"/>
    </row>
    <row r="384" spans="12:13" x14ac:dyDescent="0.2">
      <c r="L384" s="48"/>
      <c r="M384" s="48"/>
    </row>
    <row r="385" spans="12:13" x14ac:dyDescent="0.2">
      <c r="L385" s="48"/>
      <c r="M385" s="48"/>
    </row>
    <row r="386" spans="12:13" x14ac:dyDescent="0.2">
      <c r="L386" s="48"/>
      <c r="M386" s="48"/>
    </row>
    <row r="387" spans="12:13" x14ac:dyDescent="0.2">
      <c r="L387" s="48"/>
      <c r="M387" s="48"/>
    </row>
    <row r="388" spans="12:13" x14ac:dyDescent="0.2">
      <c r="L388" s="48"/>
      <c r="M388" s="48"/>
    </row>
    <row r="389" spans="12:13" x14ac:dyDescent="0.2">
      <c r="L389" s="48"/>
      <c r="M389" s="48"/>
    </row>
    <row r="390" spans="12:13" x14ac:dyDescent="0.2">
      <c r="L390" s="48"/>
      <c r="M390" s="48"/>
    </row>
    <row r="391" spans="12:13" x14ac:dyDescent="0.2">
      <c r="L391" s="48"/>
      <c r="M391" s="48"/>
    </row>
    <row r="392" spans="12:13" x14ac:dyDescent="0.2">
      <c r="L392" s="48"/>
      <c r="M392" s="48"/>
    </row>
    <row r="393" spans="12:13" x14ac:dyDescent="0.2">
      <c r="L393" s="48"/>
      <c r="M393" s="48"/>
    </row>
    <row r="394" spans="12:13" x14ac:dyDescent="0.2">
      <c r="L394" s="48"/>
      <c r="M394" s="48"/>
    </row>
    <row r="395" spans="12:13" x14ac:dyDescent="0.2">
      <c r="L395" s="48"/>
      <c r="M395" s="48"/>
    </row>
    <row r="396" spans="12:13" x14ac:dyDescent="0.2">
      <c r="L396" s="48"/>
      <c r="M396" s="48"/>
    </row>
    <row r="397" spans="12:13" x14ac:dyDescent="0.2">
      <c r="L397" s="48"/>
      <c r="M397" s="48"/>
    </row>
    <row r="398" spans="12:13" x14ac:dyDescent="0.2">
      <c r="L398" s="48"/>
      <c r="M398" s="48"/>
    </row>
    <row r="399" spans="12:13" x14ac:dyDescent="0.2">
      <c r="L399" s="48"/>
      <c r="M399" s="48"/>
    </row>
    <row r="400" spans="12:13" x14ac:dyDescent="0.2">
      <c r="L400" s="48"/>
      <c r="M400" s="48"/>
    </row>
    <row r="401" spans="12:13" x14ac:dyDescent="0.2">
      <c r="L401" s="48"/>
      <c r="M401" s="48"/>
    </row>
    <row r="402" spans="12:13" x14ac:dyDescent="0.2">
      <c r="L402" s="48"/>
      <c r="M402" s="48"/>
    </row>
    <row r="403" spans="12:13" x14ac:dyDescent="0.2">
      <c r="L403" s="48"/>
      <c r="M403" s="48"/>
    </row>
    <row r="404" spans="12:13" x14ac:dyDescent="0.2">
      <c r="L404" s="48"/>
      <c r="M404" s="48"/>
    </row>
    <row r="405" spans="12:13" x14ac:dyDescent="0.2">
      <c r="L405" s="48"/>
      <c r="M405" s="48"/>
    </row>
    <row r="406" spans="12:13" x14ac:dyDescent="0.2">
      <c r="L406" s="48"/>
      <c r="M406" s="48"/>
    </row>
    <row r="407" spans="12:13" x14ac:dyDescent="0.2">
      <c r="L407" s="48"/>
      <c r="M407" s="48"/>
    </row>
    <row r="408" spans="12:13" x14ac:dyDescent="0.2">
      <c r="L408" s="48"/>
      <c r="M408" s="48"/>
    </row>
    <row r="409" spans="12:13" x14ac:dyDescent="0.2">
      <c r="L409" s="48"/>
      <c r="M409" s="48"/>
    </row>
    <row r="410" spans="12:13" x14ac:dyDescent="0.2">
      <c r="L410" s="48"/>
      <c r="M410" s="48"/>
    </row>
    <row r="411" spans="12:13" x14ac:dyDescent="0.2">
      <c r="L411" s="48"/>
      <c r="M411" s="48"/>
    </row>
    <row r="412" spans="12:13" x14ac:dyDescent="0.2">
      <c r="L412" s="48"/>
      <c r="M412" s="48"/>
    </row>
    <row r="413" spans="12:13" x14ac:dyDescent="0.2">
      <c r="L413" s="48"/>
      <c r="M413" s="48"/>
    </row>
    <row r="414" spans="12:13" x14ac:dyDescent="0.2">
      <c r="L414" s="48"/>
      <c r="M414" s="48"/>
    </row>
    <row r="415" spans="12:13" x14ac:dyDescent="0.2">
      <c r="L415" s="48"/>
      <c r="M415" s="48"/>
    </row>
    <row r="416" spans="12:13" x14ac:dyDescent="0.2">
      <c r="L416" s="48"/>
      <c r="M416" s="48"/>
    </row>
    <row r="417" spans="12:13" x14ac:dyDescent="0.2">
      <c r="L417" s="48"/>
      <c r="M417" s="48"/>
    </row>
    <row r="418" spans="12:13" x14ac:dyDescent="0.2">
      <c r="L418" s="48"/>
      <c r="M418" s="48"/>
    </row>
    <row r="419" spans="12:13" x14ac:dyDescent="0.2">
      <c r="L419" s="48"/>
      <c r="M419" s="48"/>
    </row>
    <row r="420" spans="12:13" x14ac:dyDescent="0.2">
      <c r="L420" s="48"/>
      <c r="M420" s="48"/>
    </row>
    <row r="421" spans="12:13" x14ac:dyDescent="0.2">
      <c r="L421" s="48"/>
      <c r="M421" s="48"/>
    </row>
    <row r="422" spans="12:13" x14ac:dyDescent="0.2">
      <c r="L422" s="48"/>
      <c r="M422" s="48"/>
    </row>
    <row r="423" spans="12:13" x14ac:dyDescent="0.2">
      <c r="L423" s="48"/>
      <c r="M423" s="48"/>
    </row>
    <row r="424" spans="12:13" x14ac:dyDescent="0.2">
      <c r="L424" s="48"/>
      <c r="M424" s="48"/>
    </row>
    <row r="425" spans="12:13" x14ac:dyDescent="0.2">
      <c r="L425" s="48"/>
      <c r="M425" s="48"/>
    </row>
    <row r="426" spans="12:13" x14ac:dyDescent="0.2">
      <c r="L426" s="48"/>
      <c r="M426" s="48"/>
    </row>
    <row r="427" spans="12:13" x14ac:dyDescent="0.2">
      <c r="L427" s="48"/>
      <c r="M427" s="48"/>
    </row>
    <row r="428" spans="12:13" x14ac:dyDescent="0.2">
      <c r="L428" s="48"/>
      <c r="M428" s="48"/>
    </row>
    <row r="429" spans="12:13" x14ac:dyDescent="0.2">
      <c r="L429" s="48"/>
      <c r="M429" s="48"/>
    </row>
    <row r="430" spans="12:13" x14ac:dyDescent="0.2">
      <c r="L430" s="48"/>
      <c r="M430" s="48"/>
    </row>
    <row r="431" spans="12:13" x14ac:dyDescent="0.2">
      <c r="L431" s="48"/>
      <c r="M431" s="48"/>
    </row>
    <row r="432" spans="12:13" x14ac:dyDescent="0.2">
      <c r="L432" s="48"/>
      <c r="M432" s="48"/>
    </row>
    <row r="433" spans="12:13" x14ac:dyDescent="0.2">
      <c r="L433" s="48"/>
      <c r="M433" s="48"/>
    </row>
    <row r="434" spans="12:13" x14ac:dyDescent="0.2">
      <c r="L434" s="48"/>
      <c r="M434" s="48"/>
    </row>
    <row r="435" spans="12:13" x14ac:dyDescent="0.2">
      <c r="L435" s="48"/>
      <c r="M435" s="48"/>
    </row>
    <row r="436" spans="12:13" x14ac:dyDescent="0.2">
      <c r="L436" s="48"/>
      <c r="M436" s="48"/>
    </row>
    <row r="437" spans="12:13" x14ac:dyDescent="0.2">
      <c r="L437" s="48"/>
      <c r="M437" s="48"/>
    </row>
    <row r="438" spans="12:13" x14ac:dyDescent="0.2">
      <c r="L438" s="48"/>
      <c r="M438" s="48"/>
    </row>
    <row r="439" spans="12:13" x14ac:dyDescent="0.2">
      <c r="L439" s="48"/>
      <c r="M439" s="48"/>
    </row>
    <row r="440" spans="12:13" x14ac:dyDescent="0.2">
      <c r="L440" s="48"/>
      <c r="M440" s="48"/>
    </row>
    <row r="441" spans="12:13" x14ac:dyDescent="0.2">
      <c r="L441" s="48"/>
      <c r="M441" s="48"/>
    </row>
    <row r="442" spans="12:13" x14ac:dyDescent="0.2">
      <c r="L442" s="48"/>
      <c r="M442" s="48"/>
    </row>
    <row r="443" spans="12:13" x14ac:dyDescent="0.2">
      <c r="L443" s="48"/>
      <c r="M443" s="48"/>
    </row>
    <row r="444" spans="12:13" x14ac:dyDescent="0.2">
      <c r="L444" s="48"/>
      <c r="M444" s="48"/>
    </row>
    <row r="445" spans="12:13" x14ac:dyDescent="0.2">
      <c r="L445" s="48"/>
      <c r="M445" s="48"/>
    </row>
    <row r="446" spans="12:13" x14ac:dyDescent="0.2">
      <c r="L446" s="48"/>
      <c r="M446" s="48"/>
    </row>
    <row r="447" spans="12:13" x14ac:dyDescent="0.2">
      <c r="L447" s="48"/>
      <c r="M447" s="48"/>
    </row>
    <row r="448" spans="12:13" x14ac:dyDescent="0.2">
      <c r="L448" s="48"/>
      <c r="M448" s="48"/>
    </row>
    <row r="449" spans="12:13" x14ac:dyDescent="0.2">
      <c r="L449" s="48"/>
      <c r="M449" s="48"/>
    </row>
    <row r="450" spans="12:13" x14ac:dyDescent="0.2">
      <c r="L450" s="48"/>
      <c r="M450" s="48"/>
    </row>
    <row r="451" spans="12:13" x14ac:dyDescent="0.2">
      <c r="L451" s="48"/>
      <c r="M451" s="48"/>
    </row>
    <row r="452" spans="12:13" x14ac:dyDescent="0.2">
      <c r="L452" s="48"/>
      <c r="M452" s="48"/>
    </row>
    <row r="453" spans="12:13" x14ac:dyDescent="0.2">
      <c r="L453" s="48"/>
      <c r="M453" s="48"/>
    </row>
    <row r="454" spans="12:13" x14ac:dyDescent="0.2">
      <c r="L454" s="48"/>
      <c r="M454" s="48"/>
    </row>
    <row r="455" spans="12:13" x14ac:dyDescent="0.2">
      <c r="L455" s="48"/>
      <c r="M455" s="48"/>
    </row>
    <row r="456" spans="12:13" x14ac:dyDescent="0.2">
      <c r="L456" s="48"/>
      <c r="M456" s="48"/>
    </row>
    <row r="457" spans="12:13" x14ac:dyDescent="0.2">
      <c r="L457" s="48"/>
      <c r="M457" s="48"/>
    </row>
    <row r="458" spans="12:13" x14ac:dyDescent="0.2">
      <c r="L458" s="48"/>
      <c r="M458" s="48"/>
    </row>
    <row r="459" spans="12:13" x14ac:dyDescent="0.2">
      <c r="L459" s="48"/>
      <c r="M459" s="48"/>
    </row>
    <row r="460" spans="12:13" x14ac:dyDescent="0.2">
      <c r="L460" s="48"/>
      <c r="M460" s="48"/>
    </row>
    <row r="461" spans="12:13" x14ac:dyDescent="0.2">
      <c r="L461" s="48"/>
      <c r="M461" s="48"/>
    </row>
    <row r="462" spans="12:13" x14ac:dyDescent="0.2">
      <c r="L462" s="48"/>
      <c r="M462" s="48"/>
    </row>
    <row r="463" spans="12:13" x14ac:dyDescent="0.2">
      <c r="L463" s="48"/>
      <c r="M463" s="48"/>
    </row>
    <row r="464" spans="12:13" x14ac:dyDescent="0.2">
      <c r="L464" s="48"/>
      <c r="M464" s="48"/>
    </row>
    <row r="465" spans="12:13" x14ac:dyDescent="0.2">
      <c r="L465" s="48"/>
      <c r="M465" s="48"/>
    </row>
    <row r="466" spans="12:13" x14ac:dyDescent="0.2">
      <c r="L466" s="48"/>
      <c r="M466" s="48"/>
    </row>
    <row r="467" spans="12:13" x14ac:dyDescent="0.2">
      <c r="L467" s="48"/>
      <c r="M467" s="48"/>
    </row>
    <row r="468" spans="12:13" x14ac:dyDescent="0.2">
      <c r="L468" s="48"/>
      <c r="M468" s="48"/>
    </row>
    <row r="469" spans="12:13" x14ac:dyDescent="0.2">
      <c r="L469" s="48"/>
      <c r="M469" s="48"/>
    </row>
    <row r="470" spans="12:13" x14ac:dyDescent="0.2">
      <c r="L470" s="48"/>
      <c r="M470" s="48"/>
    </row>
    <row r="471" spans="12:13" x14ac:dyDescent="0.2">
      <c r="L471" s="48"/>
      <c r="M471" s="48"/>
    </row>
    <row r="472" spans="12:13" x14ac:dyDescent="0.2">
      <c r="L472" s="48"/>
      <c r="M472" s="48"/>
    </row>
    <row r="473" spans="12:13" x14ac:dyDescent="0.2">
      <c r="L473" s="48"/>
      <c r="M473" s="48"/>
    </row>
    <row r="474" spans="12:13" x14ac:dyDescent="0.2">
      <c r="L474" s="48"/>
      <c r="M474" s="48"/>
    </row>
    <row r="475" spans="12:13" x14ac:dyDescent="0.2">
      <c r="L475" s="48"/>
      <c r="M475" s="48"/>
    </row>
    <row r="476" spans="12:13" x14ac:dyDescent="0.2">
      <c r="L476" s="48"/>
      <c r="M476" s="48"/>
    </row>
    <row r="477" spans="12:13" x14ac:dyDescent="0.2">
      <c r="L477" s="48"/>
      <c r="M477" s="48"/>
    </row>
    <row r="478" spans="12:13" x14ac:dyDescent="0.2">
      <c r="L478" s="48"/>
      <c r="M478" s="48"/>
    </row>
    <row r="479" spans="12:13" x14ac:dyDescent="0.2">
      <c r="L479" s="48"/>
      <c r="M479" s="48"/>
    </row>
    <row r="480" spans="12:13" x14ac:dyDescent="0.2">
      <c r="L480" s="48"/>
      <c r="M480" s="48"/>
    </row>
    <row r="481" spans="12:13" x14ac:dyDescent="0.2">
      <c r="L481" s="48"/>
      <c r="M481" s="48"/>
    </row>
    <row r="482" spans="12:13" x14ac:dyDescent="0.2">
      <c r="L482" s="48"/>
      <c r="M482" s="48"/>
    </row>
    <row r="483" spans="12:13" x14ac:dyDescent="0.2">
      <c r="L483" s="48"/>
      <c r="M483" s="48"/>
    </row>
    <row r="484" spans="12:13" x14ac:dyDescent="0.2">
      <c r="L484" s="48"/>
      <c r="M484" s="48"/>
    </row>
    <row r="485" spans="12:13" x14ac:dyDescent="0.2">
      <c r="L485" s="48"/>
      <c r="M485" s="48"/>
    </row>
    <row r="486" spans="12:13" x14ac:dyDescent="0.2">
      <c r="L486" s="48"/>
      <c r="M486" s="48"/>
    </row>
    <row r="487" spans="12:13" x14ac:dyDescent="0.2">
      <c r="L487" s="48"/>
      <c r="M487" s="48"/>
    </row>
    <row r="488" spans="12:13" x14ac:dyDescent="0.2">
      <c r="L488" s="48"/>
      <c r="M488" s="48"/>
    </row>
    <row r="489" spans="12:13" x14ac:dyDescent="0.2">
      <c r="L489" s="48"/>
      <c r="M489" s="48"/>
    </row>
    <row r="490" spans="12:13" x14ac:dyDescent="0.2">
      <c r="L490" s="48"/>
      <c r="M490" s="48"/>
    </row>
    <row r="491" spans="12:13" x14ac:dyDescent="0.2">
      <c r="L491" s="48"/>
      <c r="M491" s="48"/>
    </row>
    <row r="492" spans="12:13" x14ac:dyDescent="0.2">
      <c r="L492" s="48"/>
      <c r="M492" s="48"/>
    </row>
    <row r="493" spans="12:13" x14ac:dyDescent="0.2">
      <c r="L493" s="48"/>
      <c r="M493" s="48"/>
    </row>
    <row r="494" spans="12:13" x14ac:dyDescent="0.2">
      <c r="L494" s="48"/>
      <c r="M494" s="48"/>
    </row>
    <row r="495" spans="12:13" x14ac:dyDescent="0.2">
      <c r="L495" s="48"/>
      <c r="M495" s="48"/>
    </row>
    <row r="496" spans="12:13" x14ac:dyDescent="0.2">
      <c r="L496" s="48"/>
      <c r="M496" s="48"/>
    </row>
    <row r="497" spans="12:13" x14ac:dyDescent="0.2">
      <c r="L497" s="48"/>
      <c r="M497" s="48"/>
    </row>
    <row r="498" spans="12:13" x14ac:dyDescent="0.2">
      <c r="L498" s="48"/>
      <c r="M498" s="48"/>
    </row>
    <row r="499" spans="12:13" x14ac:dyDescent="0.2">
      <c r="L499" s="48"/>
      <c r="M499" s="48"/>
    </row>
    <row r="500" spans="12:13" x14ac:dyDescent="0.2">
      <c r="L500" s="48"/>
      <c r="M500" s="48"/>
    </row>
    <row r="501" spans="12:13" x14ac:dyDescent="0.2">
      <c r="L501" s="48"/>
      <c r="M501" s="48"/>
    </row>
    <row r="502" spans="12:13" x14ac:dyDescent="0.2">
      <c r="L502" s="48"/>
      <c r="M502" s="48"/>
    </row>
    <row r="503" spans="12:13" x14ac:dyDescent="0.2">
      <c r="L503" s="48"/>
      <c r="M503" s="48"/>
    </row>
    <row r="504" spans="12:13" x14ac:dyDescent="0.2">
      <c r="L504" s="48"/>
      <c r="M504" s="48"/>
    </row>
    <row r="505" spans="12:13" x14ac:dyDescent="0.2">
      <c r="L505" s="48"/>
      <c r="M505" s="48"/>
    </row>
    <row r="506" spans="12:13" x14ac:dyDescent="0.2">
      <c r="L506" s="48"/>
      <c r="M506" s="48"/>
    </row>
    <row r="507" spans="12:13" x14ac:dyDescent="0.2">
      <c r="L507" s="48"/>
      <c r="M507" s="48"/>
    </row>
    <row r="508" spans="12:13" x14ac:dyDescent="0.2">
      <c r="L508" s="48"/>
      <c r="M508" s="48"/>
    </row>
    <row r="509" spans="12:13" x14ac:dyDescent="0.2">
      <c r="L509" s="48"/>
      <c r="M509" s="48"/>
    </row>
    <row r="510" spans="12:13" x14ac:dyDescent="0.2">
      <c r="L510" s="48"/>
      <c r="M510" s="48"/>
    </row>
    <row r="511" spans="12:13" x14ac:dyDescent="0.2">
      <c r="L511" s="48"/>
      <c r="M511" s="48"/>
    </row>
    <row r="512" spans="12:13" x14ac:dyDescent="0.2">
      <c r="L512" s="48"/>
      <c r="M512" s="48"/>
    </row>
    <row r="513" spans="12:13" x14ac:dyDescent="0.2">
      <c r="L513" s="48"/>
      <c r="M513" s="48"/>
    </row>
    <row r="514" spans="12:13" x14ac:dyDescent="0.2">
      <c r="L514" s="48"/>
      <c r="M514" s="48"/>
    </row>
    <row r="515" spans="12:13" x14ac:dyDescent="0.2">
      <c r="L515" s="48"/>
      <c r="M515" s="48"/>
    </row>
    <row r="516" spans="12:13" x14ac:dyDescent="0.2">
      <c r="L516" s="48"/>
      <c r="M516" s="48"/>
    </row>
    <row r="517" spans="12:13" x14ac:dyDescent="0.2">
      <c r="L517" s="48"/>
      <c r="M517" s="48"/>
    </row>
    <row r="518" spans="12:13" x14ac:dyDescent="0.2">
      <c r="L518" s="48"/>
      <c r="M518" s="48"/>
    </row>
    <row r="519" spans="12:13" x14ac:dyDescent="0.2">
      <c r="L519" s="48"/>
      <c r="M519" s="48"/>
    </row>
    <row r="520" spans="12:13" x14ac:dyDescent="0.2">
      <c r="L520" s="48"/>
      <c r="M520" s="48"/>
    </row>
    <row r="521" spans="12:13" x14ac:dyDescent="0.2">
      <c r="L521" s="48"/>
      <c r="M521" s="48"/>
    </row>
    <row r="522" spans="12:13" x14ac:dyDescent="0.2">
      <c r="L522" s="48"/>
      <c r="M522" s="48"/>
    </row>
    <row r="523" spans="12:13" x14ac:dyDescent="0.2">
      <c r="L523" s="48"/>
      <c r="M523" s="48"/>
    </row>
    <row r="524" spans="12:13" x14ac:dyDescent="0.2">
      <c r="L524" s="48"/>
      <c r="M524" s="48"/>
    </row>
    <row r="525" spans="12:13" x14ac:dyDescent="0.2">
      <c r="L525" s="48"/>
      <c r="M525" s="48"/>
    </row>
    <row r="526" spans="12:13" x14ac:dyDescent="0.2">
      <c r="L526" s="48"/>
      <c r="M526" s="48"/>
    </row>
    <row r="527" spans="12:13" x14ac:dyDescent="0.2">
      <c r="L527" s="48"/>
      <c r="M527" s="48"/>
    </row>
    <row r="528" spans="12:13" x14ac:dyDescent="0.2">
      <c r="L528" s="48"/>
      <c r="M528" s="48"/>
    </row>
    <row r="529" spans="12:13" x14ac:dyDescent="0.2">
      <c r="L529" s="48"/>
      <c r="M529" s="48"/>
    </row>
    <row r="530" spans="12:13" x14ac:dyDescent="0.2">
      <c r="L530" s="48"/>
      <c r="M530" s="48"/>
    </row>
    <row r="531" spans="12:13" x14ac:dyDescent="0.2">
      <c r="L531" s="48"/>
      <c r="M531" s="48"/>
    </row>
    <row r="532" spans="12:13" x14ac:dyDescent="0.2">
      <c r="L532" s="48"/>
      <c r="M532" s="48"/>
    </row>
    <row r="533" spans="12:13" x14ac:dyDescent="0.2">
      <c r="L533" s="48"/>
      <c r="M533" s="48"/>
    </row>
    <row r="534" spans="12:13" x14ac:dyDescent="0.2">
      <c r="L534" s="48"/>
      <c r="M534" s="48"/>
    </row>
    <row r="535" spans="12:13" x14ac:dyDescent="0.2">
      <c r="L535" s="48"/>
      <c r="M535" s="48"/>
    </row>
    <row r="536" spans="12:13" x14ac:dyDescent="0.2">
      <c r="L536" s="48"/>
      <c r="M536" s="48"/>
    </row>
    <row r="537" spans="12:13" x14ac:dyDescent="0.2">
      <c r="L537" s="48"/>
      <c r="M537" s="48"/>
    </row>
    <row r="538" spans="12:13" x14ac:dyDescent="0.2">
      <c r="L538" s="48"/>
      <c r="M538" s="48"/>
    </row>
    <row r="539" spans="12:13" x14ac:dyDescent="0.2">
      <c r="L539" s="48"/>
      <c r="M539" s="48"/>
    </row>
    <row r="540" spans="12:13" x14ac:dyDescent="0.2">
      <c r="L540" s="48"/>
      <c r="M540" s="48"/>
    </row>
    <row r="541" spans="12:13" x14ac:dyDescent="0.2">
      <c r="L541" s="48"/>
      <c r="M541" s="48"/>
    </row>
    <row r="542" spans="12:13" x14ac:dyDescent="0.2">
      <c r="L542" s="48"/>
      <c r="M542" s="48"/>
    </row>
    <row r="543" spans="12:13" x14ac:dyDescent="0.2">
      <c r="L543" s="48"/>
      <c r="M543" s="48"/>
    </row>
    <row r="544" spans="12:13" x14ac:dyDescent="0.2">
      <c r="L544" s="48"/>
      <c r="M544" s="48"/>
    </row>
    <row r="545" spans="12:13" x14ac:dyDescent="0.2">
      <c r="L545" s="48"/>
      <c r="M545" s="48"/>
    </row>
    <row r="546" spans="12:13" x14ac:dyDescent="0.2">
      <c r="L546" s="48"/>
      <c r="M546" s="48"/>
    </row>
    <row r="547" spans="12:13" x14ac:dyDescent="0.2">
      <c r="L547" s="48"/>
      <c r="M547" s="48"/>
    </row>
    <row r="548" spans="12:13" x14ac:dyDescent="0.2">
      <c r="L548" s="48"/>
      <c r="M548" s="48"/>
    </row>
    <row r="549" spans="12:13" x14ac:dyDescent="0.2">
      <c r="L549" s="48"/>
      <c r="M549" s="48"/>
    </row>
    <row r="550" spans="12:13" x14ac:dyDescent="0.2">
      <c r="L550" s="48"/>
      <c r="M550" s="48"/>
    </row>
    <row r="551" spans="12:13" x14ac:dyDescent="0.2">
      <c r="L551" s="48"/>
      <c r="M551" s="48"/>
    </row>
    <row r="552" spans="12:13" x14ac:dyDescent="0.2">
      <c r="L552" s="48"/>
      <c r="M552" s="48"/>
    </row>
    <row r="553" spans="12:13" x14ac:dyDescent="0.2">
      <c r="L553" s="48"/>
      <c r="M553" s="48"/>
    </row>
    <row r="554" spans="12:13" x14ac:dyDescent="0.2">
      <c r="L554" s="48"/>
      <c r="M554" s="48"/>
    </row>
    <row r="555" spans="12:13" x14ac:dyDescent="0.2">
      <c r="L555" s="48"/>
      <c r="M555" s="48"/>
    </row>
    <row r="556" spans="12:13" x14ac:dyDescent="0.2">
      <c r="L556" s="48"/>
      <c r="M556" s="48"/>
    </row>
    <row r="557" spans="12:13" x14ac:dyDescent="0.2">
      <c r="L557" s="48"/>
      <c r="M557" s="48"/>
    </row>
    <row r="558" spans="12:13" x14ac:dyDescent="0.2">
      <c r="L558" s="48"/>
      <c r="M558" s="48"/>
    </row>
    <row r="559" spans="12:13" x14ac:dyDescent="0.2">
      <c r="L559" s="48"/>
      <c r="M559" s="48"/>
    </row>
    <row r="560" spans="12:13" x14ac:dyDescent="0.2">
      <c r="L560" s="48"/>
      <c r="M560" s="48"/>
    </row>
    <row r="561" spans="12:13" x14ac:dyDescent="0.2">
      <c r="L561" s="48"/>
      <c r="M561" s="48"/>
    </row>
    <row r="562" spans="12:13" x14ac:dyDescent="0.2">
      <c r="L562" s="48"/>
      <c r="M562" s="48"/>
    </row>
    <row r="563" spans="12:13" x14ac:dyDescent="0.2">
      <c r="L563" s="48"/>
      <c r="M563" s="48"/>
    </row>
    <row r="564" spans="12:13" x14ac:dyDescent="0.2">
      <c r="L564" s="48"/>
      <c r="M564" s="48"/>
    </row>
    <row r="565" spans="12:13" x14ac:dyDescent="0.2">
      <c r="L565" s="48"/>
      <c r="M565" s="48"/>
    </row>
    <row r="566" spans="12:13" x14ac:dyDescent="0.2">
      <c r="L566" s="48"/>
      <c r="M566" s="48"/>
    </row>
    <row r="567" spans="12:13" x14ac:dyDescent="0.2">
      <c r="L567" s="48"/>
      <c r="M567" s="48"/>
    </row>
    <row r="568" spans="12:13" x14ac:dyDescent="0.2">
      <c r="L568" s="48"/>
      <c r="M568" s="48"/>
    </row>
    <row r="569" spans="12:13" x14ac:dyDescent="0.2">
      <c r="L569" s="48"/>
      <c r="M569" s="48"/>
    </row>
    <row r="570" spans="12:13" x14ac:dyDescent="0.2">
      <c r="L570" s="48"/>
      <c r="M570" s="48"/>
    </row>
    <row r="571" spans="12:13" x14ac:dyDescent="0.2">
      <c r="L571" s="48"/>
      <c r="M571" s="48"/>
    </row>
    <row r="572" spans="12:13" x14ac:dyDescent="0.2">
      <c r="L572" s="48"/>
      <c r="M572" s="48"/>
    </row>
    <row r="573" spans="12:13" x14ac:dyDescent="0.2">
      <c r="L573" s="48"/>
      <c r="M573" s="48"/>
    </row>
    <row r="574" spans="12:13" x14ac:dyDescent="0.2">
      <c r="L574" s="48"/>
      <c r="M574" s="48"/>
    </row>
    <row r="575" spans="12:13" x14ac:dyDescent="0.2">
      <c r="L575" s="48"/>
      <c r="M575" s="48"/>
    </row>
    <row r="576" spans="12:13" x14ac:dyDescent="0.2">
      <c r="L576" s="48"/>
      <c r="M576" s="48"/>
    </row>
    <row r="577" spans="12:13" x14ac:dyDescent="0.2">
      <c r="L577" s="48"/>
      <c r="M577" s="48"/>
    </row>
    <row r="578" spans="12:13" x14ac:dyDescent="0.2">
      <c r="L578" s="48"/>
      <c r="M578" s="48"/>
    </row>
    <row r="579" spans="12:13" x14ac:dyDescent="0.2">
      <c r="L579" s="48"/>
      <c r="M579" s="48"/>
    </row>
    <row r="580" spans="12:13" x14ac:dyDescent="0.2">
      <c r="L580" s="48"/>
      <c r="M580" s="48"/>
    </row>
    <row r="581" spans="12:13" x14ac:dyDescent="0.2">
      <c r="L581" s="48"/>
      <c r="M581" s="48"/>
    </row>
    <row r="582" spans="12:13" x14ac:dyDescent="0.2">
      <c r="L582" s="48"/>
      <c r="M582" s="48"/>
    </row>
    <row r="583" spans="12:13" x14ac:dyDescent="0.2">
      <c r="L583" s="48"/>
      <c r="M583" s="48"/>
    </row>
    <row r="584" spans="12:13" x14ac:dyDescent="0.2">
      <c r="L584" s="48"/>
      <c r="M584" s="48"/>
    </row>
    <row r="585" spans="12:13" x14ac:dyDescent="0.2">
      <c r="L585" s="48"/>
      <c r="M585" s="48"/>
    </row>
    <row r="586" spans="12:13" x14ac:dyDescent="0.2">
      <c r="L586" s="48"/>
      <c r="M586" s="48"/>
    </row>
    <row r="587" spans="12:13" x14ac:dyDescent="0.2">
      <c r="L587" s="48"/>
      <c r="M587" s="48"/>
    </row>
    <row r="588" spans="12:13" x14ac:dyDescent="0.2">
      <c r="L588" s="48"/>
      <c r="M588" s="48"/>
    </row>
    <row r="589" spans="12:13" x14ac:dyDescent="0.2">
      <c r="L589" s="48"/>
      <c r="M589" s="48"/>
    </row>
    <row r="590" spans="12:13" x14ac:dyDescent="0.2">
      <c r="L590" s="48"/>
      <c r="M590" s="48"/>
    </row>
    <row r="591" spans="12:13" x14ac:dyDescent="0.2">
      <c r="L591" s="48"/>
      <c r="M591" s="48"/>
    </row>
    <row r="592" spans="12:13" x14ac:dyDescent="0.2">
      <c r="L592" s="48"/>
      <c r="M592" s="48"/>
    </row>
    <row r="593" spans="12:13" x14ac:dyDescent="0.2">
      <c r="L593" s="48"/>
      <c r="M593" s="48"/>
    </row>
    <row r="594" spans="12:13" x14ac:dyDescent="0.2">
      <c r="L594" s="48"/>
      <c r="M594" s="48"/>
    </row>
    <row r="595" spans="12:13" x14ac:dyDescent="0.2">
      <c r="L595" s="48"/>
      <c r="M595" s="48"/>
    </row>
    <row r="596" spans="12:13" x14ac:dyDescent="0.2">
      <c r="L596" s="48"/>
      <c r="M596" s="48"/>
    </row>
    <row r="597" spans="12:13" x14ac:dyDescent="0.2">
      <c r="L597" s="48"/>
      <c r="M597" s="48"/>
    </row>
    <row r="598" spans="12:13" x14ac:dyDescent="0.2">
      <c r="L598" s="48"/>
      <c r="M598" s="48"/>
    </row>
    <row r="599" spans="12:13" x14ac:dyDescent="0.2">
      <c r="L599" s="48"/>
      <c r="M599" s="48"/>
    </row>
    <row r="600" spans="12:13" x14ac:dyDescent="0.2">
      <c r="L600" s="48"/>
      <c r="M600" s="48"/>
    </row>
    <row r="601" spans="12:13" x14ac:dyDescent="0.2">
      <c r="L601" s="48"/>
      <c r="M601" s="48"/>
    </row>
    <row r="602" spans="12:13" x14ac:dyDescent="0.2">
      <c r="L602" s="48"/>
      <c r="M602" s="48"/>
    </row>
    <row r="603" spans="12:13" x14ac:dyDescent="0.2">
      <c r="L603" s="48"/>
      <c r="M603" s="48"/>
    </row>
    <row r="604" spans="12:13" x14ac:dyDescent="0.2">
      <c r="L604" s="48"/>
      <c r="M604" s="48"/>
    </row>
    <row r="605" spans="12:13" x14ac:dyDescent="0.2">
      <c r="L605" s="48"/>
      <c r="M605" s="48"/>
    </row>
    <row r="606" spans="12:13" x14ac:dyDescent="0.2">
      <c r="L606" s="48"/>
      <c r="M606" s="48"/>
    </row>
    <row r="607" spans="12:13" x14ac:dyDescent="0.2">
      <c r="L607" s="48"/>
      <c r="M607" s="48"/>
    </row>
    <row r="608" spans="12:13" x14ac:dyDescent="0.2">
      <c r="L608" s="48"/>
      <c r="M608" s="48"/>
    </row>
    <row r="609" spans="12:13" x14ac:dyDescent="0.2">
      <c r="L609" s="48"/>
      <c r="M609" s="48"/>
    </row>
    <row r="610" spans="12:13" x14ac:dyDescent="0.2">
      <c r="L610" s="48"/>
      <c r="M610" s="48"/>
    </row>
    <row r="611" spans="12:13" x14ac:dyDescent="0.2">
      <c r="L611" s="48"/>
      <c r="M611" s="48"/>
    </row>
    <row r="612" spans="12:13" x14ac:dyDescent="0.2">
      <c r="L612" s="48"/>
      <c r="M612" s="48"/>
    </row>
    <row r="613" spans="12:13" x14ac:dyDescent="0.2">
      <c r="L613" s="48"/>
      <c r="M613" s="48"/>
    </row>
    <row r="614" spans="12:13" x14ac:dyDescent="0.2">
      <c r="L614" s="48"/>
      <c r="M614" s="48"/>
    </row>
    <row r="615" spans="12:13" x14ac:dyDescent="0.2">
      <c r="L615" s="48"/>
      <c r="M615" s="48"/>
    </row>
    <row r="616" spans="12:13" x14ac:dyDescent="0.2">
      <c r="L616" s="48"/>
      <c r="M616" s="48"/>
    </row>
    <row r="617" spans="12:13" x14ac:dyDescent="0.2">
      <c r="L617" s="48"/>
      <c r="M617" s="48"/>
    </row>
    <row r="618" spans="12:13" x14ac:dyDescent="0.2">
      <c r="L618" s="48"/>
      <c r="M618" s="48"/>
    </row>
    <row r="619" spans="12:13" x14ac:dyDescent="0.2">
      <c r="L619" s="48"/>
      <c r="M619" s="48"/>
    </row>
    <row r="620" spans="12:13" x14ac:dyDescent="0.2">
      <c r="L620" s="48"/>
      <c r="M620" s="48"/>
    </row>
    <row r="621" spans="12:13" x14ac:dyDescent="0.2">
      <c r="L621" s="48"/>
      <c r="M621" s="48"/>
    </row>
    <row r="622" spans="12:13" x14ac:dyDescent="0.2">
      <c r="L622" s="48"/>
      <c r="M622" s="48"/>
    </row>
    <row r="623" spans="12:13" x14ac:dyDescent="0.2">
      <c r="L623" s="48"/>
      <c r="M623" s="48"/>
    </row>
    <row r="624" spans="12:13" x14ac:dyDescent="0.2">
      <c r="L624" s="48"/>
      <c r="M624" s="48"/>
    </row>
    <row r="625" spans="12:13" x14ac:dyDescent="0.2">
      <c r="L625" s="48"/>
      <c r="M625" s="48"/>
    </row>
    <row r="626" spans="12:13" x14ac:dyDescent="0.2">
      <c r="L626" s="48"/>
      <c r="M626" s="48"/>
    </row>
    <row r="627" spans="12:13" x14ac:dyDescent="0.2">
      <c r="L627" s="48"/>
      <c r="M627" s="48"/>
    </row>
    <row r="628" spans="12:13" x14ac:dyDescent="0.2">
      <c r="L628" s="48"/>
      <c r="M628" s="48"/>
    </row>
    <row r="629" spans="12:13" x14ac:dyDescent="0.2">
      <c r="L629" s="48"/>
      <c r="M629" s="48"/>
    </row>
    <row r="630" spans="12:13" x14ac:dyDescent="0.2">
      <c r="L630" s="48"/>
      <c r="M630" s="48"/>
    </row>
    <row r="631" spans="12:13" x14ac:dyDescent="0.2">
      <c r="L631" s="48"/>
      <c r="M631" s="48"/>
    </row>
    <row r="632" spans="12:13" x14ac:dyDescent="0.2">
      <c r="L632" s="48"/>
      <c r="M632" s="48"/>
    </row>
    <row r="633" spans="12:13" x14ac:dyDescent="0.2">
      <c r="L633" s="48"/>
      <c r="M633" s="48"/>
    </row>
    <row r="634" spans="12:13" x14ac:dyDescent="0.2">
      <c r="L634" s="48"/>
      <c r="M634" s="48"/>
    </row>
    <row r="635" spans="12:13" x14ac:dyDescent="0.2">
      <c r="L635" s="48"/>
      <c r="M635" s="48"/>
    </row>
    <row r="636" spans="12:13" x14ac:dyDescent="0.2">
      <c r="L636" s="48"/>
      <c r="M636" s="48"/>
    </row>
    <row r="637" spans="12:13" x14ac:dyDescent="0.2">
      <c r="L637" s="48"/>
      <c r="M637" s="48"/>
    </row>
    <row r="638" spans="12:13" x14ac:dyDescent="0.2">
      <c r="L638" s="48"/>
      <c r="M638" s="48"/>
    </row>
    <row r="639" spans="12:13" x14ac:dyDescent="0.2">
      <c r="L639" s="48"/>
      <c r="M639" s="48"/>
    </row>
    <row r="640" spans="12:13" x14ac:dyDescent="0.2">
      <c r="L640" s="48"/>
      <c r="M640" s="48"/>
    </row>
    <row r="641" spans="12:13" x14ac:dyDescent="0.2">
      <c r="L641" s="48"/>
      <c r="M641" s="48"/>
    </row>
    <row r="642" spans="12:13" x14ac:dyDescent="0.2">
      <c r="L642" s="48"/>
      <c r="M642" s="48"/>
    </row>
    <row r="643" spans="12:13" x14ac:dyDescent="0.2">
      <c r="L643" s="48"/>
      <c r="M643" s="48"/>
    </row>
    <row r="644" spans="12:13" x14ac:dyDescent="0.2">
      <c r="L644" s="48"/>
      <c r="M644" s="48"/>
    </row>
    <row r="645" spans="12:13" x14ac:dyDescent="0.2">
      <c r="L645" s="48"/>
      <c r="M645" s="48"/>
    </row>
    <row r="646" spans="12:13" x14ac:dyDescent="0.2">
      <c r="L646" s="48"/>
      <c r="M646" s="48"/>
    </row>
    <row r="647" spans="12:13" x14ac:dyDescent="0.2">
      <c r="L647" s="48"/>
      <c r="M647" s="48"/>
    </row>
    <row r="648" spans="12:13" x14ac:dyDescent="0.2">
      <c r="L648" s="48"/>
      <c r="M648" s="48"/>
    </row>
    <row r="649" spans="12:13" x14ac:dyDescent="0.2">
      <c r="L649" s="48"/>
      <c r="M649" s="48"/>
    </row>
    <row r="650" spans="12:13" x14ac:dyDescent="0.2">
      <c r="L650" s="48"/>
      <c r="M650" s="48"/>
    </row>
    <row r="651" spans="12:13" x14ac:dyDescent="0.2">
      <c r="L651" s="48"/>
      <c r="M651" s="48"/>
    </row>
    <row r="652" spans="12:13" x14ac:dyDescent="0.2">
      <c r="L652" s="48"/>
      <c r="M652" s="48"/>
    </row>
    <row r="653" spans="12:13" x14ac:dyDescent="0.2">
      <c r="L653" s="48"/>
      <c r="M653" s="48"/>
    </row>
    <row r="654" spans="12:13" x14ac:dyDescent="0.2">
      <c r="L654" s="48"/>
      <c r="M654" s="48"/>
    </row>
    <row r="655" spans="12:13" x14ac:dyDescent="0.2">
      <c r="L655" s="48"/>
      <c r="M655" s="48"/>
    </row>
    <row r="656" spans="12:13" x14ac:dyDescent="0.2">
      <c r="L656" s="48"/>
      <c r="M656" s="48"/>
    </row>
    <row r="657" spans="12:13" x14ac:dyDescent="0.2">
      <c r="L657" s="48"/>
      <c r="M657" s="48"/>
    </row>
    <row r="658" spans="12:13" x14ac:dyDescent="0.2">
      <c r="L658" s="48"/>
      <c r="M658" s="48"/>
    </row>
    <row r="659" spans="12:13" x14ac:dyDescent="0.2">
      <c r="L659" s="48"/>
      <c r="M659" s="48"/>
    </row>
    <row r="660" spans="12:13" x14ac:dyDescent="0.2">
      <c r="L660" s="48"/>
      <c r="M660" s="48"/>
    </row>
    <row r="661" spans="12:13" x14ac:dyDescent="0.2">
      <c r="L661" s="48"/>
      <c r="M661" s="48"/>
    </row>
    <row r="662" spans="12:13" x14ac:dyDescent="0.2">
      <c r="L662" s="48"/>
      <c r="M662" s="48"/>
    </row>
    <row r="663" spans="12:13" x14ac:dyDescent="0.2">
      <c r="L663" s="48"/>
      <c r="M663" s="48"/>
    </row>
    <row r="664" spans="12:13" x14ac:dyDescent="0.2">
      <c r="L664" s="48"/>
      <c r="M664" s="48"/>
    </row>
    <row r="665" spans="12:13" x14ac:dyDescent="0.2">
      <c r="L665" s="48"/>
      <c r="M665" s="48"/>
    </row>
    <row r="666" spans="12:13" x14ac:dyDescent="0.2">
      <c r="L666" s="48"/>
      <c r="M666" s="48"/>
    </row>
    <row r="667" spans="12:13" x14ac:dyDescent="0.2">
      <c r="L667" s="48"/>
      <c r="M667" s="48"/>
    </row>
    <row r="668" spans="12:13" x14ac:dyDescent="0.2">
      <c r="L668" s="48"/>
      <c r="M668" s="48"/>
    </row>
    <row r="669" spans="12:13" x14ac:dyDescent="0.2">
      <c r="L669" s="48"/>
      <c r="M669" s="48"/>
    </row>
    <row r="670" spans="12:13" x14ac:dyDescent="0.2">
      <c r="L670" s="48"/>
      <c r="M670" s="48"/>
    </row>
    <row r="671" spans="12:13" x14ac:dyDescent="0.2">
      <c r="L671" s="48"/>
      <c r="M671" s="48"/>
    </row>
    <row r="672" spans="12:13" x14ac:dyDescent="0.2">
      <c r="L672" s="48"/>
      <c r="M672" s="48"/>
    </row>
    <row r="673" spans="12:13" x14ac:dyDescent="0.2">
      <c r="L673" s="48"/>
      <c r="M673" s="48"/>
    </row>
    <row r="674" spans="12:13" x14ac:dyDescent="0.2">
      <c r="L674" s="48"/>
      <c r="M674" s="48"/>
    </row>
    <row r="675" spans="12:13" x14ac:dyDescent="0.2">
      <c r="L675" s="48"/>
      <c r="M675" s="48"/>
    </row>
    <row r="676" spans="12:13" x14ac:dyDescent="0.2">
      <c r="L676" s="48"/>
      <c r="M676" s="48"/>
    </row>
    <row r="677" spans="12:13" x14ac:dyDescent="0.2">
      <c r="L677" s="48"/>
      <c r="M677" s="48"/>
    </row>
    <row r="678" spans="12:13" x14ac:dyDescent="0.2">
      <c r="L678" s="48"/>
      <c r="M678" s="48"/>
    </row>
    <row r="679" spans="12:13" x14ac:dyDescent="0.2">
      <c r="L679" s="48"/>
      <c r="M679" s="48"/>
    </row>
    <row r="680" spans="12:13" x14ac:dyDescent="0.2">
      <c r="L680" s="48"/>
      <c r="M680" s="48"/>
    </row>
    <row r="681" spans="12:13" x14ac:dyDescent="0.2">
      <c r="L681" s="48"/>
      <c r="M681" s="48"/>
    </row>
    <row r="682" spans="12:13" x14ac:dyDescent="0.2">
      <c r="L682" s="48"/>
      <c r="M682" s="48"/>
    </row>
    <row r="683" spans="12:13" x14ac:dyDescent="0.2">
      <c r="L683" s="48"/>
      <c r="M683" s="48"/>
    </row>
    <row r="684" spans="12:13" x14ac:dyDescent="0.2">
      <c r="L684" s="48"/>
      <c r="M684" s="48"/>
    </row>
    <row r="685" spans="12:13" x14ac:dyDescent="0.2">
      <c r="L685" s="48"/>
      <c r="M685" s="48"/>
    </row>
    <row r="686" spans="12:13" x14ac:dyDescent="0.2">
      <c r="L686" s="48"/>
      <c r="M686" s="48"/>
    </row>
    <row r="687" spans="12:13" x14ac:dyDescent="0.2">
      <c r="L687" s="48"/>
      <c r="M687" s="48"/>
    </row>
    <row r="688" spans="12:13" x14ac:dyDescent="0.2">
      <c r="L688" s="48"/>
      <c r="M688" s="48"/>
    </row>
    <row r="689" spans="12:13" x14ac:dyDescent="0.2">
      <c r="L689" s="48"/>
      <c r="M689" s="48"/>
    </row>
    <row r="690" spans="12:13" x14ac:dyDescent="0.2">
      <c r="L690" s="48"/>
      <c r="M690" s="48"/>
    </row>
    <row r="691" spans="12:13" x14ac:dyDescent="0.2">
      <c r="L691" s="48"/>
      <c r="M691" s="48"/>
    </row>
    <row r="692" spans="12:13" x14ac:dyDescent="0.2">
      <c r="L692" s="48"/>
      <c r="M692" s="48"/>
    </row>
    <row r="693" spans="12:13" x14ac:dyDescent="0.2">
      <c r="L693" s="48"/>
      <c r="M693" s="48"/>
    </row>
    <row r="694" spans="12:13" x14ac:dyDescent="0.2">
      <c r="L694" s="48"/>
      <c r="M694" s="48"/>
    </row>
    <row r="695" spans="12:13" x14ac:dyDescent="0.2">
      <c r="L695" s="48"/>
      <c r="M695" s="48"/>
    </row>
    <row r="696" spans="12:13" x14ac:dyDescent="0.2">
      <c r="L696" s="48"/>
      <c r="M696" s="48"/>
    </row>
    <row r="697" spans="12:13" x14ac:dyDescent="0.2">
      <c r="L697" s="48"/>
      <c r="M697" s="48"/>
    </row>
    <row r="698" spans="12:13" x14ac:dyDescent="0.2">
      <c r="L698" s="48"/>
      <c r="M698" s="48"/>
    </row>
    <row r="699" spans="12:13" x14ac:dyDescent="0.2">
      <c r="L699" s="48"/>
      <c r="M699" s="48"/>
    </row>
    <row r="700" spans="12:13" x14ac:dyDescent="0.2">
      <c r="L700" s="48"/>
      <c r="M700" s="48"/>
    </row>
    <row r="701" spans="12:13" x14ac:dyDescent="0.2">
      <c r="L701" s="48"/>
      <c r="M701" s="48"/>
    </row>
    <row r="702" spans="12:13" x14ac:dyDescent="0.2">
      <c r="L702" s="48"/>
      <c r="M702" s="48"/>
    </row>
    <row r="703" spans="12:13" x14ac:dyDescent="0.2">
      <c r="L703" s="48"/>
      <c r="M703" s="48"/>
    </row>
    <row r="704" spans="12:13" x14ac:dyDescent="0.2">
      <c r="L704" s="48"/>
      <c r="M704" s="48"/>
    </row>
    <row r="705" spans="12:13" x14ac:dyDescent="0.2">
      <c r="L705" s="48"/>
      <c r="M705" s="48"/>
    </row>
    <row r="706" spans="12:13" x14ac:dyDescent="0.2">
      <c r="L706" s="48"/>
      <c r="M706" s="48"/>
    </row>
    <row r="707" spans="12:13" x14ac:dyDescent="0.2">
      <c r="L707" s="48"/>
      <c r="M707" s="48"/>
    </row>
    <row r="708" spans="12:13" x14ac:dyDescent="0.2">
      <c r="L708" s="48"/>
      <c r="M708" s="48"/>
    </row>
    <row r="709" spans="12:13" x14ac:dyDescent="0.2">
      <c r="L709" s="48"/>
      <c r="M709" s="48"/>
    </row>
    <row r="710" spans="12:13" x14ac:dyDescent="0.2">
      <c r="L710" s="48"/>
      <c r="M710" s="48"/>
    </row>
    <row r="711" spans="12:13" x14ac:dyDescent="0.2">
      <c r="L711" s="48"/>
      <c r="M711" s="48"/>
    </row>
    <row r="712" spans="12:13" x14ac:dyDescent="0.2">
      <c r="L712" s="48"/>
      <c r="M712" s="48"/>
    </row>
    <row r="713" spans="12:13" x14ac:dyDescent="0.2">
      <c r="L713" s="48"/>
      <c r="M713" s="48"/>
    </row>
    <row r="714" spans="12:13" x14ac:dyDescent="0.2">
      <c r="L714" s="48"/>
      <c r="M714" s="48"/>
    </row>
    <row r="715" spans="12:13" x14ac:dyDescent="0.2">
      <c r="L715" s="48"/>
      <c r="M715" s="48"/>
    </row>
    <row r="716" spans="12:13" x14ac:dyDescent="0.2">
      <c r="L716" s="48"/>
      <c r="M716" s="48"/>
    </row>
    <row r="717" spans="12:13" x14ac:dyDescent="0.2">
      <c r="L717" s="48"/>
      <c r="M717" s="48"/>
    </row>
    <row r="718" spans="12:13" x14ac:dyDescent="0.2">
      <c r="L718" s="48"/>
      <c r="M718" s="48"/>
    </row>
    <row r="719" spans="12:13" x14ac:dyDescent="0.2">
      <c r="L719" s="48"/>
      <c r="M719" s="48"/>
    </row>
    <row r="720" spans="12:13" x14ac:dyDescent="0.2">
      <c r="L720" s="48"/>
      <c r="M720" s="48"/>
    </row>
    <row r="721" spans="12:13" x14ac:dyDescent="0.2">
      <c r="L721" s="48"/>
      <c r="M721" s="48"/>
    </row>
    <row r="722" spans="12:13" x14ac:dyDescent="0.2">
      <c r="L722" s="48"/>
      <c r="M722" s="48"/>
    </row>
    <row r="723" spans="12:13" x14ac:dyDescent="0.2">
      <c r="L723" s="48"/>
      <c r="M723" s="48"/>
    </row>
    <row r="724" spans="12:13" x14ac:dyDescent="0.2">
      <c r="L724" s="48"/>
      <c r="M724" s="48"/>
    </row>
    <row r="725" spans="12:13" x14ac:dyDescent="0.2">
      <c r="L725" s="48"/>
      <c r="M725" s="48"/>
    </row>
    <row r="726" spans="12:13" x14ac:dyDescent="0.2">
      <c r="L726" s="48"/>
      <c r="M726" s="48"/>
    </row>
    <row r="727" spans="12:13" x14ac:dyDescent="0.2">
      <c r="L727" s="48"/>
      <c r="M727" s="48"/>
    </row>
    <row r="728" spans="12:13" x14ac:dyDescent="0.2">
      <c r="L728" s="48"/>
      <c r="M728" s="48"/>
    </row>
    <row r="729" spans="12:13" x14ac:dyDescent="0.2">
      <c r="L729" s="48"/>
      <c r="M729" s="48"/>
    </row>
    <row r="730" spans="12:13" x14ac:dyDescent="0.2">
      <c r="L730" s="48"/>
      <c r="M730" s="48"/>
    </row>
    <row r="731" spans="12:13" x14ac:dyDescent="0.2">
      <c r="L731" s="48"/>
      <c r="M731" s="48"/>
    </row>
    <row r="732" spans="12:13" x14ac:dyDescent="0.2">
      <c r="L732" s="48"/>
      <c r="M732" s="48"/>
    </row>
    <row r="733" spans="12:13" x14ac:dyDescent="0.2">
      <c r="L733" s="48"/>
      <c r="M733" s="48"/>
    </row>
    <row r="734" spans="12:13" x14ac:dyDescent="0.2">
      <c r="L734" s="48"/>
      <c r="M734" s="48"/>
    </row>
    <row r="735" spans="12:13" x14ac:dyDescent="0.2">
      <c r="L735" s="48"/>
      <c r="M735" s="48"/>
    </row>
    <row r="736" spans="12:13" x14ac:dyDescent="0.2">
      <c r="L736" s="48"/>
      <c r="M736" s="48"/>
    </row>
    <row r="737" spans="12:13" x14ac:dyDescent="0.2">
      <c r="L737" s="48"/>
      <c r="M737" s="48"/>
    </row>
    <row r="738" spans="12:13" x14ac:dyDescent="0.2">
      <c r="L738" s="48"/>
      <c r="M738" s="48"/>
    </row>
    <row r="739" spans="12:13" x14ac:dyDescent="0.2">
      <c r="L739" s="48"/>
      <c r="M739" s="48"/>
    </row>
    <row r="740" spans="12:13" x14ac:dyDescent="0.2">
      <c r="L740" s="48"/>
      <c r="M740" s="48"/>
    </row>
    <row r="741" spans="12:13" x14ac:dyDescent="0.2">
      <c r="L741" s="48"/>
      <c r="M741" s="48"/>
    </row>
    <row r="742" spans="12:13" x14ac:dyDescent="0.2">
      <c r="L742" s="48"/>
      <c r="M742" s="48"/>
    </row>
    <row r="743" spans="12:13" x14ac:dyDescent="0.2">
      <c r="L743" s="48"/>
      <c r="M743" s="48"/>
    </row>
    <row r="744" spans="12:13" x14ac:dyDescent="0.2">
      <c r="L744" s="48"/>
      <c r="M744" s="48"/>
    </row>
    <row r="745" spans="12:13" x14ac:dyDescent="0.2">
      <c r="L745" s="48"/>
      <c r="M745" s="48"/>
    </row>
    <row r="746" spans="12:13" x14ac:dyDescent="0.2">
      <c r="L746" s="48"/>
      <c r="M746" s="48"/>
    </row>
    <row r="747" spans="12:13" x14ac:dyDescent="0.2">
      <c r="L747" s="48"/>
      <c r="M747" s="48"/>
    </row>
    <row r="748" spans="12:13" x14ac:dyDescent="0.2">
      <c r="L748" s="48"/>
      <c r="M748" s="48"/>
    </row>
    <row r="749" spans="12:13" x14ac:dyDescent="0.2">
      <c r="L749" s="48"/>
      <c r="M749" s="48"/>
    </row>
    <row r="750" spans="12:13" x14ac:dyDescent="0.2">
      <c r="L750" s="48"/>
      <c r="M750" s="48"/>
    </row>
    <row r="751" spans="12:13" x14ac:dyDescent="0.2">
      <c r="L751" s="48"/>
      <c r="M751" s="48"/>
    </row>
    <row r="752" spans="12:13" x14ac:dyDescent="0.2">
      <c r="L752" s="48"/>
      <c r="M752" s="48"/>
    </row>
    <row r="753" spans="12:13" x14ac:dyDescent="0.2">
      <c r="L753" s="48"/>
      <c r="M753" s="48"/>
    </row>
    <row r="754" spans="12:13" x14ac:dyDescent="0.2">
      <c r="L754" s="48"/>
      <c r="M754" s="48"/>
    </row>
    <row r="755" spans="12:13" x14ac:dyDescent="0.2">
      <c r="L755" s="48"/>
      <c r="M755" s="48"/>
    </row>
    <row r="756" spans="12:13" x14ac:dyDescent="0.2">
      <c r="L756" s="48"/>
      <c r="M756" s="48"/>
    </row>
    <row r="757" spans="12:13" x14ac:dyDescent="0.2">
      <c r="L757" s="48"/>
      <c r="M757" s="48"/>
    </row>
    <row r="758" spans="12:13" x14ac:dyDescent="0.2">
      <c r="L758" s="48"/>
      <c r="M758" s="48"/>
    </row>
    <row r="759" spans="12:13" x14ac:dyDescent="0.2">
      <c r="L759" s="48"/>
      <c r="M759" s="48"/>
    </row>
    <row r="760" spans="12:13" x14ac:dyDescent="0.2">
      <c r="L760" s="48"/>
      <c r="M760" s="48"/>
    </row>
    <row r="761" spans="12:13" x14ac:dyDescent="0.2">
      <c r="L761" s="48"/>
      <c r="M761" s="48"/>
    </row>
    <row r="762" spans="12:13" x14ac:dyDescent="0.2">
      <c r="L762" s="48"/>
      <c r="M762" s="48"/>
    </row>
    <row r="763" spans="12:13" x14ac:dyDescent="0.2">
      <c r="L763" s="48"/>
      <c r="M763" s="48"/>
    </row>
    <row r="764" spans="12:13" x14ac:dyDescent="0.2">
      <c r="L764" s="48"/>
      <c r="M764" s="48"/>
    </row>
    <row r="765" spans="12:13" x14ac:dyDescent="0.2">
      <c r="L765" s="48"/>
      <c r="M765" s="48"/>
    </row>
    <row r="766" spans="12:13" x14ac:dyDescent="0.2">
      <c r="L766" s="48"/>
      <c r="M766" s="48"/>
    </row>
    <row r="767" spans="12:13" x14ac:dyDescent="0.2">
      <c r="L767" s="48"/>
      <c r="M767" s="48"/>
    </row>
    <row r="768" spans="12:13" x14ac:dyDescent="0.2">
      <c r="L768" s="48"/>
      <c r="M768" s="48"/>
    </row>
    <row r="769" spans="12:13" x14ac:dyDescent="0.2">
      <c r="L769" s="48"/>
      <c r="M769" s="48"/>
    </row>
    <row r="770" spans="12:13" x14ac:dyDescent="0.2">
      <c r="L770" s="48"/>
      <c r="M770" s="48"/>
    </row>
    <row r="771" spans="12:13" x14ac:dyDescent="0.2">
      <c r="L771" s="48"/>
      <c r="M771" s="48"/>
    </row>
    <row r="772" spans="12:13" x14ac:dyDescent="0.2">
      <c r="L772" s="48"/>
      <c r="M772" s="48"/>
    </row>
    <row r="773" spans="12:13" x14ac:dyDescent="0.2">
      <c r="L773" s="48"/>
      <c r="M773" s="48"/>
    </row>
    <row r="774" spans="12:13" x14ac:dyDescent="0.2">
      <c r="L774" s="48"/>
      <c r="M774" s="48"/>
    </row>
    <row r="775" spans="12:13" x14ac:dyDescent="0.2">
      <c r="L775" s="48"/>
      <c r="M775" s="48"/>
    </row>
    <row r="776" spans="12:13" x14ac:dyDescent="0.2">
      <c r="L776" s="48"/>
      <c r="M776" s="48"/>
    </row>
    <row r="777" spans="12:13" x14ac:dyDescent="0.2">
      <c r="L777" s="48"/>
      <c r="M777" s="48"/>
    </row>
    <row r="778" spans="12:13" x14ac:dyDescent="0.2">
      <c r="L778" s="48"/>
      <c r="M778" s="48"/>
    </row>
    <row r="779" spans="12:13" x14ac:dyDescent="0.2">
      <c r="L779" s="48"/>
      <c r="M779" s="48"/>
    </row>
    <row r="780" spans="12:13" x14ac:dyDescent="0.2">
      <c r="L780" s="48"/>
      <c r="M780" s="48"/>
    </row>
    <row r="781" spans="12:13" x14ac:dyDescent="0.2">
      <c r="L781" s="48"/>
      <c r="M781" s="48"/>
    </row>
    <row r="782" spans="12:13" x14ac:dyDescent="0.2">
      <c r="L782" s="48"/>
      <c r="M782" s="48"/>
    </row>
    <row r="783" spans="12:13" x14ac:dyDescent="0.2">
      <c r="L783" s="48"/>
      <c r="M783" s="48"/>
    </row>
    <row r="784" spans="12:13" x14ac:dyDescent="0.2">
      <c r="L784" s="48"/>
      <c r="M784" s="48"/>
    </row>
    <row r="785" spans="12:13" x14ac:dyDescent="0.2">
      <c r="L785" s="48"/>
      <c r="M785" s="48"/>
    </row>
    <row r="786" spans="12:13" x14ac:dyDescent="0.2">
      <c r="L786" s="48"/>
      <c r="M786" s="48"/>
    </row>
    <row r="787" spans="12:13" x14ac:dyDescent="0.2">
      <c r="L787" s="48"/>
      <c r="M787" s="48"/>
    </row>
    <row r="788" spans="12:13" x14ac:dyDescent="0.2">
      <c r="L788" s="48"/>
      <c r="M788" s="48"/>
    </row>
    <row r="789" spans="12:13" x14ac:dyDescent="0.2">
      <c r="L789" s="48"/>
      <c r="M789" s="48"/>
    </row>
    <row r="790" spans="12:13" x14ac:dyDescent="0.2">
      <c r="L790" s="48"/>
      <c r="M790" s="48"/>
    </row>
    <row r="791" spans="12:13" x14ac:dyDescent="0.2">
      <c r="L791" s="48"/>
      <c r="M791" s="48"/>
    </row>
    <row r="792" spans="12:13" x14ac:dyDescent="0.2">
      <c r="L792" s="48"/>
      <c r="M792" s="48"/>
    </row>
    <row r="793" spans="12:13" x14ac:dyDescent="0.2">
      <c r="L793" s="48"/>
      <c r="M793" s="48"/>
    </row>
    <row r="794" spans="12:13" x14ac:dyDescent="0.2">
      <c r="L794" s="48"/>
      <c r="M794" s="48"/>
    </row>
    <row r="795" spans="12:13" x14ac:dyDescent="0.2">
      <c r="L795" s="48"/>
      <c r="M795" s="48"/>
    </row>
    <row r="796" spans="12:13" x14ac:dyDescent="0.2">
      <c r="L796" s="48"/>
      <c r="M796" s="48"/>
    </row>
    <row r="797" spans="12:13" x14ac:dyDescent="0.2">
      <c r="L797" s="48"/>
      <c r="M797" s="48"/>
    </row>
    <row r="798" spans="12:13" x14ac:dyDescent="0.2">
      <c r="L798" s="48"/>
      <c r="M798" s="48"/>
    </row>
    <row r="799" spans="12:13" x14ac:dyDescent="0.2">
      <c r="L799" s="48"/>
      <c r="M799" s="48"/>
    </row>
    <row r="800" spans="12:13" x14ac:dyDescent="0.2">
      <c r="L800" s="48"/>
      <c r="M800" s="48"/>
    </row>
    <row r="801" spans="12:13" x14ac:dyDescent="0.2">
      <c r="L801" s="48"/>
      <c r="M801" s="48"/>
    </row>
    <row r="802" spans="12:13" x14ac:dyDescent="0.2">
      <c r="L802" s="48"/>
      <c r="M802" s="48"/>
    </row>
    <row r="803" spans="12:13" x14ac:dyDescent="0.2">
      <c r="L803" s="48"/>
      <c r="M803" s="48"/>
    </row>
    <row r="804" spans="12:13" x14ac:dyDescent="0.2">
      <c r="L804" s="48"/>
      <c r="M804" s="48"/>
    </row>
    <row r="805" spans="12:13" x14ac:dyDescent="0.2">
      <c r="L805" s="48"/>
      <c r="M805" s="48"/>
    </row>
    <row r="806" spans="12:13" x14ac:dyDescent="0.2">
      <c r="L806" s="48"/>
      <c r="M806" s="48"/>
    </row>
    <row r="807" spans="12:13" x14ac:dyDescent="0.2">
      <c r="L807" s="48"/>
      <c r="M807" s="48"/>
    </row>
    <row r="808" spans="12:13" x14ac:dyDescent="0.2">
      <c r="L808" s="48"/>
      <c r="M808" s="48"/>
    </row>
    <row r="809" spans="12:13" x14ac:dyDescent="0.2">
      <c r="L809" s="48"/>
      <c r="M809" s="48"/>
    </row>
    <row r="810" spans="12:13" x14ac:dyDescent="0.2">
      <c r="L810" s="48"/>
      <c r="M810" s="48"/>
    </row>
    <row r="811" spans="12:13" x14ac:dyDescent="0.2">
      <c r="L811" s="48"/>
      <c r="M811" s="48"/>
    </row>
    <row r="812" spans="12:13" x14ac:dyDescent="0.2">
      <c r="L812" s="48"/>
      <c r="M812" s="48"/>
    </row>
    <row r="813" spans="12:13" x14ac:dyDescent="0.2">
      <c r="L813" s="48"/>
      <c r="M813" s="48"/>
    </row>
    <row r="814" spans="12:13" x14ac:dyDescent="0.2">
      <c r="L814" s="48"/>
      <c r="M814" s="48"/>
    </row>
    <row r="815" spans="12:13" x14ac:dyDescent="0.2">
      <c r="L815" s="48"/>
      <c r="M815" s="48"/>
    </row>
    <row r="816" spans="12:13" x14ac:dyDescent="0.2">
      <c r="L816" s="48"/>
      <c r="M816" s="48"/>
    </row>
    <row r="817" spans="12:13" x14ac:dyDescent="0.2">
      <c r="L817" s="48"/>
      <c r="M817" s="48"/>
    </row>
    <row r="818" spans="12:13" x14ac:dyDescent="0.2">
      <c r="L818" s="48"/>
      <c r="M818" s="48"/>
    </row>
    <row r="819" spans="12:13" x14ac:dyDescent="0.2">
      <c r="L819" s="48"/>
      <c r="M819" s="48"/>
    </row>
    <row r="820" spans="12:13" x14ac:dyDescent="0.2">
      <c r="L820" s="48"/>
      <c r="M820" s="48"/>
    </row>
    <row r="821" spans="12:13" x14ac:dyDescent="0.2">
      <c r="L821" s="48"/>
      <c r="M821" s="48"/>
    </row>
    <row r="822" spans="12:13" x14ac:dyDescent="0.2">
      <c r="L822" s="48"/>
      <c r="M822" s="48"/>
    </row>
    <row r="823" spans="12:13" x14ac:dyDescent="0.2">
      <c r="L823" s="48"/>
      <c r="M823" s="48"/>
    </row>
    <row r="824" spans="12:13" x14ac:dyDescent="0.2">
      <c r="L824" s="48"/>
      <c r="M824" s="48"/>
    </row>
    <row r="825" spans="12:13" x14ac:dyDescent="0.2">
      <c r="L825" s="48"/>
      <c r="M825" s="48"/>
    </row>
    <row r="826" spans="12:13" x14ac:dyDescent="0.2">
      <c r="L826" s="48"/>
      <c r="M826" s="48"/>
    </row>
    <row r="827" spans="12:13" x14ac:dyDescent="0.2">
      <c r="L827" s="48"/>
      <c r="M827" s="48"/>
    </row>
    <row r="828" spans="12:13" x14ac:dyDescent="0.2">
      <c r="L828" s="48"/>
      <c r="M828" s="48"/>
    </row>
    <row r="829" spans="12:13" x14ac:dyDescent="0.2">
      <c r="L829" s="48"/>
      <c r="M829" s="48"/>
    </row>
    <row r="830" spans="12:13" x14ac:dyDescent="0.2">
      <c r="L830" s="48"/>
      <c r="M830" s="48"/>
    </row>
    <row r="831" spans="12:13" x14ac:dyDescent="0.2">
      <c r="L831" s="48"/>
      <c r="M831" s="48"/>
    </row>
    <row r="832" spans="12:13" x14ac:dyDescent="0.2">
      <c r="L832" s="48"/>
      <c r="M832" s="48"/>
    </row>
    <row r="833" spans="12:13" x14ac:dyDescent="0.2">
      <c r="L833" s="48"/>
      <c r="M833" s="48"/>
    </row>
    <row r="834" spans="12:13" x14ac:dyDescent="0.2">
      <c r="L834" s="48"/>
      <c r="M834" s="48"/>
    </row>
    <row r="835" spans="12:13" x14ac:dyDescent="0.2">
      <c r="L835" s="48"/>
      <c r="M835" s="48"/>
    </row>
    <row r="836" spans="12:13" x14ac:dyDescent="0.2">
      <c r="L836" s="48"/>
      <c r="M836" s="48"/>
    </row>
    <row r="837" spans="12:13" x14ac:dyDescent="0.2">
      <c r="L837" s="48"/>
      <c r="M837" s="48"/>
    </row>
    <row r="838" spans="12:13" x14ac:dyDescent="0.2">
      <c r="L838" s="48"/>
      <c r="M838" s="48"/>
    </row>
    <row r="839" spans="12:13" x14ac:dyDescent="0.2">
      <c r="L839" s="48"/>
      <c r="M839" s="48"/>
    </row>
    <row r="840" spans="12:13" x14ac:dyDescent="0.2">
      <c r="L840" s="48"/>
      <c r="M840" s="48"/>
    </row>
    <row r="841" spans="12:13" x14ac:dyDescent="0.2">
      <c r="L841" s="48"/>
      <c r="M841" s="48"/>
    </row>
    <row r="842" spans="12:13" x14ac:dyDescent="0.2">
      <c r="L842" s="48"/>
      <c r="M842" s="48"/>
    </row>
    <row r="843" spans="12:13" x14ac:dyDescent="0.2">
      <c r="L843" s="48"/>
      <c r="M843" s="48"/>
    </row>
    <row r="844" spans="12:13" x14ac:dyDescent="0.2">
      <c r="L844" s="48"/>
      <c r="M844" s="48"/>
    </row>
    <row r="845" spans="12:13" x14ac:dyDescent="0.2">
      <c r="L845" s="48"/>
      <c r="M845" s="48"/>
    </row>
    <row r="846" spans="12:13" x14ac:dyDescent="0.2">
      <c r="L846" s="48"/>
      <c r="M846" s="48"/>
    </row>
    <row r="847" spans="12:13" x14ac:dyDescent="0.2">
      <c r="L847" s="48"/>
      <c r="M847" s="48"/>
    </row>
    <row r="848" spans="12:13" x14ac:dyDescent="0.2">
      <c r="L848" s="48"/>
      <c r="M848" s="48"/>
    </row>
    <row r="849" spans="12:13" x14ac:dyDescent="0.2">
      <c r="L849" s="48"/>
      <c r="M849" s="48"/>
    </row>
    <row r="850" spans="12:13" x14ac:dyDescent="0.2">
      <c r="L850" s="48"/>
      <c r="M850" s="48"/>
    </row>
    <row r="851" spans="12:13" x14ac:dyDescent="0.2">
      <c r="L851" s="48"/>
      <c r="M851" s="48"/>
    </row>
    <row r="852" spans="12:13" x14ac:dyDescent="0.2">
      <c r="L852" s="48"/>
      <c r="M852" s="48"/>
    </row>
    <row r="853" spans="12:13" x14ac:dyDescent="0.2">
      <c r="L853" s="48"/>
      <c r="M853" s="48"/>
    </row>
    <row r="854" spans="12:13" x14ac:dyDescent="0.2">
      <c r="L854" s="48"/>
      <c r="M854" s="48"/>
    </row>
    <row r="855" spans="12:13" x14ac:dyDescent="0.2">
      <c r="L855" s="48"/>
      <c r="M855" s="48"/>
    </row>
    <row r="856" spans="12:13" x14ac:dyDescent="0.2">
      <c r="L856" s="48"/>
      <c r="M856" s="48"/>
    </row>
    <row r="857" spans="12:13" x14ac:dyDescent="0.2">
      <c r="L857" s="48"/>
      <c r="M857" s="48"/>
    </row>
    <row r="858" spans="12:13" x14ac:dyDescent="0.2">
      <c r="L858" s="48"/>
      <c r="M858" s="48"/>
    </row>
    <row r="859" spans="12:13" x14ac:dyDescent="0.2">
      <c r="L859" s="48"/>
      <c r="M859" s="48"/>
    </row>
    <row r="860" spans="12:13" x14ac:dyDescent="0.2">
      <c r="L860" s="48"/>
      <c r="M860" s="48"/>
    </row>
    <row r="861" spans="12:13" x14ac:dyDescent="0.2">
      <c r="L861" s="48"/>
      <c r="M861" s="48"/>
    </row>
    <row r="862" spans="12:13" x14ac:dyDescent="0.2">
      <c r="L862" s="48"/>
      <c r="M862" s="48"/>
    </row>
    <row r="863" spans="12:13" x14ac:dyDescent="0.2">
      <c r="L863" s="48"/>
      <c r="M863" s="48"/>
    </row>
    <row r="864" spans="12:13" x14ac:dyDescent="0.2">
      <c r="L864" s="48"/>
      <c r="M864" s="48"/>
    </row>
    <row r="865" spans="12:13" x14ac:dyDescent="0.2">
      <c r="L865" s="48"/>
      <c r="M865" s="48"/>
    </row>
    <row r="866" spans="12:13" x14ac:dyDescent="0.2">
      <c r="L866" s="48"/>
      <c r="M866" s="48"/>
    </row>
    <row r="867" spans="12:13" x14ac:dyDescent="0.2">
      <c r="L867" s="48"/>
      <c r="M867" s="48"/>
    </row>
    <row r="868" spans="12:13" x14ac:dyDescent="0.2">
      <c r="L868" s="48"/>
      <c r="M868" s="48"/>
    </row>
    <row r="869" spans="12:13" x14ac:dyDescent="0.2">
      <c r="L869" s="48"/>
      <c r="M869" s="48"/>
    </row>
    <row r="870" spans="12:13" x14ac:dyDescent="0.2">
      <c r="L870" s="48"/>
      <c r="M870" s="48"/>
    </row>
    <row r="871" spans="12:13" x14ac:dyDescent="0.2">
      <c r="L871" s="48"/>
      <c r="M871" s="48"/>
    </row>
    <row r="872" spans="12:13" x14ac:dyDescent="0.2">
      <c r="L872" s="48"/>
      <c r="M872" s="48"/>
    </row>
    <row r="873" spans="12:13" x14ac:dyDescent="0.2">
      <c r="L873" s="48"/>
      <c r="M873" s="48"/>
    </row>
    <row r="874" spans="12:13" x14ac:dyDescent="0.2">
      <c r="L874" s="48"/>
      <c r="M874" s="48"/>
    </row>
    <row r="875" spans="12:13" x14ac:dyDescent="0.2">
      <c r="L875" s="48"/>
      <c r="M875" s="48"/>
    </row>
    <row r="876" spans="12:13" x14ac:dyDescent="0.2">
      <c r="L876" s="48"/>
      <c r="M876" s="48"/>
    </row>
    <row r="877" spans="12:13" x14ac:dyDescent="0.2">
      <c r="L877" s="48"/>
      <c r="M877" s="48"/>
    </row>
    <row r="878" spans="12:13" x14ac:dyDescent="0.2">
      <c r="L878" s="48"/>
      <c r="M878" s="48"/>
    </row>
    <row r="879" spans="12:13" x14ac:dyDescent="0.2">
      <c r="L879" s="48"/>
      <c r="M879" s="48"/>
    </row>
    <row r="880" spans="12:13" x14ac:dyDescent="0.2">
      <c r="L880" s="48"/>
      <c r="M880" s="48"/>
    </row>
    <row r="881" spans="12:13" x14ac:dyDescent="0.2">
      <c r="L881" s="48"/>
      <c r="M881" s="48"/>
    </row>
    <row r="882" spans="12:13" x14ac:dyDescent="0.2">
      <c r="L882" s="48"/>
      <c r="M882" s="48"/>
    </row>
    <row r="883" spans="12:13" x14ac:dyDescent="0.2">
      <c r="L883" s="48"/>
      <c r="M883" s="48"/>
    </row>
    <row r="884" spans="12:13" x14ac:dyDescent="0.2">
      <c r="L884" s="48"/>
      <c r="M884" s="48"/>
    </row>
    <row r="885" spans="12:13" x14ac:dyDescent="0.2">
      <c r="L885" s="48"/>
      <c r="M885" s="48"/>
    </row>
    <row r="886" spans="12:13" x14ac:dyDescent="0.2">
      <c r="L886" s="48"/>
      <c r="M886" s="48"/>
    </row>
    <row r="887" spans="12:13" x14ac:dyDescent="0.2">
      <c r="L887" s="48"/>
      <c r="M887" s="48"/>
    </row>
    <row r="888" spans="12:13" x14ac:dyDescent="0.2">
      <c r="L888" s="48"/>
      <c r="M888" s="48"/>
    </row>
    <row r="889" spans="12:13" x14ac:dyDescent="0.2">
      <c r="L889" s="48"/>
      <c r="M889" s="48"/>
    </row>
    <row r="890" spans="12:13" x14ac:dyDescent="0.2">
      <c r="L890" s="48"/>
      <c r="M890" s="48"/>
    </row>
    <row r="891" spans="12:13" x14ac:dyDescent="0.2">
      <c r="L891" s="48"/>
      <c r="M891" s="48"/>
    </row>
    <row r="892" spans="12:13" x14ac:dyDescent="0.2">
      <c r="L892" s="48"/>
      <c r="M892" s="48"/>
    </row>
    <row r="893" spans="12:13" x14ac:dyDescent="0.2">
      <c r="L893" s="48"/>
      <c r="M893" s="48"/>
    </row>
    <row r="894" spans="12:13" x14ac:dyDescent="0.2">
      <c r="L894" s="48"/>
      <c r="M894" s="48"/>
    </row>
    <row r="895" spans="12:13" x14ac:dyDescent="0.2">
      <c r="L895" s="48"/>
      <c r="M895" s="48"/>
    </row>
    <row r="896" spans="12:13" x14ac:dyDescent="0.2">
      <c r="L896" s="48"/>
      <c r="M896" s="48"/>
    </row>
    <row r="897" spans="12:13" x14ac:dyDescent="0.2">
      <c r="L897" s="48"/>
      <c r="M897" s="48"/>
    </row>
    <row r="898" spans="12:13" x14ac:dyDescent="0.2">
      <c r="L898" s="48"/>
      <c r="M898" s="48"/>
    </row>
    <row r="899" spans="12:13" x14ac:dyDescent="0.2">
      <c r="L899" s="48"/>
      <c r="M899" s="48"/>
    </row>
    <row r="900" spans="12:13" x14ac:dyDescent="0.2">
      <c r="L900" s="48"/>
      <c r="M900" s="48"/>
    </row>
    <row r="901" spans="12:13" x14ac:dyDescent="0.2">
      <c r="L901" s="48"/>
      <c r="M901" s="48"/>
    </row>
    <row r="902" spans="12:13" x14ac:dyDescent="0.2">
      <c r="L902" s="48"/>
      <c r="M902" s="48"/>
    </row>
    <row r="903" spans="12:13" x14ac:dyDescent="0.2">
      <c r="L903" s="48"/>
      <c r="M903" s="48"/>
    </row>
    <row r="904" spans="12:13" x14ac:dyDescent="0.2">
      <c r="L904" s="48"/>
      <c r="M904" s="48"/>
    </row>
    <row r="905" spans="12:13" x14ac:dyDescent="0.2">
      <c r="L905" s="48"/>
      <c r="M905" s="48"/>
    </row>
    <row r="906" spans="12:13" x14ac:dyDescent="0.2">
      <c r="L906" s="48"/>
      <c r="M906" s="48"/>
    </row>
    <row r="907" spans="12:13" x14ac:dyDescent="0.2">
      <c r="L907" s="48"/>
      <c r="M907" s="48"/>
    </row>
    <row r="908" spans="12:13" x14ac:dyDescent="0.2">
      <c r="L908" s="48"/>
      <c r="M908" s="48"/>
    </row>
    <row r="909" spans="12:13" x14ac:dyDescent="0.2">
      <c r="L909" s="48"/>
      <c r="M909" s="48"/>
    </row>
    <row r="910" spans="12:13" x14ac:dyDescent="0.2">
      <c r="L910" s="48"/>
      <c r="M910" s="48"/>
    </row>
    <row r="911" spans="12:13" x14ac:dyDescent="0.2">
      <c r="L911" s="48"/>
      <c r="M911" s="48"/>
    </row>
    <row r="912" spans="12:13" x14ac:dyDescent="0.2">
      <c r="L912" s="48"/>
      <c r="M912" s="48"/>
    </row>
    <row r="913" spans="12:13" x14ac:dyDescent="0.2">
      <c r="L913" s="48"/>
      <c r="M913" s="48"/>
    </row>
    <row r="914" spans="12:13" x14ac:dyDescent="0.2">
      <c r="L914" s="48"/>
      <c r="M914" s="48"/>
    </row>
    <row r="915" spans="12:13" x14ac:dyDescent="0.2">
      <c r="L915" s="48"/>
      <c r="M915" s="48"/>
    </row>
    <row r="916" spans="12:13" x14ac:dyDescent="0.2">
      <c r="L916" s="48"/>
      <c r="M916" s="48"/>
    </row>
    <row r="917" spans="12:13" x14ac:dyDescent="0.2">
      <c r="L917" s="48"/>
      <c r="M917" s="48"/>
    </row>
    <row r="918" spans="12:13" x14ac:dyDescent="0.2">
      <c r="L918" s="48"/>
      <c r="M918" s="48"/>
    </row>
    <row r="919" spans="12:13" x14ac:dyDescent="0.2">
      <c r="L919" s="48"/>
      <c r="M919" s="48"/>
    </row>
    <row r="920" spans="12:13" x14ac:dyDescent="0.2">
      <c r="L920" s="48"/>
      <c r="M920" s="48"/>
    </row>
    <row r="921" spans="12:13" x14ac:dyDescent="0.2">
      <c r="L921" s="48"/>
      <c r="M921" s="48"/>
    </row>
    <row r="922" spans="12:13" x14ac:dyDescent="0.2">
      <c r="L922" s="48"/>
      <c r="M922" s="48"/>
    </row>
    <row r="923" spans="12:13" x14ac:dyDescent="0.2">
      <c r="L923" s="48"/>
      <c r="M923" s="48"/>
    </row>
    <row r="924" spans="12:13" x14ac:dyDescent="0.2">
      <c r="L924" s="48"/>
      <c r="M924" s="48"/>
    </row>
    <row r="925" spans="12:13" x14ac:dyDescent="0.2">
      <c r="L925" s="48"/>
      <c r="M925" s="48"/>
    </row>
    <row r="926" spans="12:13" x14ac:dyDescent="0.2">
      <c r="L926" s="48"/>
      <c r="M926" s="48"/>
    </row>
    <row r="927" spans="12:13" x14ac:dyDescent="0.2">
      <c r="L927" s="48"/>
      <c r="M927" s="48"/>
    </row>
    <row r="928" spans="12:13" x14ac:dyDescent="0.2">
      <c r="L928" s="48"/>
      <c r="M928" s="48"/>
    </row>
    <row r="929" spans="12:13" x14ac:dyDescent="0.2">
      <c r="L929" s="48"/>
      <c r="M929" s="48"/>
    </row>
    <row r="930" spans="12:13" x14ac:dyDescent="0.2">
      <c r="L930" s="48"/>
      <c r="M930" s="48"/>
    </row>
    <row r="931" spans="12:13" x14ac:dyDescent="0.2">
      <c r="L931" s="48"/>
      <c r="M931" s="48"/>
    </row>
    <row r="932" spans="12:13" x14ac:dyDescent="0.2">
      <c r="L932" s="48"/>
      <c r="M932" s="48"/>
    </row>
    <row r="933" spans="12:13" x14ac:dyDescent="0.2">
      <c r="L933" s="48"/>
      <c r="M933" s="48"/>
    </row>
    <row r="934" spans="12:13" x14ac:dyDescent="0.2">
      <c r="L934" s="48"/>
      <c r="M934" s="48"/>
    </row>
    <row r="935" spans="12:13" x14ac:dyDescent="0.2">
      <c r="L935" s="48"/>
      <c r="M935" s="48"/>
    </row>
    <row r="936" spans="12:13" x14ac:dyDescent="0.2">
      <c r="L936" s="48"/>
      <c r="M936" s="48"/>
    </row>
    <row r="937" spans="12:13" x14ac:dyDescent="0.2">
      <c r="L937" s="48"/>
      <c r="M937" s="48"/>
    </row>
    <row r="938" spans="12:13" x14ac:dyDescent="0.2">
      <c r="L938" s="48"/>
      <c r="M938" s="48"/>
    </row>
    <row r="939" spans="12:13" x14ac:dyDescent="0.2">
      <c r="L939" s="48"/>
      <c r="M939" s="48"/>
    </row>
    <row r="940" spans="12:13" x14ac:dyDescent="0.2">
      <c r="L940" s="48"/>
      <c r="M940" s="48"/>
    </row>
    <row r="941" spans="12:13" x14ac:dyDescent="0.2">
      <c r="L941" s="48"/>
      <c r="M941" s="48"/>
    </row>
    <row r="942" spans="12:13" x14ac:dyDescent="0.2">
      <c r="L942" s="48"/>
      <c r="M942" s="48"/>
    </row>
    <row r="943" spans="12:13" x14ac:dyDescent="0.2">
      <c r="L943" s="48"/>
      <c r="M943" s="48"/>
    </row>
    <row r="944" spans="12:13" x14ac:dyDescent="0.2">
      <c r="L944" s="48"/>
      <c r="M944" s="48"/>
    </row>
    <row r="945" spans="12:13" x14ac:dyDescent="0.2">
      <c r="L945" s="48"/>
      <c r="M945" s="48"/>
    </row>
    <row r="946" spans="12:13" x14ac:dyDescent="0.2">
      <c r="L946" s="48"/>
      <c r="M946" s="48"/>
    </row>
    <row r="947" spans="12:13" x14ac:dyDescent="0.2">
      <c r="L947" s="48"/>
      <c r="M947" s="48"/>
    </row>
    <row r="948" spans="12:13" x14ac:dyDescent="0.2">
      <c r="L948" s="48"/>
      <c r="M948" s="48"/>
    </row>
    <row r="949" spans="12:13" x14ac:dyDescent="0.2">
      <c r="L949" s="48"/>
      <c r="M949" s="48"/>
    </row>
    <row r="950" spans="12:13" x14ac:dyDescent="0.2">
      <c r="L950" s="48"/>
      <c r="M950" s="48"/>
    </row>
    <row r="951" spans="12:13" x14ac:dyDescent="0.2">
      <c r="L951" s="48"/>
      <c r="M951" s="48"/>
    </row>
    <row r="952" spans="12:13" x14ac:dyDescent="0.2">
      <c r="L952" s="48"/>
      <c r="M952" s="48"/>
    </row>
    <row r="953" spans="12:13" x14ac:dyDescent="0.2">
      <c r="L953" s="48"/>
      <c r="M953" s="48"/>
    </row>
    <row r="954" spans="12:13" x14ac:dyDescent="0.2">
      <c r="L954" s="48"/>
      <c r="M954" s="48"/>
    </row>
    <row r="955" spans="12:13" x14ac:dyDescent="0.2">
      <c r="L955" s="48"/>
      <c r="M955" s="48"/>
    </row>
    <row r="956" spans="12:13" x14ac:dyDescent="0.2">
      <c r="L956" s="48"/>
      <c r="M956" s="48"/>
    </row>
    <row r="957" spans="12:13" x14ac:dyDescent="0.2">
      <c r="L957" s="48"/>
      <c r="M957" s="48"/>
    </row>
    <row r="958" spans="12:13" x14ac:dyDescent="0.2">
      <c r="L958" s="48"/>
      <c r="M958" s="48"/>
    </row>
    <row r="959" spans="12:13" x14ac:dyDescent="0.2">
      <c r="L959" s="48"/>
      <c r="M959" s="48"/>
    </row>
    <row r="960" spans="12:13" x14ac:dyDescent="0.2">
      <c r="L960" s="48"/>
      <c r="M960" s="48"/>
    </row>
    <row r="961" spans="12:13" x14ac:dyDescent="0.2">
      <c r="L961" s="48"/>
      <c r="M961" s="48"/>
    </row>
    <row r="962" spans="12:13" x14ac:dyDescent="0.2">
      <c r="L962" s="48"/>
      <c r="M962" s="48"/>
    </row>
    <row r="963" spans="12:13" x14ac:dyDescent="0.2">
      <c r="L963" s="48"/>
      <c r="M963" s="48"/>
    </row>
    <row r="964" spans="12:13" x14ac:dyDescent="0.2">
      <c r="L964" s="48"/>
      <c r="M964" s="48"/>
    </row>
    <row r="965" spans="12:13" x14ac:dyDescent="0.2">
      <c r="L965" s="48"/>
      <c r="M965" s="48"/>
    </row>
    <row r="966" spans="12:13" x14ac:dyDescent="0.2">
      <c r="L966" s="48"/>
      <c r="M966" s="48"/>
    </row>
    <row r="967" spans="12:13" x14ac:dyDescent="0.2">
      <c r="L967" s="48"/>
      <c r="M967" s="48"/>
    </row>
    <row r="968" spans="12:13" x14ac:dyDescent="0.2">
      <c r="L968" s="48"/>
      <c r="M968" s="48"/>
    </row>
    <row r="969" spans="12:13" x14ac:dyDescent="0.2">
      <c r="L969" s="48"/>
      <c r="M969" s="48"/>
    </row>
    <row r="970" spans="12:13" x14ac:dyDescent="0.2">
      <c r="L970" s="48"/>
      <c r="M970" s="48"/>
    </row>
    <row r="971" spans="12:13" x14ac:dyDescent="0.2">
      <c r="L971" s="48"/>
      <c r="M971" s="48"/>
    </row>
    <row r="972" spans="12:13" x14ac:dyDescent="0.2">
      <c r="L972" s="48"/>
      <c r="M972" s="48"/>
    </row>
    <row r="973" spans="12:13" x14ac:dyDescent="0.2">
      <c r="L973" s="48"/>
      <c r="M973" s="48"/>
    </row>
    <row r="974" spans="12:13" x14ac:dyDescent="0.2">
      <c r="L974" s="48"/>
      <c r="M974" s="48"/>
    </row>
    <row r="975" spans="12:13" x14ac:dyDescent="0.2">
      <c r="L975" s="48"/>
      <c r="M975" s="48"/>
    </row>
    <row r="976" spans="12:13" x14ac:dyDescent="0.2">
      <c r="L976" s="48"/>
      <c r="M976" s="48"/>
    </row>
    <row r="977" spans="12:13" x14ac:dyDescent="0.2">
      <c r="L977" s="48"/>
      <c r="M977" s="48"/>
    </row>
    <row r="978" spans="12:13" x14ac:dyDescent="0.2">
      <c r="L978" s="48"/>
      <c r="M978" s="48"/>
    </row>
    <row r="979" spans="12:13" x14ac:dyDescent="0.2">
      <c r="L979" s="48"/>
      <c r="M979" s="48"/>
    </row>
    <row r="980" spans="12:13" x14ac:dyDescent="0.2">
      <c r="L980" s="48"/>
      <c r="M980" s="48"/>
    </row>
    <row r="981" spans="12:13" x14ac:dyDescent="0.2">
      <c r="L981" s="48"/>
      <c r="M981" s="48"/>
    </row>
    <row r="982" spans="12:13" x14ac:dyDescent="0.2">
      <c r="L982" s="48"/>
      <c r="M982" s="48"/>
    </row>
    <row r="983" spans="12:13" x14ac:dyDescent="0.2">
      <c r="L983" s="48"/>
      <c r="M983" s="48"/>
    </row>
    <row r="984" spans="12:13" x14ac:dyDescent="0.2">
      <c r="L984" s="48"/>
      <c r="M984" s="48"/>
    </row>
    <row r="985" spans="12:13" x14ac:dyDescent="0.2">
      <c r="L985" s="48"/>
      <c r="M985" s="48"/>
    </row>
    <row r="986" spans="12:13" x14ac:dyDescent="0.2">
      <c r="L986" s="48"/>
      <c r="M986" s="48"/>
    </row>
    <row r="987" spans="12:13" x14ac:dyDescent="0.2">
      <c r="L987" s="48"/>
      <c r="M987" s="48"/>
    </row>
    <row r="988" spans="12:13" x14ac:dyDescent="0.2">
      <c r="L988" s="48"/>
      <c r="M988" s="48"/>
    </row>
    <row r="989" spans="12:13" x14ac:dyDescent="0.2">
      <c r="L989" s="48"/>
      <c r="M989" s="48"/>
    </row>
    <row r="990" spans="12:13" x14ac:dyDescent="0.2">
      <c r="L990" s="48"/>
      <c r="M990" s="48"/>
    </row>
    <row r="991" spans="12:13" x14ac:dyDescent="0.2">
      <c r="L991" s="48"/>
      <c r="M991" s="48"/>
    </row>
    <row r="992" spans="12:13" x14ac:dyDescent="0.2">
      <c r="L992" s="48"/>
      <c r="M992" s="48"/>
    </row>
    <row r="993" spans="12:13" x14ac:dyDescent="0.2">
      <c r="L993" s="48"/>
      <c r="M993" s="48"/>
    </row>
    <row r="994" spans="12:13" x14ac:dyDescent="0.2">
      <c r="L994" s="48"/>
      <c r="M994" s="48"/>
    </row>
    <row r="995" spans="12:13" x14ac:dyDescent="0.2">
      <c r="L995" s="48"/>
      <c r="M995" s="48"/>
    </row>
    <row r="996" spans="12:13" x14ac:dyDescent="0.2">
      <c r="L996" s="48"/>
      <c r="M996" s="48"/>
    </row>
    <row r="997" spans="12:13" x14ac:dyDescent="0.2">
      <c r="L997" s="48"/>
      <c r="M997" s="48"/>
    </row>
    <row r="998" spans="12:13" x14ac:dyDescent="0.2">
      <c r="L998" s="48"/>
      <c r="M998" s="48"/>
    </row>
    <row r="999" spans="12:13" x14ac:dyDescent="0.2">
      <c r="L999" s="48"/>
      <c r="M999" s="48"/>
    </row>
    <row r="1000" spans="12:13" x14ac:dyDescent="0.2">
      <c r="L1000" s="48"/>
      <c r="M1000" s="48"/>
    </row>
    <row r="1001" spans="12:13" x14ac:dyDescent="0.2">
      <c r="L1001" s="48"/>
      <c r="M1001" s="48"/>
    </row>
    <row r="1002" spans="12:13" x14ac:dyDescent="0.2">
      <c r="L1002" s="48"/>
      <c r="M1002" s="48"/>
    </row>
    <row r="1003" spans="12:13" x14ac:dyDescent="0.2">
      <c r="L1003" s="48"/>
      <c r="M1003" s="48"/>
    </row>
    <row r="1004" spans="12:13" x14ac:dyDescent="0.2">
      <c r="L1004" s="48"/>
      <c r="M1004" s="48"/>
    </row>
    <row r="1005" spans="12:13" x14ac:dyDescent="0.2">
      <c r="L1005" s="48"/>
      <c r="M1005" s="48"/>
    </row>
    <row r="1006" spans="12:13" x14ac:dyDescent="0.2">
      <c r="L1006" s="48"/>
      <c r="M1006" s="48"/>
    </row>
    <row r="1007" spans="12:13" x14ac:dyDescent="0.2">
      <c r="L1007" s="48"/>
      <c r="M1007" s="48"/>
    </row>
    <row r="1008" spans="12:13" x14ac:dyDescent="0.2">
      <c r="L1008" s="48"/>
      <c r="M1008" s="48"/>
    </row>
    <row r="1009" spans="12:13" x14ac:dyDescent="0.2">
      <c r="L1009" s="48"/>
      <c r="M1009" s="48"/>
    </row>
    <row r="1010" spans="12:13" x14ac:dyDescent="0.2">
      <c r="L1010" s="48"/>
      <c r="M1010" s="48"/>
    </row>
    <row r="1011" spans="12:13" x14ac:dyDescent="0.2">
      <c r="L1011" s="48"/>
      <c r="M1011" s="48"/>
    </row>
    <row r="1012" spans="12:13" x14ac:dyDescent="0.2">
      <c r="L1012" s="48"/>
      <c r="M1012" s="48"/>
    </row>
    <row r="1013" spans="12:13" x14ac:dyDescent="0.2">
      <c r="L1013" s="48"/>
      <c r="M1013" s="48"/>
    </row>
    <row r="1014" spans="12:13" x14ac:dyDescent="0.2">
      <c r="L1014" s="48"/>
      <c r="M1014" s="48"/>
    </row>
    <row r="1015" spans="12:13" x14ac:dyDescent="0.2">
      <c r="L1015" s="48"/>
      <c r="M1015" s="48"/>
    </row>
    <row r="1016" spans="12:13" x14ac:dyDescent="0.2">
      <c r="L1016" s="48"/>
      <c r="M1016" s="48"/>
    </row>
    <row r="1017" spans="12:13" x14ac:dyDescent="0.2">
      <c r="L1017" s="48"/>
      <c r="M1017" s="48"/>
    </row>
    <row r="1018" spans="12:13" x14ac:dyDescent="0.2">
      <c r="L1018" s="48"/>
      <c r="M1018" s="48"/>
    </row>
    <row r="1019" spans="12:13" x14ac:dyDescent="0.2">
      <c r="L1019" s="48"/>
      <c r="M1019" s="48"/>
    </row>
    <row r="1020" spans="12:13" x14ac:dyDescent="0.2">
      <c r="L1020" s="48"/>
      <c r="M1020" s="48"/>
    </row>
    <row r="1021" spans="12:13" x14ac:dyDescent="0.2">
      <c r="L1021" s="48"/>
      <c r="M1021" s="48"/>
    </row>
    <row r="1022" spans="12:13" x14ac:dyDescent="0.2">
      <c r="L1022" s="48"/>
      <c r="M1022" s="48"/>
    </row>
    <row r="1023" spans="12:13" x14ac:dyDescent="0.2">
      <c r="L1023" s="48"/>
      <c r="M1023" s="48"/>
    </row>
    <row r="1024" spans="12:13" x14ac:dyDescent="0.2">
      <c r="L1024" s="48"/>
      <c r="M1024" s="48"/>
    </row>
    <row r="1025" spans="12:13" x14ac:dyDescent="0.2">
      <c r="L1025" s="48"/>
      <c r="M1025" s="48"/>
    </row>
    <row r="1026" spans="12:13" x14ac:dyDescent="0.2">
      <c r="L1026" s="48"/>
      <c r="M1026" s="48"/>
    </row>
    <row r="1027" spans="12:13" x14ac:dyDescent="0.2">
      <c r="L1027" s="48"/>
      <c r="M1027" s="48"/>
    </row>
    <row r="1028" spans="12:13" x14ac:dyDescent="0.2">
      <c r="L1028" s="48"/>
      <c r="M1028" s="48"/>
    </row>
    <row r="1029" spans="12:13" x14ac:dyDescent="0.2">
      <c r="L1029" s="48"/>
      <c r="M1029" s="48"/>
    </row>
    <row r="1030" spans="12:13" x14ac:dyDescent="0.2">
      <c r="L1030" s="48"/>
      <c r="M1030" s="48"/>
    </row>
    <row r="1031" spans="12:13" x14ac:dyDescent="0.2">
      <c r="L1031" s="48"/>
      <c r="M1031" s="48"/>
    </row>
    <row r="1032" spans="12:13" x14ac:dyDescent="0.2">
      <c r="L1032" s="48"/>
      <c r="M1032" s="48"/>
    </row>
    <row r="1033" spans="12:13" x14ac:dyDescent="0.2">
      <c r="L1033" s="48"/>
      <c r="M1033" s="48"/>
    </row>
    <row r="1034" spans="12:13" x14ac:dyDescent="0.2">
      <c r="L1034" s="48"/>
      <c r="M1034" s="48"/>
    </row>
    <row r="1035" spans="12:13" x14ac:dyDescent="0.2">
      <c r="L1035" s="48"/>
      <c r="M1035" s="48"/>
    </row>
    <row r="1036" spans="12:13" x14ac:dyDescent="0.2">
      <c r="L1036" s="48"/>
      <c r="M1036" s="48"/>
    </row>
    <row r="1037" spans="12:13" x14ac:dyDescent="0.2">
      <c r="L1037" s="48"/>
      <c r="M1037" s="48"/>
    </row>
    <row r="1038" spans="12:13" x14ac:dyDescent="0.2">
      <c r="L1038" s="48"/>
      <c r="M1038" s="48"/>
    </row>
    <row r="1039" spans="12:13" x14ac:dyDescent="0.2">
      <c r="L1039" s="48"/>
      <c r="M1039" s="48"/>
    </row>
    <row r="1040" spans="12:13" x14ac:dyDescent="0.2">
      <c r="L1040" s="48"/>
      <c r="M1040" s="48"/>
    </row>
    <row r="1041" spans="12:13" x14ac:dyDescent="0.2">
      <c r="L1041" s="48"/>
      <c r="M1041" s="48"/>
    </row>
    <row r="1042" spans="12:13" x14ac:dyDescent="0.2">
      <c r="L1042" s="48"/>
      <c r="M1042" s="48"/>
    </row>
    <row r="1043" spans="12:13" x14ac:dyDescent="0.2">
      <c r="L1043" s="48"/>
      <c r="M1043" s="48"/>
    </row>
    <row r="1044" spans="12:13" x14ac:dyDescent="0.2">
      <c r="L1044" s="48"/>
      <c r="M1044" s="48"/>
    </row>
    <row r="1045" spans="12:13" x14ac:dyDescent="0.2">
      <c r="L1045" s="48"/>
      <c r="M1045" s="48"/>
    </row>
    <row r="1046" spans="12:13" x14ac:dyDescent="0.2">
      <c r="L1046" s="48"/>
      <c r="M1046" s="48"/>
    </row>
    <row r="1047" spans="12:13" x14ac:dyDescent="0.2">
      <c r="L1047" s="48"/>
      <c r="M1047" s="48"/>
    </row>
    <row r="1048" spans="12:13" x14ac:dyDescent="0.2">
      <c r="L1048" s="48"/>
      <c r="M1048" s="48"/>
    </row>
    <row r="1049" spans="12:13" x14ac:dyDescent="0.2">
      <c r="L1049" s="48"/>
      <c r="M1049" s="48"/>
    </row>
    <row r="1050" spans="12:13" x14ac:dyDescent="0.2">
      <c r="L1050" s="48"/>
      <c r="M1050" s="48"/>
    </row>
    <row r="1051" spans="12:13" x14ac:dyDescent="0.2">
      <c r="L1051" s="48"/>
      <c r="M1051" s="48"/>
    </row>
    <row r="1052" spans="12:13" x14ac:dyDescent="0.2">
      <c r="L1052" s="48"/>
      <c r="M1052" s="48"/>
    </row>
    <row r="1053" spans="12:13" x14ac:dyDescent="0.2">
      <c r="L1053" s="48"/>
      <c r="M1053" s="48"/>
    </row>
    <row r="1054" spans="12:13" x14ac:dyDescent="0.2">
      <c r="L1054" s="48"/>
      <c r="M1054" s="48"/>
    </row>
    <row r="1055" spans="12:13" x14ac:dyDescent="0.2">
      <c r="L1055" s="48"/>
      <c r="M1055" s="48"/>
    </row>
    <row r="1056" spans="12:13" x14ac:dyDescent="0.2">
      <c r="L1056" s="48"/>
      <c r="M1056" s="48"/>
    </row>
    <row r="1057" spans="12:13" x14ac:dyDescent="0.2">
      <c r="L1057" s="48"/>
      <c r="M1057" s="48"/>
    </row>
    <row r="1058" spans="12:13" x14ac:dyDescent="0.2">
      <c r="L1058" s="48"/>
      <c r="M1058" s="48"/>
    </row>
    <row r="1059" spans="12:13" x14ac:dyDescent="0.2">
      <c r="L1059" s="48"/>
      <c r="M1059" s="48"/>
    </row>
    <row r="1060" spans="12:13" x14ac:dyDescent="0.2">
      <c r="L1060" s="48"/>
      <c r="M1060" s="48"/>
    </row>
    <row r="1061" spans="12:13" x14ac:dyDescent="0.2">
      <c r="L1061" s="48"/>
      <c r="M1061" s="48"/>
    </row>
    <row r="1062" spans="12:13" x14ac:dyDescent="0.2">
      <c r="L1062" s="48"/>
      <c r="M1062" s="48"/>
    </row>
    <row r="1063" spans="12:13" x14ac:dyDescent="0.2">
      <c r="L1063" s="48"/>
      <c r="M1063" s="48"/>
    </row>
    <row r="1064" spans="12:13" x14ac:dyDescent="0.2">
      <c r="L1064" s="48"/>
      <c r="M1064" s="48"/>
    </row>
    <row r="1065" spans="12:13" x14ac:dyDescent="0.2">
      <c r="L1065" s="48"/>
      <c r="M1065" s="48"/>
    </row>
    <row r="1066" spans="12:13" x14ac:dyDescent="0.2">
      <c r="L1066" s="48"/>
      <c r="M1066" s="48"/>
    </row>
    <row r="1067" spans="12:13" x14ac:dyDescent="0.2">
      <c r="L1067" s="48"/>
      <c r="M1067" s="48"/>
    </row>
    <row r="1068" spans="12:13" x14ac:dyDescent="0.2">
      <c r="L1068" s="48"/>
      <c r="M1068" s="48"/>
    </row>
    <row r="1069" spans="12:13" x14ac:dyDescent="0.2">
      <c r="L1069" s="48"/>
      <c r="M1069" s="48"/>
    </row>
    <row r="1070" spans="12:13" x14ac:dyDescent="0.2">
      <c r="L1070" s="48"/>
      <c r="M1070" s="48"/>
    </row>
    <row r="1071" spans="12:13" x14ac:dyDescent="0.2">
      <c r="L1071" s="48"/>
      <c r="M1071" s="48"/>
    </row>
    <row r="1072" spans="12:13" x14ac:dyDescent="0.2">
      <c r="L1072" s="48"/>
      <c r="M1072" s="48"/>
    </row>
    <row r="1073" spans="12:13" x14ac:dyDescent="0.2">
      <c r="L1073" s="48"/>
      <c r="M1073" s="48"/>
    </row>
    <row r="1074" spans="12:13" x14ac:dyDescent="0.2">
      <c r="L1074" s="48"/>
      <c r="M1074" s="48"/>
    </row>
    <row r="1075" spans="12:13" x14ac:dyDescent="0.2">
      <c r="L1075" s="48"/>
      <c r="M1075" s="48"/>
    </row>
    <row r="1076" spans="12:13" x14ac:dyDescent="0.2">
      <c r="L1076" s="48"/>
      <c r="M1076" s="48"/>
    </row>
    <row r="1077" spans="12:13" x14ac:dyDescent="0.2">
      <c r="L1077" s="48"/>
      <c r="M1077" s="48"/>
    </row>
    <row r="1078" spans="12:13" x14ac:dyDescent="0.2">
      <c r="L1078" s="48"/>
      <c r="M1078" s="48"/>
    </row>
    <row r="1079" spans="12:13" x14ac:dyDescent="0.2">
      <c r="L1079" s="48"/>
      <c r="M1079" s="48"/>
    </row>
    <row r="1080" spans="12:13" x14ac:dyDescent="0.2">
      <c r="L1080" s="48"/>
      <c r="M1080" s="48"/>
    </row>
    <row r="1081" spans="12:13" x14ac:dyDescent="0.2">
      <c r="L1081" s="48"/>
      <c r="M1081" s="48"/>
    </row>
    <row r="1082" spans="12:13" x14ac:dyDescent="0.2">
      <c r="L1082" s="48"/>
      <c r="M1082" s="48"/>
    </row>
    <row r="1083" spans="12:13" x14ac:dyDescent="0.2">
      <c r="L1083" s="48"/>
      <c r="M1083" s="48"/>
    </row>
    <row r="1084" spans="12:13" x14ac:dyDescent="0.2">
      <c r="L1084" s="48"/>
      <c r="M1084" s="48"/>
    </row>
    <row r="1085" spans="12:13" x14ac:dyDescent="0.2">
      <c r="L1085" s="48"/>
      <c r="M1085" s="48"/>
    </row>
    <row r="1086" spans="12:13" x14ac:dyDescent="0.2">
      <c r="L1086" s="48"/>
      <c r="M1086" s="48"/>
    </row>
    <row r="1087" spans="12:13" x14ac:dyDescent="0.2">
      <c r="L1087" s="48"/>
      <c r="M1087" s="48"/>
    </row>
    <row r="1088" spans="12:13" x14ac:dyDescent="0.2">
      <c r="L1088" s="48"/>
      <c r="M1088" s="48"/>
    </row>
    <row r="1089" spans="12:13" x14ac:dyDescent="0.2">
      <c r="L1089" s="48"/>
      <c r="M1089" s="48"/>
    </row>
    <row r="1090" spans="12:13" x14ac:dyDescent="0.2">
      <c r="L1090" s="48"/>
      <c r="M1090" s="48"/>
    </row>
    <row r="1091" spans="12:13" x14ac:dyDescent="0.2">
      <c r="L1091" s="48"/>
      <c r="M1091" s="48"/>
    </row>
    <row r="1092" spans="12:13" x14ac:dyDescent="0.2">
      <c r="L1092" s="48"/>
      <c r="M1092" s="48"/>
    </row>
    <row r="1093" spans="12:13" x14ac:dyDescent="0.2">
      <c r="L1093" s="48"/>
      <c r="M1093" s="48"/>
    </row>
    <row r="1094" spans="12:13" x14ac:dyDescent="0.2">
      <c r="L1094" s="48"/>
      <c r="M1094" s="48"/>
    </row>
    <row r="1095" spans="12:13" x14ac:dyDescent="0.2">
      <c r="L1095" s="48"/>
      <c r="M1095" s="48"/>
    </row>
    <row r="1096" spans="12:13" x14ac:dyDescent="0.2">
      <c r="L1096" s="48"/>
      <c r="M1096" s="48"/>
    </row>
    <row r="1097" spans="12:13" x14ac:dyDescent="0.2">
      <c r="L1097" s="48"/>
      <c r="M1097" s="48"/>
    </row>
    <row r="1098" spans="12:13" x14ac:dyDescent="0.2">
      <c r="L1098" s="48"/>
      <c r="M1098" s="48"/>
    </row>
    <row r="1099" spans="12:13" x14ac:dyDescent="0.2">
      <c r="L1099" s="48"/>
      <c r="M1099" s="48"/>
    </row>
    <row r="1100" spans="12:13" x14ac:dyDescent="0.2">
      <c r="L1100" s="48"/>
      <c r="M1100" s="48"/>
    </row>
    <row r="1101" spans="12:13" x14ac:dyDescent="0.2">
      <c r="L1101" s="48"/>
      <c r="M1101" s="48"/>
    </row>
    <row r="1102" spans="12:13" x14ac:dyDescent="0.2">
      <c r="L1102" s="48"/>
      <c r="M1102" s="48"/>
    </row>
    <row r="1103" spans="12:13" x14ac:dyDescent="0.2">
      <c r="L1103" s="48"/>
      <c r="M1103" s="48"/>
    </row>
    <row r="1104" spans="12:13" x14ac:dyDescent="0.2">
      <c r="L1104" s="48"/>
      <c r="M1104" s="48"/>
    </row>
    <row r="1105" spans="12:13" x14ac:dyDescent="0.2">
      <c r="L1105" s="48"/>
      <c r="M1105" s="48"/>
    </row>
    <row r="1106" spans="12:13" x14ac:dyDescent="0.2">
      <c r="L1106" s="48"/>
      <c r="M1106" s="48"/>
    </row>
    <row r="1107" spans="12:13" x14ac:dyDescent="0.2">
      <c r="L1107" s="48"/>
      <c r="M1107" s="48"/>
    </row>
    <row r="1108" spans="12:13" x14ac:dyDescent="0.2">
      <c r="L1108" s="48"/>
      <c r="M1108" s="48"/>
    </row>
    <row r="1109" spans="12:13" x14ac:dyDescent="0.2">
      <c r="L1109" s="48"/>
      <c r="M1109" s="48"/>
    </row>
    <row r="1110" spans="12:13" x14ac:dyDescent="0.2">
      <c r="L1110" s="48"/>
      <c r="M1110" s="48"/>
    </row>
    <row r="1111" spans="12:13" x14ac:dyDescent="0.2">
      <c r="L1111" s="48"/>
      <c r="M1111" s="48"/>
    </row>
    <row r="1112" spans="12:13" x14ac:dyDescent="0.2">
      <c r="L1112" s="48"/>
      <c r="M1112" s="48"/>
    </row>
    <row r="1113" spans="12:13" x14ac:dyDescent="0.2">
      <c r="L1113" s="48"/>
      <c r="M1113" s="48"/>
    </row>
    <row r="1114" spans="12:13" x14ac:dyDescent="0.2">
      <c r="L1114" s="48"/>
      <c r="M1114" s="48"/>
    </row>
    <row r="1115" spans="12:13" x14ac:dyDescent="0.2">
      <c r="L1115" s="48"/>
      <c r="M1115" s="48"/>
    </row>
    <row r="1116" spans="12:13" x14ac:dyDescent="0.2">
      <c r="L1116" s="48"/>
      <c r="M1116" s="48"/>
    </row>
    <row r="1117" spans="12:13" x14ac:dyDescent="0.2">
      <c r="L1117" s="48"/>
      <c r="M1117" s="48"/>
    </row>
    <row r="1118" spans="12:13" x14ac:dyDescent="0.2">
      <c r="L1118" s="48"/>
      <c r="M1118" s="48"/>
    </row>
    <row r="1119" spans="12:13" x14ac:dyDescent="0.2">
      <c r="L1119" s="48"/>
      <c r="M1119" s="48"/>
    </row>
    <row r="1120" spans="12:13" x14ac:dyDescent="0.2">
      <c r="L1120" s="48"/>
      <c r="M1120" s="48"/>
    </row>
    <row r="1121" spans="12:13" x14ac:dyDescent="0.2">
      <c r="L1121" s="48"/>
      <c r="M1121" s="48"/>
    </row>
    <row r="1122" spans="12:13" x14ac:dyDescent="0.2">
      <c r="L1122" s="48"/>
      <c r="M1122" s="48"/>
    </row>
    <row r="1123" spans="12:13" x14ac:dyDescent="0.2">
      <c r="L1123" s="48"/>
      <c r="M1123" s="48"/>
    </row>
    <row r="1124" spans="12:13" x14ac:dyDescent="0.2">
      <c r="L1124" s="48"/>
      <c r="M1124" s="48"/>
    </row>
    <row r="1125" spans="12:13" x14ac:dyDescent="0.2">
      <c r="L1125" s="48"/>
      <c r="M1125" s="48"/>
    </row>
    <row r="1126" spans="12:13" x14ac:dyDescent="0.2">
      <c r="L1126" s="48"/>
      <c r="M1126" s="48"/>
    </row>
    <row r="1127" spans="12:13" x14ac:dyDescent="0.2">
      <c r="L1127" s="48"/>
      <c r="M1127" s="48"/>
    </row>
    <row r="1128" spans="12:13" x14ac:dyDescent="0.2">
      <c r="L1128" s="48"/>
      <c r="M1128" s="48"/>
    </row>
    <row r="1129" spans="12:13" x14ac:dyDescent="0.2">
      <c r="L1129" s="48"/>
      <c r="M1129" s="48"/>
    </row>
    <row r="1130" spans="12:13" x14ac:dyDescent="0.2">
      <c r="L1130" s="48"/>
      <c r="M1130" s="48"/>
    </row>
    <row r="1131" spans="12:13" x14ac:dyDescent="0.2">
      <c r="L1131" s="48"/>
      <c r="M1131" s="48"/>
    </row>
    <row r="1132" spans="12:13" x14ac:dyDescent="0.2">
      <c r="L1132" s="48"/>
      <c r="M1132" s="48"/>
    </row>
    <row r="1133" spans="12:13" x14ac:dyDescent="0.2">
      <c r="L1133" s="48"/>
      <c r="M1133" s="48"/>
    </row>
    <row r="1134" spans="12:13" x14ac:dyDescent="0.2">
      <c r="L1134" s="48"/>
      <c r="M1134" s="48"/>
    </row>
    <row r="1135" spans="12:13" x14ac:dyDescent="0.2">
      <c r="L1135" s="48"/>
      <c r="M1135" s="48"/>
    </row>
    <row r="1136" spans="12:13" x14ac:dyDescent="0.2">
      <c r="L1136" s="48"/>
      <c r="M1136" s="48"/>
    </row>
    <row r="1137" spans="12:13" x14ac:dyDescent="0.2">
      <c r="L1137" s="48"/>
      <c r="M1137" s="48"/>
    </row>
    <row r="1138" spans="12:13" x14ac:dyDescent="0.2">
      <c r="L1138" s="48"/>
      <c r="M1138" s="48"/>
    </row>
    <row r="1139" spans="12:13" x14ac:dyDescent="0.2">
      <c r="L1139" s="48"/>
      <c r="M1139" s="48"/>
    </row>
    <row r="1140" spans="12:13" x14ac:dyDescent="0.2">
      <c r="L1140" s="48"/>
      <c r="M1140" s="48"/>
    </row>
    <row r="1141" spans="12:13" x14ac:dyDescent="0.2">
      <c r="L1141" s="48"/>
      <c r="M1141" s="48"/>
    </row>
    <row r="1142" spans="12:13" x14ac:dyDescent="0.2">
      <c r="L1142" s="48"/>
      <c r="M1142" s="48"/>
    </row>
    <row r="1143" spans="12:13" x14ac:dyDescent="0.2">
      <c r="L1143" s="48"/>
      <c r="M1143" s="48"/>
    </row>
    <row r="1144" spans="12:13" x14ac:dyDescent="0.2">
      <c r="L1144" s="48"/>
      <c r="M1144" s="48"/>
    </row>
    <row r="1145" spans="12:13" x14ac:dyDescent="0.2">
      <c r="L1145" s="48"/>
      <c r="M1145" s="48"/>
    </row>
    <row r="1146" spans="12:13" x14ac:dyDescent="0.2">
      <c r="L1146" s="48"/>
      <c r="M1146" s="48"/>
    </row>
    <row r="1147" spans="12:13" x14ac:dyDescent="0.2">
      <c r="L1147" s="48"/>
      <c r="M1147" s="48"/>
    </row>
    <row r="1148" spans="12:13" x14ac:dyDescent="0.2">
      <c r="L1148" s="48"/>
      <c r="M1148" s="48"/>
    </row>
    <row r="1149" spans="12:13" x14ac:dyDescent="0.2">
      <c r="L1149" s="48"/>
      <c r="M1149" s="48"/>
    </row>
    <row r="1150" spans="12:13" x14ac:dyDescent="0.2">
      <c r="L1150" s="48"/>
      <c r="M1150" s="48"/>
    </row>
    <row r="1151" spans="12:13" x14ac:dyDescent="0.2">
      <c r="L1151" s="48"/>
      <c r="M1151" s="48"/>
    </row>
    <row r="1152" spans="12:13" x14ac:dyDescent="0.2">
      <c r="L1152" s="48"/>
      <c r="M1152" s="48"/>
    </row>
    <row r="1153" spans="12:13" x14ac:dyDescent="0.2">
      <c r="L1153" s="48"/>
      <c r="M1153" s="48"/>
    </row>
    <row r="1154" spans="12:13" x14ac:dyDescent="0.2">
      <c r="L1154" s="48"/>
      <c r="M1154" s="48"/>
    </row>
    <row r="1155" spans="12:13" x14ac:dyDescent="0.2">
      <c r="L1155" s="48"/>
      <c r="M1155" s="48"/>
    </row>
    <row r="1156" spans="12:13" x14ac:dyDescent="0.2">
      <c r="L1156" s="48"/>
      <c r="M1156" s="48"/>
    </row>
    <row r="1157" spans="12:13" x14ac:dyDescent="0.2">
      <c r="L1157" s="48"/>
      <c r="M1157" s="48"/>
    </row>
    <row r="1158" spans="12:13" x14ac:dyDescent="0.2">
      <c r="L1158" s="48"/>
      <c r="M1158" s="48"/>
    </row>
    <row r="1159" spans="12:13" x14ac:dyDescent="0.2">
      <c r="L1159" s="48"/>
      <c r="M1159" s="48"/>
    </row>
    <row r="1160" spans="12:13" x14ac:dyDescent="0.2">
      <c r="L1160" s="48"/>
      <c r="M1160" s="48"/>
    </row>
    <row r="1161" spans="12:13" x14ac:dyDescent="0.2">
      <c r="L1161" s="48"/>
      <c r="M1161" s="48"/>
    </row>
    <row r="1162" spans="12:13" x14ac:dyDescent="0.2">
      <c r="L1162" s="48"/>
      <c r="M1162" s="48"/>
    </row>
    <row r="1163" spans="12:13" x14ac:dyDescent="0.2">
      <c r="L1163" s="48"/>
      <c r="M1163" s="48"/>
    </row>
    <row r="1164" spans="12:13" x14ac:dyDescent="0.2">
      <c r="L1164" s="48"/>
      <c r="M1164" s="48"/>
    </row>
    <row r="1165" spans="12:13" x14ac:dyDescent="0.2">
      <c r="L1165" s="48"/>
      <c r="M1165" s="48"/>
    </row>
    <row r="1166" spans="12:13" x14ac:dyDescent="0.2">
      <c r="L1166" s="48"/>
      <c r="M1166" s="48"/>
    </row>
    <row r="1167" spans="12:13" x14ac:dyDescent="0.2">
      <c r="L1167" s="48"/>
      <c r="M1167" s="48"/>
    </row>
    <row r="1168" spans="12:13" x14ac:dyDescent="0.2">
      <c r="L1168" s="48"/>
      <c r="M1168" s="48"/>
    </row>
    <row r="1169" spans="12:13" x14ac:dyDescent="0.2">
      <c r="L1169" s="48"/>
      <c r="M1169" s="48"/>
    </row>
    <row r="1170" spans="12:13" x14ac:dyDescent="0.2">
      <c r="L1170" s="48"/>
      <c r="M1170" s="48"/>
    </row>
    <row r="1171" spans="12:13" x14ac:dyDescent="0.2">
      <c r="L1171" s="48"/>
      <c r="M1171" s="48"/>
    </row>
    <row r="1172" spans="12:13" x14ac:dyDescent="0.2">
      <c r="L1172" s="48"/>
      <c r="M1172" s="48"/>
    </row>
    <row r="1173" spans="12:13" x14ac:dyDescent="0.2">
      <c r="L1173" s="48"/>
      <c r="M1173" s="48"/>
    </row>
    <row r="1174" spans="12:13" x14ac:dyDescent="0.2">
      <c r="L1174" s="48"/>
      <c r="M1174" s="48"/>
    </row>
    <row r="1175" spans="12:13" x14ac:dyDescent="0.2">
      <c r="L1175" s="48"/>
      <c r="M1175" s="48"/>
    </row>
    <row r="1176" spans="12:13" x14ac:dyDescent="0.2">
      <c r="L1176" s="48"/>
      <c r="M1176" s="48"/>
    </row>
    <row r="1177" spans="12:13" x14ac:dyDescent="0.2">
      <c r="L1177" s="48"/>
      <c r="M1177" s="48"/>
    </row>
    <row r="1178" spans="12:13" x14ac:dyDescent="0.2">
      <c r="L1178" s="48"/>
      <c r="M1178" s="48"/>
    </row>
    <row r="1179" spans="12:13" x14ac:dyDescent="0.2">
      <c r="L1179" s="48"/>
      <c r="M1179" s="48"/>
    </row>
    <row r="1180" spans="12:13" x14ac:dyDescent="0.2">
      <c r="L1180" s="48"/>
      <c r="M1180" s="48"/>
    </row>
    <row r="1181" spans="12:13" x14ac:dyDescent="0.2">
      <c r="L1181" s="48"/>
      <c r="M1181" s="48"/>
    </row>
    <row r="1182" spans="12:13" x14ac:dyDescent="0.2">
      <c r="L1182" s="48"/>
      <c r="M1182" s="48"/>
    </row>
    <row r="1183" spans="12:13" x14ac:dyDescent="0.2">
      <c r="L1183" s="48"/>
      <c r="M1183" s="48"/>
    </row>
    <row r="1184" spans="12:13" x14ac:dyDescent="0.2">
      <c r="L1184" s="48"/>
      <c r="M1184" s="48"/>
    </row>
    <row r="1185" spans="12:13" x14ac:dyDescent="0.2">
      <c r="L1185" s="48"/>
      <c r="M1185" s="48"/>
    </row>
    <row r="1186" spans="12:13" x14ac:dyDescent="0.2">
      <c r="L1186" s="48"/>
      <c r="M1186" s="48"/>
    </row>
    <row r="1187" spans="12:13" x14ac:dyDescent="0.2">
      <c r="L1187" s="48"/>
      <c r="M1187" s="48"/>
    </row>
    <row r="1188" spans="12:13" x14ac:dyDescent="0.2">
      <c r="L1188" s="48"/>
      <c r="M1188" s="48"/>
    </row>
    <row r="1189" spans="12:13" x14ac:dyDescent="0.2">
      <c r="L1189" s="48"/>
      <c r="M1189" s="48"/>
    </row>
    <row r="1190" spans="12:13" x14ac:dyDescent="0.2">
      <c r="L1190" s="48"/>
      <c r="M1190" s="48"/>
    </row>
    <row r="1191" spans="12:13" x14ac:dyDescent="0.2">
      <c r="L1191" s="48"/>
      <c r="M1191" s="48"/>
    </row>
    <row r="1192" spans="12:13" x14ac:dyDescent="0.2">
      <c r="L1192" s="48"/>
      <c r="M1192" s="48"/>
    </row>
    <row r="1193" spans="12:13" x14ac:dyDescent="0.2">
      <c r="L1193" s="48"/>
      <c r="M1193" s="48"/>
    </row>
    <row r="1194" spans="12:13" x14ac:dyDescent="0.2">
      <c r="L1194" s="48"/>
      <c r="M1194" s="48"/>
    </row>
    <row r="1195" spans="12:13" x14ac:dyDescent="0.2">
      <c r="L1195" s="48"/>
      <c r="M1195" s="48"/>
    </row>
    <row r="1196" spans="12:13" x14ac:dyDescent="0.2">
      <c r="L1196" s="48"/>
      <c r="M1196" s="48"/>
    </row>
    <row r="1197" spans="12:13" x14ac:dyDescent="0.2">
      <c r="L1197" s="48"/>
      <c r="M1197" s="48"/>
    </row>
    <row r="1198" spans="12:13" x14ac:dyDescent="0.2">
      <c r="L1198" s="48"/>
      <c r="M1198" s="48"/>
    </row>
    <row r="1199" spans="12:13" x14ac:dyDescent="0.2">
      <c r="L1199" s="48"/>
      <c r="M1199" s="48"/>
    </row>
    <row r="1200" spans="12:13" x14ac:dyDescent="0.2">
      <c r="L1200" s="48"/>
      <c r="M1200" s="48"/>
    </row>
    <row r="1201" spans="12:13" x14ac:dyDescent="0.2">
      <c r="L1201" s="48"/>
      <c r="M1201" s="48"/>
    </row>
    <row r="1202" spans="12:13" x14ac:dyDescent="0.2">
      <c r="L1202" s="48"/>
      <c r="M1202" s="48"/>
    </row>
    <row r="1203" spans="12:13" x14ac:dyDescent="0.2">
      <c r="L1203" s="48"/>
      <c r="M1203" s="48"/>
    </row>
    <row r="1204" spans="12:13" x14ac:dyDescent="0.2">
      <c r="L1204" s="48"/>
      <c r="M1204" s="48"/>
    </row>
    <row r="1205" spans="12:13" x14ac:dyDescent="0.2">
      <c r="L1205" s="48"/>
      <c r="M1205" s="48"/>
    </row>
    <row r="1206" spans="12:13" x14ac:dyDescent="0.2">
      <c r="L1206" s="48"/>
      <c r="M1206" s="48"/>
    </row>
    <row r="1207" spans="12:13" x14ac:dyDescent="0.2">
      <c r="L1207" s="48"/>
      <c r="M1207" s="48"/>
    </row>
    <row r="1208" spans="12:13" x14ac:dyDescent="0.2">
      <c r="L1208" s="48"/>
      <c r="M1208" s="48"/>
    </row>
    <row r="1209" spans="12:13" x14ac:dyDescent="0.2">
      <c r="L1209" s="48"/>
      <c r="M1209" s="48"/>
    </row>
    <row r="1210" spans="12:13" x14ac:dyDescent="0.2">
      <c r="L1210" s="48"/>
      <c r="M1210" s="48"/>
    </row>
    <row r="1211" spans="12:13" x14ac:dyDescent="0.2">
      <c r="L1211" s="48"/>
      <c r="M1211" s="48"/>
    </row>
    <row r="1212" spans="12:13" x14ac:dyDescent="0.2">
      <c r="L1212" s="48"/>
      <c r="M1212" s="48"/>
    </row>
    <row r="1213" spans="12:13" x14ac:dyDescent="0.2">
      <c r="L1213" s="48"/>
      <c r="M1213" s="48"/>
    </row>
    <row r="1214" spans="12:13" x14ac:dyDescent="0.2">
      <c r="L1214" s="48"/>
      <c r="M1214" s="48"/>
    </row>
    <row r="1215" spans="12:13" x14ac:dyDescent="0.2">
      <c r="L1215" s="48"/>
      <c r="M1215" s="48"/>
    </row>
    <row r="1216" spans="12:13" x14ac:dyDescent="0.2">
      <c r="L1216" s="48"/>
      <c r="M1216" s="48"/>
    </row>
    <row r="1217" spans="12:13" x14ac:dyDescent="0.2">
      <c r="L1217" s="48"/>
      <c r="M1217" s="48"/>
    </row>
    <row r="1218" spans="12:13" x14ac:dyDescent="0.2">
      <c r="L1218" s="48"/>
      <c r="M1218" s="48"/>
    </row>
    <row r="1219" spans="12:13" x14ac:dyDescent="0.2">
      <c r="L1219" s="48"/>
      <c r="M1219" s="48"/>
    </row>
    <row r="1220" spans="12:13" x14ac:dyDescent="0.2">
      <c r="L1220" s="48"/>
      <c r="M1220" s="48"/>
    </row>
    <row r="1221" spans="12:13" x14ac:dyDescent="0.2">
      <c r="L1221" s="48"/>
      <c r="M1221" s="48"/>
    </row>
    <row r="1222" spans="12:13" x14ac:dyDescent="0.2">
      <c r="L1222" s="48"/>
      <c r="M1222" s="48"/>
    </row>
    <row r="1223" spans="12:13" x14ac:dyDescent="0.2">
      <c r="L1223" s="48"/>
      <c r="M1223" s="48"/>
    </row>
    <row r="1224" spans="12:13" x14ac:dyDescent="0.2">
      <c r="L1224" s="48"/>
      <c r="M1224" s="48"/>
    </row>
    <row r="1225" spans="12:13" x14ac:dyDescent="0.2">
      <c r="L1225" s="48"/>
      <c r="M1225" s="48"/>
    </row>
    <row r="1226" spans="12:13" x14ac:dyDescent="0.2">
      <c r="L1226" s="48"/>
      <c r="M1226" s="48"/>
    </row>
    <row r="1227" spans="12:13" x14ac:dyDescent="0.2">
      <c r="L1227" s="48"/>
      <c r="M1227" s="48"/>
    </row>
    <row r="1228" spans="12:13" x14ac:dyDescent="0.2">
      <c r="L1228" s="48"/>
      <c r="M1228" s="48"/>
    </row>
    <row r="1229" spans="12:13" x14ac:dyDescent="0.2">
      <c r="L1229" s="48"/>
      <c r="M1229" s="48"/>
    </row>
    <row r="1230" spans="12:13" x14ac:dyDescent="0.2">
      <c r="L1230" s="48"/>
      <c r="M1230" s="48"/>
    </row>
    <row r="1231" spans="12:13" x14ac:dyDescent="0.2">
      <c r="L1231" s="48"/>
      <c r="M1231" s="48"/>
    </row>
    <row r="1232" spans="12:13" x14ac:dyDescent="0.2">
      <c r="L1232" s="48"/>
      <c r="M1232" s="48"/>
    </row>
    <row r="1233" spans="12:13" x14ac:dyDescent="0.2">
      <c r="L1233" s="48"/>
      <c r="M1233" s="48"/>
    </row>
    <row r="1234" spans="12:13" x14ac:dyDescent="0.2">
      <c r="L1234" s="48"/>
      <c r="M1234" s="48"/>
    </row>
    <row r="1235" spans="12:13" x14ac:dyDescent="0.2">
      <c r="L1235" s="48"/>
      <c r="M1235" s="48"/>
    </row>
    <row r="1236" spans="12:13" x14ac:dyDescent="0.2">
      <c r="L1236" s="48"/>
      <c r="M1236" s="48"/>
    </row>
    <row r="1237" spans="12:13" x14ac:dyDescent="0.2">
      <c r="L1237" s="48"/>
      <c r="M1237" s="48"/>
    </row>
    <row r="1238" spans="12:13" x14ac:dyDescent="0.2">
      <c r="L1238" s="48"/>
      <c r="M1238" s="48"/>
    </row>
    <row r="1239" spans="12:13" x14ac:dyDescent="0.2">
      <c r="L1239" s="48"/>
      <c r="M1239" s="48"/>
    </row>
    <row r="1240" spans="12:13" x14ac:dyDescent="0.2">
      <c r="L1240" s="48"/>
      <c r="M1240" s="48"/>
    </row>
    <row r="1241" spans="12:13" x14ac:dyDescent="0.2">
      <c r="L1241" s="48"/>
      <c r="M1241" s="48"/>
    </row>
    <row r="1242" spans="12:13" x14ac:dyDescent="0.2">
      <c r="L1242" s="48"/>
      <c r="M1242" s="48"/>
    </row>
    <row r="1243" spans="12:13" x14ac:dyDescent="0.2">
      <c r="L1243" s="48"/>
      <c r="M1243" s="48"/>
    </row>
    <row r="1244" spans="12:13" x14ac:dyDescent="0.2">
      <c r="L1244" s="48"/>
      <c r="M1244" s="48"/>
    </row>
    <row r="1245" spans="12:13" x14ac:dyDescent="0.2">
      <c r="L1245" s="48"/>
      <c r="M1245" s="48"/>
    </row>
    <row r="1246" spans="12:13" x14ac:dyDescent="0.2">
      <c r="L1246" s="48"/>
      <c r="M1246" s="48"/>
    </row>
    <row r="1247" spans="12:13" x14ac:dyDescent="0.2">
      <c r="L1247" s="48"/>
      <c r="M1247" s="48"/>
    </row>
    <row r="1248" spans="12:13" x14ac:dyDescent="0.2">
      <c r="L1248" s="48"/>
      <c r="M1248" s="48"/>
    </row>
    <row r="1249" spans="12:13" x14ac:dyDescent="0.2">
      <c r="L1249" s="48"/>
      <c r="M1249" s="48"/>
    </row>
    <row r="1250" spans="12:13" x14ac:dyDescent="0.2">
      <c r="L1250" s="48"/>
      <c r="M1250" s="48"/>
    </row>
    <row r="1251" spans="12:13" x14ac:dyDescent="0.2">
      <c r="L1251" s="48"/>
      <c r="M1251" s="48"/>
    </row>
    <row r="1252" spans="12:13" x14ac:dyDescent="0.2">
      <c r="L1252" s="48"/>
      <c r="M1252" s="48"/>
    </row>
    <row r="1253" spans="12:13" x14ac:dyDescent="0.2">
      <c r="L1253" s="48"/>
      <c r="M1253" s="48"/>
    </row>
    <row r="1254" spans="12:13" x14ac:dyDescent="0.2">
      <c r="L1254" s="48"/>
      <c r="M1254" s="48"/>
    </row>
    <row r="1255" spans="12:13" x14ac:dyDescent="0.2">
      <c r="L1255" s="48"/>
      <c r="M1255" s="48"/>
    </row>
    <row r="1256" spans="12:13" x14ac:dyDescent="0.2">
      <c r="L1256" s="48"/>
      <c r="M1256" s="48"/>
    </row>
    <row r="1257" spans="12:13" x14ac:dyDescent="0.2">
      <c r="L1257" s="48"/>
      <c r="M1257" s="48"/>
    </row>
    <row r="1258" spans="12:13" x14ac:dyDescent="0.2">
      <c r="L1258" s="48"/>
      <c r="M1258" s="48"/>
    </row>
    <row r="1259" spans="12:13" x14ac:dyDescent="0.2">
      <c r="L1259" s="48"/>
      <c r="M1259" s="48"/>
    </row>
    <row r="1260" spans="12:13" x14ac:dyDescent="0.2">
      <c r="L1260" s="48"/>
      <c r="M1260" s="48"/>
    </row>
    <row r="1261" spans="12:13" x14ac:dyDescent="0.2">
      <c r="L1261" s="48"/>
      <c r="M1261" s="48"/>
    </row>
    <row r="1262" spans="12:13" x14ac:dyDescent="0.2">
      <c r="L1262" s="48"/>
      <c r="M1262" s="48"/>
    </row>
    <row r="1263" spans="12:13" x14ac:dyDescent="0.2">
      <c r="L1263" s="48"/>
      <c r="M1263" s="48"/>
    </row>
    <row r="1264" spans="12:13" x14ac:dyDescent="0.2">
      <c r="L1264" s="48"/>
      <c r="M1264" s="48"/>
    </row>
    <row r="1265" spans="12:13" x14ac:dyDescent="0.2">
      <c r="L1265" s="48"/>
      <c r="M1265" s="48"/>
    </row>
    <row r="1266" spans="12:13" x14ac:dyDescent="0.2">
      <c r="L1266" s="48"/>
      <c r="M1266" s="48"/>
    </row>
    <row r="1267" spans="12:13" x14ac:dyDescent="0.2">
      <c r="L1267" s="48"/>
      <c r="M1267" s="48"/>
    </row>
    <row r="1268" spans="12:13" x14ac:dyDescent="0.2">
      <c r="L1268" s="48"/>
      <c r="M1268" s="48"/>
    </row>
    <row r="1269" spans="12:13" x14ac:dyDescent="0.2">
      <c r="L1269" s="48"/>
      <c r="M1269" s="48"/>
    </row>
    <row r="1270" spans="12:13" x14ac:dyDescent="0.2">
      <c r="L1270" s="48"/>
      <c r="M1270" s="48"/>
    </row>
    <row r="1271" spans="12:13" x14ac:dyDescent="0.2">
      <c r="L1271" s="48"/>
      <c r="M1271" s="48"/>
    </row>
    <row r="1272" spans="12:13" x14ac:dyDescent="0.2">
      <c r="L1272" s="48"/>
      <c r="M1272" s="48"/>
    </row>
    <row r="1273" spans="12:13" x14ac:dyDescent="0.2">
      <c r="L1273" s="48"/>
      <c r="M1273" s="48"/>
    </row>
    <row r="1274" spans="12:13" x14ac:dyDescent="0.2">
      <c r="L1274" s="48"/>
      <c r="M1274" s="48"/>
    </row>
    <row r="1275" spans="12:13" x14ac:dyDescent="0.2">
      <c r="L1275" s="48"/>
      <c r="M1275" s="48"/>
    </row>
    <row r="1276" spans="12:13" x14ac:dyDescent="0.2">
      <c r="L1276" s="48"/>
      <c r="M1276" s="48"/>
    </row>
    <row r="1277" spans="12:13" x14ac:dyDescent="0.2">
      <c r="L1277" s="48"/>
      <c r="M1277" s="48"/>
    </row>
    <row r="1278" spans="12:13" x14ac:dyDescent="0.2">
      <c r="L1278" s="48"/>
      <c r="M1278" s="48"/>
    </row>
    <row r="1279" spans="12:13" x14ac:dyDescent="0.2">
      <c r="L1279" s="48"/>
      <c r="M1279" s="48"/>
    </row>
    <row r="1280" spans="12:13" x14ac:dyDescent="0.2">
      <c r="L1280" s="48"/>
      <c r="M1280" s="48"/>
    </row>
    <row r="1281" spans="12:13" x14ac:dyDescent="0.2">
      <c r="L1281" s="48"/>
      <c r="M1281" s="48"/>
    </row>
    <row r="1282" spans="12:13" x14ac:dyDescent="0.2">
      <c r="L1282" s="48"/>
      <c r="M1282" s="48"/>
    </row>
    <row r="1283" spans="12:13" x14ac:dyDescent="0.2">
      <c r="L1283" s="48"/>
      <c r="M1283" s="48"/>
    </row>
    <row r="1284" spans="12:13" x14ac:dyDescent="0.2">
      <c r="L1284" s="48"/>
      <c r="M1284" s="48"/>
    </row>
    <row r="1285" spans="12:13" x14ac:dyDescent="0.2">
      <c r="L1285" s="48"/>
      <c r="M1285" s="48"/>
    </row>
    <row r="1286" spans="12:13" x14ac:dyDescent="0.2">
      <c r="L1286" s="48"/>
      <c r="M1286" s="48"/>
    </row>
    <row r="1287" spans="12:13" x14ac:dyDescent="0.2">
      <c r="L1287" s="48"/>
      <c r="M1287" s="48"/>
    </row>
    <row r="1288" spans="12:13" x14ac:dyDescent="0.2">
      <c r="L1288" s="48"/>
      <c r="M1288" s="48"/>
    </row>
    <row r="1289" spans="12:13" x14ac:dyDescent="0.2">
      <c r="L1289" s="48"/>
      <c r="M1289" s="48"/>
    </row>
    <row r="1290" spans="12:13" x14ac:dyDescent="0.2">
      <c r="L1290" s="48"/>
      <c r="M1290" s="48"/>
    </row>
    <row r="1291" spans="12:13" x14ac:dyDescent="0.2">
      <c r="L1291" s="48"/>
      <c r="M1291" s="48"/>
    </row>
    <row r="1292" spans="12:13" x14ac:dyDescent="0.2">
      <c r="L1292" s="48"/>
      <c r="M1292" s="48"/>
    </row>
    <row r="1293" spans="12:13" x14ac:dyDescent="0.2">
      <c r="L1293" s="48"/>
      <c r="M1293" s="48"/>
    </row>
    <row r="1294" spans="12:13" x14ac:dyDescent="0.2">
      <c r="L1294" s="48"/>
      <c r="M1294" s="48"/>
    </row>
    <row r="1295" spans="12:13" x14ac:dyDescent="0.2">
      <c r="L1295" s="48"/>
      <c r="M1295" s="48"/>
    </row>
    <row r="1296" spans="12:13" x14ac:dyDescent="0.2">
      <c r="L1296" s="48"/>
      <c r="M1296" s="48"/>
    </row>
    <row r="1297" spans="12:13" x14ac:dyDescent="0.2">
      <c r="L1297" s="48"/>
      <c r="M1297" s="48"/>
    </row>
    <row r="1298" spans="12:13" x14ac:dyDescent="0.2">
      <c r="L1298" s="48"/>
      <c r="M1298" s="48"/>
    </row>
    <row r="1299" spans="12:13" x14ac:dyDescent="0.2">
      <c r="L1299" s="48"/>
      <c r="M1299" s="48"/>
    </row>
    <row r="1300" spans="12:13" x14ac:dyDescent="0.2">
      <c r="L1300" s="48"/>
      <c r="M1300" s="48"/>
    </row>
    <row r="1301" spans="12:13" x14ac:dyDescent="0.2">
      <c r="L1301" s="48"/>
      <c r="M1301" s="48"/>
    </row>
    <row r="1302" spans="12:13" x14ac:dyDescent="0.2">
      <c r="L1302" s="48"/>
      <c r="M1302" s="48"/>
    </row>
    <row r="1303" spans="12:13" x14ac:dyDescent="0.2">
      <c r="L1303" s="48"/>
      <c r="M1303" s="48"/>
    </row>
    <row r="1304" spans="12:13" x14ac:dyDescent="0.2">
      <c r="L1304" s="48"/>
      <c r="M1304" s="48"/>
    </row>
    <row r="1305" spans="12:13" x14ac:dyDescent="0.2">
      <c r="L1305" s="48"/>
      <c r="M1305" s="48"/>
    </row>
    <row r="1306" spans="12:13" x14ac:dyDescent="0.2">
      <c r="L1306" s="48"/>
      <c r="M1306" s="48"/>
    </row>
    <row r="1307" spans="12:13" x14ac:dyDescent="0.2">
      <c r="L1307" s="48"/>
      <c r="M1307" s="48"/>
    </row>
    <row r="1308" spans="12:13" x14ac:dyDescent="0.2">
      <c r="L1308" s="48"/>
      <c r="M1308" s="48"/>
    </row>
    <row r="1309" spans="12:13" x14ac:dyDescent="0.2">
      <c r="L1309" s="48"/>
      <c r="M1309" s="48"/>
    </row>
    <row r="1310" spans="12:13" x14ac:dyDescent="0.2">
      <c r="L1310" s="48"/>
      <c r="M1310" s="48"/>
    </row>
    <row r="1311" spans="12:13" x14ac:dyDescent="0.2">
      <c r="L1311" s="48"/>
      <c r="M1311" s="48"/>
    </row>
    <row r="1312" spans="12:13" x14ac:dyDescent="0.2">
      <c r="L1312" s="48"/>
      <c r="M1312" s="48"/>
    </row>
    <row r="1313" spans="12:13" x14ac:dyDescent="0.2">
      <c r="L1313" s="48"/>
      <c r="M1313" s="48"/>
    </row>
    <row r="1314" spans="12:13" x14ac:dyDescent="0.2">
      <c r="L1314" s="48"/>
      <c r="M1314" s="48"/>
    </row>
    <row r="1315" spans="12:13" x14ac:dyDescent="0.2">
      <c r="L1315" s="48"/>
      <c r="M1315" s="48"/>
    </row>
    <row r="1316" spans="12:13" x14ac:dyDescent="0.2">
      <c r="L1316" s="48"/>
      <c r="M1316" s="48"/>
    </row>
    <row r="1317" spans="12:13" x14ac:dyDescent="0.2">
      <c r="L1317" s="48"/>
      <c r="M1317" s="48"/>
    </row>
    <row r="1318" spans="12:13" x14ac:dyDescent="0.2">
      <c r="L1318" s="48"/>
      <c r="M1318" s="48"/>
    </row>
    <row r="1319" spans="12:13" x14ac:dyDescent="0.2">
      <c r="L1319" s="48"/>
      <c r="M1319" s="48"/>
    </row>
    <row r="1320" spans="12:13" x14ac:dyDescent="0.2">
      <c r="L1320" s="48"/>
      <c r="M1320" s="48"/>
    </row>
    <row r="1321" spans="12:13" x14ac:dyDescent="0.2">
      <c r="L1321" s="48"/>
      <c r="M1321" s="48"/>
    </row>
    <row r="1322" spans="12:13" x14ac:dyDescent="0.2">
      <c r="L1322" s="48"/>
      <c r="M1322" s="48"/>
    </row>
    <row r="1323" spans="12:13" x14ac:dyDescent="0.2">
      <c r="L1323" s="48"/>
      <c r="M1323" s="48"/>
    </row>
    <row r="1324" spans="12:13" x14ac:dyDescent="0.2">
      <c r="L1324" s="48"/>
      <c r="M1324" s="48"/>
    </row>
    <row r="1325" spans="12:13" x14ac:dyDescent="0.2">
      <c r="L1325" s="48"/>
      <c r="M1325" s="48"/>
    </row>
    <row r="1326" spans="12:13" x14ac:dyDescent="0.2">
      <c r="L1326" s="48"/>
      <c r="M1326" s="48"/>
    </row>
    <row r="1327" spans="12:13" x14ac:dyDescent="0.2">
      <c r="L1327" s="48"/>
      <c r="M1327" s="48"/>
    </row>
    <row r="1328" spans="12:13" x14ac:dyDescent="0.2">
      <c r="L1328" s="48"/>
      <c r="M1328" s="48"/>
    </row>
    <row r="1329" spans="12:13" x14ac:dyDescent="0.2">
      <c r="L1329" s="48"/>
      <c r="M1329" s="48"/>
    </row>
    <row r="1330" spans="12:13" x14ac:dyDescent="0.2">
      <c r="L1330" s="48"/>
      <c r="M1330" s="48"/>
    </row>
    <row r="1331" spans="12:13" x14ac:dyDescent="0.2">
      <c r="L1331" s="48"/>
      <c r="M1331" s="48"/>
    </row>
    <row r="1332" spans="12:13" x14ac:dyDescent="0.2">
      <c r="L1332" s="48"/>
      <c r="M1332" s="48"/>
    </row>
    <row r="1333" spans="12:13" x14ac:dyDescent="0.2">
      <c r="L1333" s="48"/>
      <c r="M1333" s="48"/>
    </row>
    <row r="1334" spans="12:13" x14ac:dyDescent="0.2">
      <c r="L1334" s="48"/>
      <c r="M1334" s="48"/>
    </row>
    <row r="1335" spans="12:13" x14ac:dyDescent="0.2">
      <c r="L1335" s="48"/>
      <c r="M1335" s="48"/>
    </row>
    <row r="1336" spans="12:13" x14ac:dyDescent="0.2">
      <c r="L1336" s="48"/>
      <c r="M1336" s="48"/>
    </row>
    <row r="1337" spans="12:13" x14ac:dyDescent="0.2">
      <c r="L1337" s="48"/>
      <c r="M1337" s="48"/>
    </row>
    <row r="1338" spans="12:13" x14ac:dyDescent="0.2">
      <c r="L1338" s="48"/>
      <c r="M1338" s="48"/>
    </row>
    <row r="1339" spans="12:13" x14ac:dyDescent="0.2">
      <c r="L1339" s="48"/>
      <c r="M1339" s="48"/>
    </row>
    <row r="1340" spans="12:13" x14ac:dyDescent="0.2">
      <c r="L1340" s="48"/>
      <c r="M1340" s="48"/>
    </row>
    <row r="1341" spans="12:13" x14ac:dyDescent="0.2">
      <c r="L1341" s="48"/>
      <c r="M1341" s="48"/>
    </row>
    <row r="1342" spans="12:13" x14ac:dyDescent="0.2">
      <c r="L1342" s="48"/>
      <c r="M1342" s="48"/>
    </row>
    <row r="1343" spans="12:13" x14ac:dyDescent="0.2">
      <c r="L1343" s="48"/>
      <c r="M1343" s="48"/>
    </row>
    <row r="1344" spans="12:13" x14ac:dyDescent="0.2">
      <c r="L1344" s="48"/>
      <c r="M1344" s="48"/>
    </row>
    <row r="1345" spans="12:13" x14ac:dyDescent="0.2">
      <c r="L1345" s="48"/>
      <c r="M1345" s="48"/>
    </row>
    <row r="1346" spans="12:13" x14ac:dyDescent="0.2">
      <c r="L1346" s="48"/>
      <c r="M1346" s="48"/>
    </row>
    <row r="1347" spans="12:13" x14ac:dyDescent="0.2">
      <c r="L1347" s="48"/>
      <c r="M1347" s="48"/>
    </row>
    <row r="1348" spans="12:13" x14ac:dyDescent="0.2">
      <c r="L1348" s="48"/>
      <c r="M1348" s="48"/>
    </row>
    <row r="1349" spans="12:13" x14ac:dyDescent="0.2">
      <c r="L1349" s="48"/>
      <c r="M1349" s="48"/>
    </row>
    <row r="1350" spans="12:13" x14ac:dyDescent="0.2">
      <c r="L1350" s="48"/>
      <c r="M1350" s="48"/>
    </row>
    <row r="1351" spans="12:13" x14ac:dyDescent="0.2">
      <c r="L1351" s="48"/>
      <c r="M1351" s="48"/>
    </row>
    <row r="1352" spans="12:13" x14ac:dyDescent="0.2">
      <c r="L1352" s="48"/>
      <c r="M1352" s="48"/>
    </row>
    <row r="1353" spans="12:13" x14ac:dyDescent="0.2">
      <c r="L1353" s="48"/>
      <c r="M1353" s="48"/>
    </row>
    <row r="1354" spans="12:13" x14ac:dyDescent="0.2">
      <c r="L1354" s="48"/>
      <c r="M1354" s="48"/>
    </row>
    <row r="1355" spans="12:13" x14ac:dyDescent="0.2">
      <c r="L1355" s="48"/>
      <c r="M1355" s="48"/>
    </row>
    <row r="1356" spans="12:13" x14ac:dyDescent="0.2">
      <c r="L1356" s="48"/>
      <c r="M1356" s="48"/>
    </row>
    <row r="1357" spans="12:13" x14ac:dyDescent="0.2">
      <c r="L1357" s="48"/>
      <c r="M1357" s="48"/>
    </row>
    <row r="1358" spans="12:13" x14ac:dyDescent="0.2">
      <c r="L1358" s="48"/>
      <c r="M1358" s="48"/>
    </row>
    <row r="1359" spans="12:13" x14ac:dyDescent="0.2">
      <c r="L1359" s="48"/>
      <c r="M1359" s="48"/>
    </row>
    <row r="1360" spans="12:13" x14ac:dyDescent="0.2">
      <c r="L1360" s="48"/>
      <c r="M1360" s="48"/>
    </row>
    <row r="1361" spans="12:13" x14ac:dyDescent="0.2">
      <c r="L1361" s="48"/>
      <c r="M1361" s="48"/>
    </row>
    <row r="1362" spans="12:13" x14ac:dyDescent="0.2">
      <c r="L1362" s="48"/>
      <c r="M1362" s="48"/>
    </row>
    <row r="1363" spans="12:13" x14ac:dyDescent="0.2">
      <c r="L1363" s="48"/>
      <c r="M1363" s="48"/>
    </row>
    <row r="1364" spans="12:13" x14ac:dyDescent="0.2">
      <c r="L1364" s="48"/>
      <c r="M1364" s="48"/>
    </row>
    <row r="1365" spans="12:13" x14ac:dyDescent="0.2">
      <c r="L1365" s="48"/>
      <c r="M1365" s="48"/>
    </row>
    <row r="1366" spans="12:13" x14ac:dyDescent="0.2">
      <c r="L1366" s="48"/>
      <c r="M1366" s="48"/>
    </row>
    <row r="1367" spans="12:13" x14ac:dyDescent="0.2">
      <c r="L1367" s="48"/>
      <c r="M1367" s="48"/>
    </row>
    <row r="1368" spans="12:13" x14ac:dyDescent="0.2">
      <c r="L1368" s="48"/>
      <c r="M1368" s="48"/>
    </row>
    <row r="1369" spans="12:13" x14ac:dyDescent="0.2">
      <c r="L1369" s="48"/>
      <c r="M1369" s="48"/>
    </row>
    <row r="1370" spans="12:13" x14ac:dyDescent="0.2">
      <c r="L1370" s="48"/>
      <c r="M1370" s="48"/>
    </row>
    <row r="1371" spans="12:13" x14ac:dyDescent="0.2">
      <c r="L1371" s="48"/>
      <c r="M1371" s="48"/>
    </row>
    <row r="1372" spans="12:13" x14ac:dyDescent="0.2">
      <c r="L1372" s="48"/>
      <c r="M1372" s="48"/>
    </row>
    <row r="1373" spans="12:13" x14ac:dyDescent="0.2">
      <c r="L1373" s="48"/>
      <c r="M1373" s="48"/>
    </row>
    <row r="1374" spans="12:13" x14ac:dyDescent="0.2">
      <c r="L1374" s="48"/>
      <c r="M1374" s="48"/>
    </row>
    <row r="1375" spans="12:13" x14ac:dyDescent="0.2">
      <c r="L1375" s="48"/>
      <c r="M1375" s="48"/>
    </row>
    <row r="1376" spans="12:13" x14ac:dyDescent="0.2">
      <c r="L1376" s="48"/>
      <c r="M1376" s="48"/>
    </row>
    <row r="1377" spans="12:13" x14ac:dyDescent="0.2">
      <c r="L1377" s="48"/>
      <c r="M1377" s="48"/>
    </row>
    <row r="1378" spans="12:13" x14ac:dyDescent="0.2">
      <c r="L1378" s="48"/>
      <c r="M1378" s="48"/>
    </row>
    <row r="1379" spans="12:13" x14ac:dyDescent="0.2">
      <c r="L1379" s="48"/>
      <c r="M1379" s="48"/>
    </row>
    <row r="1380" spans="12:13" x14ac:dyDescent="0.2">
      <c r="L1380" s="48"/>
      <c r="M1380" s="48"/>
    </row>
    <row r="1381" spans="12:13" x14ac:dyDescent="0.2">
      <c r="L1381" s="48"/>
      <c r="M1381" s="48"/>
    </row>
    <row r="1382" spans="12:13" x14ac:dyDescent="0.2">
      <c r="L1382" s="48"/>
      <c r="M1382" s="48"/>
    </row>
    <row r="1383" spans="12:13" x14ac:dyDescent="0.2">
      <c r="L1383" s="48"/>
      <c r="M1383" s="48"/>
    </row>
    <row r="1384" spans="12:13" x14ac:dyDescent="0.2">
      <c r="L1384" s="48"/>
      <c r="M1384" s="48"/>
    </row>
    <row r="1385" spans="12:13" x14ac:dyDescent="0.2">
      <c r="L1385" s="48"/>
      <c r="M1385" s="48"/>
    </row>
    <row r="1386" spans="12:13" x14ac:dyDescent="0.2">
      <c r="L1386" s="48"/>
      <c r="M1386" s="48"/>
    </row>
    <row r="1387" spans="12:13" x14ac:dyDescent="0.2">
      <c r="L1387" s="48"/>
      <c r="M1387" s="48"/>
    </row>
    <row r="1388" spans="12:13" x14ac:dyDescent="0.2">
      <c r="L1388" s="48"/>
      <c r="M1388" s="48"/>
    </row>
    <row r="1389" spans="12:13" x14ac:dyDescent="0.2">
      <c r="L1389" s="48"/>
      <c r="M1389" s="48"/>
    </row>
    <row r="1390" spans="12:13" x14ac:dyDescent="0.2">
      <c r="L1390" s="48"/>
      <c r="M1390" s="48"/>
    </row>
    <row r="1391" spans="12:13" x14ac:dyDescent="0.2">
      <c r="L1391" s="48"/>
      <c r="M1391" s="48"/>
    </row>
    <row r="1392" spans="12:13" x14ac:dyDescent="0.2">
      <c r="L1392" s="48"/>
      <c r="M1392" s="48"/>
    </row>
    <row r="1393" spans="12:13" x14ac:dyDescent="0.2">
      <c r="L1393" s="48"/>
      <c r="M1393" s="48"/>
    </row>
    <row r="1394" spans="12:13" x14ac:dyDescent="0.2">
      <c r="L1394" s="48"/>
      <c r="M1394" s="48"/>
    </row>
    <row r="1395" spans="12:13" x14ac:dyDescent="0.2">
      <c r="L1395" s="48"/>
      <c r="M1395" s="48"/>
    </row>
    <row r="1396" spans="12:13" x14ac:dyDescent="0.2">
      <c r="L1396" s="48"/>
      <c r="M1396" s="48"/>
    </row>
    <row r="1397" spans="12:13" x14ac:dyDescent="0.2">
      <c r="L1397" s="48"/>
      <c r="M1397" s="48"/>
    </row>
    <row r="1398" spans="12:13" x14ac:dyDescent="0.2">
      <c r="L1398" s="48"/>
      <c r="M1398" s="48"/>
    </row>
    <row r="1399" spans="12:13" x14ac:dyDescent="0.2">
      <c r="L1399" s="48"/>
      <c r="M1399" s="48"/>
    </row>
    <row r="1400" spans="12:13" x14ac:dyDescent="0.2">
      <c r="L1400" s="48"/>
      <c r="M1400" s="48"/>
    </row>
    <row r="1401" spans="12:13" x14ac:dyDescent="0.2">
      <c r="L1401" s="48"/>
      <c r="M1401" s="48"/>
    </row>
    <row r="1402" spans="12:13" x14ac:dyDescent="0.2">
      <c r="L1402" s="48"/>
      <c r="M1402" s="48"/>
    </row>
    <row r="1403" spans="12:13" x14ac:dyDescent="0.2">
      <c r="L1403" s="48"/>
      <c r="M1403" s="48"/>
    </row>
    <row r="1404" spans="12:13" x14ac:dyDescent="0.2">
      <c r="L1404" s="48"/>
      <c r="M1404" s="48"/>
    </row>
    <row r="1405" spans="12:13" x14ac:dyDescent="0.2">
      <c r="L1405" s="48"/>
      <c r="M1405" s="48"/>
    </row>
    <row r="1406" spans="12:13" x14ac:dyDescent="0.2">
      <c r="L1406" s="48"/>
      <c r="M1406" s="48"/>
    </row>
    <row r="1407" spans="12:13" x14ac:dyDescent="0.2">
      <c r="L1407" s="48"/>
      <c r="M1407" s="48"/>
    </row>
    <row r="1408" spans="12:13" x14ac:dyDescent="0.2">
      <c r="L1408" s="48"/>
      <c r="M1408" s="48"/>
    </row>
    <row r="1409" spans="12:13" x14ac:dyDescent="0.2">
      <c r="L1409" s="48"/>
      <c r="M1409" s="48"/>
    </row>
    <row r="1410" spans="12:13" x14ac:dyDescent="0.2">
      <c r="L1410" s="48"/>
      <c r="M1410" s="48"/>
    </row>
    <row r="1411" spans="12:13" x14ac:dyDescent="0.2">
      <c r="L1411" s="48"/>
      <c r="M1411" s="48"/>
    </row>
    <row r="1412" spans="12:13" x14ac:dyDescent="0.2">
      <c r="L1412" s="48"/>
      <c r="M1412" s="48"/>
    </row>
    <row r="1413" spans="12:13" x14ac:dyDescent="0.2">
      <c r="L1413" s="48"/>
      <c r="M1413" s="48"/>
    </row>
    <row r="1414" spans="12:13" x14ac:dyDescent="0.2">
      <c r="L1414" s="48"/>
      <c r="M1414" s="48"/>
    </row>
    <row r="1415" spans="12:13" x14ac:dyDescent="0.2">
      <c r="L1415" s="48"/>
      <c r="M1415" s="48"/>
    </row>
    <row r="1416" spans="12:13" x14ac:dyDescent="0.2">
      <c r="L1416" s="48"/>
      <c r="M1416" s="48"/>
    </row>
    <row r="1417" spans="12:13" x14ac:dyDescent="0.2">
      <c r="L1417" s="48"/>
      <c r="M1417" s="48"/>
    </row>
    <row r="1418" spans="12:13" x14ac:dyDescent="0.2">
      <c r="L1418" s="48"/>
      <c r="M1418" s="48"/>
    </row>
    <row r="1419" spans="12:13" x14ac:dyDescent="0.2">
      <c r="L1419" s="48"/>
      <c r="M1419" s="48"/>
    </row>
    <row r="1420" spans="12:13" x14ac:dyDescent="0.2">
      <c r="L1420" s="48"/>
      <c r="M1420" s="48"/>
    </row>
    <row r="1421" spans="12:13" x14ac:dyDescent="0.2">
      <c r="L1421" s="48"/>
      <c r="M1421" s="48"/>
    </row>
    <row r="1422" spans="12:13" x14ac:dyDescent="0.2">
      <c r="L1422" s="48"/>
      <c r="M1422" s="48"/>
    </row>
    <row r="1423" spans="12:13" x14ac:dyDescent="0.2">
      <c r="L1423" s="48"/>
      <c r="M1423" s="48"/>
    </row>
    <row r="1424" spans="12:13" x14ac:dyDescent="0.2">
      <c r="L1424" s="48"/>
      <c r="M1424" s="48"/>
    </row>
    <row r="1425" spans="12:13" x14ac:dyDescent="0.2">
      <c r="L1425" s="48"/>
      <c r="M1425" s="48"/>
    </row>
    <row r="1426" spans="12:13" x14ac:dyDescent="0.2">
      <c r="L1426" s="48"/>
      <c r="M1426" s="48"/>
    </row>
    <row r="1427" spans="12:13" x14ac:dyDescent="0.2">
      <c r="L1427" s="48"/>
      <c r="M1427" s="48"/>
    </row>
    <row r="1428" spans="12:13" x14ac:dyDescent="0.2">
      <c r="L1428" s="48"/>
      <c r="M1428" s="48"/>
    </row>
    <row r="1429" spans="12:13" x14ac:dyDescent="0.2">
      <c r="L1429" s="48"/>
      <c r="M1429" s="48"/>
    </row>
    <row r="1430" spans="12:13" x14ac:dyDescent="0.2">
      <c r="L1430" s="48"/>
      <c r="M1430" s="48"/>
    </row>
    <row r="1431" spans="12:13" x14ac:dyDescent="0.2">
      <c r="L1431" s="48"/>
      <c r="M1431" s="48"/>
    </row>
    <row r="1432" spans="12:13" x14ac:dyDescent="0.2">
      <c r="L1432" s="48"/>
      <c r="M1432" s="48"/>
    </row>
    <row r="1433" spans="12:13" x14ac:dyDescent="0.2">
      <c r="L1433" s="48"/>
      <c r="M1433" s="48"/>
    </row>
    <row r="1434" spans="12:13" x14ac:dyDescent="0.2">
      <c r="L1434" s="48"/>
      <c r="M1434" s="48"/>
    </row>
    <row r="1435" spans="12:13" x14ac:dyDescent="0.2">
      <c r="L1435" s="48"/>
      <c r="M1435" s="48"/>
    </row>
    <row r="1436" spans="12:13" x14ac:dyDescent="0.2">
      <c r="L1436" s="48"/>
      <c r="M1436" s="48"/>
    </row>
    <row r="1437" spans="12:13" x14ac:dyDescent="0.2">
      <c r="L1437" s="48"/>
      <c r="M1437" s="48"/>
    </row>
    <row r="1438" spans="12:13" x14ac:dyDescent="0.2">
      <c r="L1438" s="48"/>
      <c r="M1438" s="48"/>
    </row>
    <row r="1439" spans="12:13" x14ac:dyDescent="0.2">
      <c r="L1439" s="48"/>
      <c r="M1439" s="48"/>
    </row>
    <row r="1440" spans="12:13" x14ac:dyDescent="0.2">
      <c r="L1440" s="48"/>
      <c r="M1440" s="48"/>
    </row>
    <row r="1441" spans="12:13" x14ac:dyDescent="0.2">
      <c r="L1441" s="48"/>
      <c r="M1441" s="48"/>
    </row>
    <row r="1442" spans="12:13" x14ac:dyDescent="0.2">
      <c r="L1442" s="48"/>
      <c r="M1442" s="48"/>
    </row>
    <row r="1443" spans="12:13" x14ac:dyDescent="0.2">
      <c r="L1443" s="48"/>
      <c r="M1443" s="48"/>
    </row>
    <row r="1444" spans="12:13" x14ac:dyDescent="0.2">
      <c r="L1444" s="48"/>
      <c r="M1444" s="48"/>
    </row>
    <row r="1445" spans="12:13" x14ac:dyDescent="0.2">
      <c r="L1445" s="48"/>
      <c r="M1445" s="48"/>
    </row>
    <row r="1446" spans="12:13" x14ac:dyDescent="0.2">
      <c r="L1446" s="48"/>
      <c r="M1446" s="48"/>
    </row>
    <row r="1447" spans="12:13" x14ac:dyDescent="0.2">
      <c r="L1447" s="48"/>
      <c r="M1447" s="48"/>
    </row>
    <row r="1448" spans="12:13" x14ac:dyDescent="0.2">
      <c r="L1448" s="48"/>
      <c r="M1448" s="48"/>
    </row>
    <row r="1449" spans="12:13" x14ac:dyDescent="0.2">
      <c r="L1449" s="48"/>
      <c r="M1449" s="48"/>
    </row>
    <row r="1450" spans="12:13" x14ac:dyDescent="0.2">
      <c r="L1450" s="48"/>
      <c r="M1450" s="48"/>
    </row>
    <row r="1451" spans="12:13" x14ac:dyDescent="0.2">
      <c r="L1451" s="48"/>
      <c r="M1451" s="48"/>
    </row>
    <row r="1452" spans="12:13" x14ac:dyDescent="0.2">
      <c r="L1452" s="48"/>
      <c r="M1452" s="48"/>
    </row>
    <row r="1453" spans="12:13" x14ac:dyDescent="0.2">
      <c r="L1453" s="48"/>
      <c r="M1453" s="48"/>
    </row>
    <row r="1454" spans="12:13" x14ac:dyDescent="0.2">
      <c r="L1454" s="48"/>
      <c r="M1454" s="48"/>
    </row>
    <row r="1455" spans="12:13" x14ac:dyDescent="0.2">
      <c r="L1455" s="48"/>
      <c r="M1455" s="48"/>
    </row>
    <row r="1456" spans="12:13" x14ac:dyDescent="0.2">
      <c r="L1456" s="48"/>
      <c r="M1456" s="48"/>
    </row>
    <row r="1457" spans="12:13" x14ac:dyDescent="0.2">
      <c r="L1457" s="48"/>
      <c r="M1457" s="48"/>
    </row>
    <row r="1458" spans="12:13" x14ac:dyDescent="0.2">
      <c r="L1458" s="48"/>
      <c r="M1458" s="48"/>
    </row>
    <row r="1459" spans="12:13" x14ac:dyDescent="0.2">
      <c r="L1459" s="48"/>
      <c r="M1459" s="48"/>
    </row>
    <row r="1460" spans="12:13" x14ac:dyDescent="0.2">
      <c r="L1460" s="48"/>
      <c r="M1460" s="48"/>
    </row>
    <row r="1461" spans="12:13" x14ac:dyDescent="0.2">
      <c r="L1461" s="48"/>
      <c r="M1461" s="48"/>
    </row>
    <row r="1462" spans="12:13" x14ac:dyDescent="0.2">
      <c r="L1462" s="48"/>
      <c r="M1462" s="48"/>
    </row>
    <row r="1463" spans="12:13" x14ac:dyDescent="0.2">
      <c r="L1463" s="48"/>
      <c r="M1463" s="48"/>
    </row>
    <row r="1464" spans="12:13" x14ac:dyDescent="0.2">
      <c r="L1464" s="48"/>
      <c r="M1464" s="48"/>
    </row>
    <row r="1465" spans="12:13" x14ac:dyDescent="0.2">
      <c r="L1465" s="48"/>
      <c r="M1465" s="48"/>
    </row>
    <row r="1466" spans="12:13" x14ac:dyDescent="0.2">
      <c r="L1466" s="48"/>
      <c r="M1466" s="48"/>
    </row>
    <row r="1467" spans="12:13" x14ac:dyDescent="0.2">
      <c r="L1467" s="48"/>
      <c r="M1467" s="48"/>
    </row>
    <row r="1468" spans="12:13" x14ac:dyDescent="0.2">
      <c r="L1468" s="48"/>
      <c r="M1468" s="48"/>
    </row>
    <row r="1469" spans="12:13" x14ac:dyDescent="0.2">
      <c r="L1469" s="48"/>
      <c r="M1469" s="48"/>
    </row>
    <row r="1470" spans="12:13" x14ac:dyDescent="0.2">
      <c r="L1470" s="48"/>
      <c r="M1470" s="48"/>
    </row>
    <row r="1471" spans="12:13" x14ac:dyDescent="0.2">
      <c r="L1471" s="48"/>
      <c r="M1471" s="48"/>
    </row>
    <row r="1472" spans="12:13" x14ac:dyDescent="0.2">
      <c r="L1472" s="48"/>
      <c r="M1472" s="48"/>
    </row>
    <row r="1473" spans="12:13" x14ac:dyDescent="0.2">
      <c r="L1473" s="48"/>
      <c r="M1473" s="48"/>
    </row>
    <row r="1474" spans="12:13" x14ac:dyDescent="0.2">
      <c r="L1474" s="48"/>
      <c r="M1474" s="48"/>
    </row>
    <row r="1475" spans="12:13" x14ac:dyDescent="0.2">
      <c r="L1475" s="48"/>
      <c r="M1475" s="48"/>
    </row>
    <row r="1476" spans="12:13" x14ac:dyDescent="0.2">
      <c r="L1476" s="48"/>
      <c r="M1476" s="48"/>
    </row>
    <row r="1477" spans="12:13" x14ac:dyDescent="0.2">
      <c r="L1477" s="48"/>
      <c r="M1477" s="48"/>
    </row>
    <row r="1478" spans="12:13" x14ac:dyDescent="0.2">
      <c r="L1478" s="48"/>
      <c r="M1478" s="48"/>
    </row>
    <row r="1479" spans="12:13" x14ac:dyDescent="0.2">
      <c r="L1479" s="48"/>
      <c r="M1479" s="48"/>
    </row>
    <row r="1480" spans="12:13" x14ac:dyDescent="0.2">
      <c r="L1480" s="48"/>
      <c r="M1480" s="48"/>
    </row>
    <row r="1481" spans="12:13" x14ac:dyDescent="0.2">
      <c r="L1481" s="48"/>
      <c r="M1481" s="48"/>
    </row>
    <row r="1482" spans="12:13" x14ac:dyDescent="0.2">
      <c r="L1482" s="48"/>
      <c r="M1482" s="48"/>
    </row>
    <row r="1483" spans="12:13" x14ac:dyDescent="0.2">
      <c r="L1483" s="48"/>
      <c r="M1483" s="48"/>
    </row>
    <row r="1484" spans="12:13" x14ac:dyDescent="0.2">
      <c r="L1484" s="48"/>
      <c r="M1484" s="48"/>
    </row>
    <row r="1485" spans="12:13" x14ac:dyDescent="0.2">
      <c r="L1485" s="48"/>
      <c r="M1485" s="48"/>
    </row>
    <row r="1486" spans="12:13" x14ac:dyDescent="0.2">
      <c r="L1486" s="48"/>
      <c r="M1486" s="48"/>
    </row>
    <row r="1487" spans="12:13" x14ac:dyDescent="0.2">
      <c r="L1487" s="48"/>
      <c r="M1487" s="48"/>
    </row>
    <row r="1488" spans="12:13" x14ac:dyDescent="0.2">
      <c r="L1488" s="48"/>
      <c r="M1488" s="48"/>
    </row>
    <row r="1489" spans="12:13" x14ac:dyDescent="0.2">
      <c r="L1489" s="48"/>
      <c r="M1489" s="48"/>
    </row>
    <row r="1490" spans="12:13" x14ac:dyDescent="0.2">
      <c r="L1490" s="48"/>
      <c r="M1490" s="48"/>
    </row>
    <row r="1491" spans="12:13" x14ac:dyDescent="0.2">
      <c r="L1491" s="48"/>
      <c r="M1491" s="48"/>
    </row>
    <row r="1492" spans="12:13" x14ac:dyDescent="0.2">
      <c r="L1492" s="48"/>
      <c r="M1492" s="48"/>
    </row>
    <row r="1493" spans="12:13" x14ac:dyDescent="0.2">
      <c r="L1493" s="48"/>
      <c r="M1493" s="48"/>
    </row>
    <row r="1494" spans="12:13" x14ac:dyDescent="0.2">
      <c r="L1494" s="48"/>
      <c r="M1494" s="48"/>
    </row>
    <row r="1495" spans="12:13" x14ac:dyDescent="0.2">
      <c r="L1495" s="48"/>
      <c r="M1495" s="48"/>
    </row>
    <row r="1496" spans="12:13" x14ac:dyDescent="0.2">
      <c r="L1496" s="48"/>
      <c r="M1496" s="48"/>
    </row>
    <row r="1497" spans="12:13" x14ac:dyDescent="0.2">
      <c r="L1497" s="48"/>
      <c r="M1497" s="48"/>
    </row>
    <row r="1498" spans="12:13" x14ac:dyDescent="0.2">
      <c r="L1498" s="48"/>
      <c r="M1498" s="48"/>
    </row>
    <row r="1499" spans="12:13" x14ac:dyDescent="0.2">
      <c r="L1499" s="48"/>
      <c r="M1499" s="48"/>
    </row>
    <row r="1500" spans="12:13" x14ac:dyDescent="0.2">
      <c r="L1500" s="48"/>
      <c r="M1500" s="48"/>
    </row>
    <row r="1501" spans="12:13" x14ac:dyDescent="0.2">
      <c r="L1501" s="48"/>
      <c r="M1501" s="48"/>
    </row>
    <row r="1502" spans="12:13" x14ac:dyDescent="0.2">
      <c r="L1502" s="48"/>
      <c r="M1502" s="48"/>
    </row>
    <row r="1503" spans="12:13" x14ac:dyDescent="0.2">
      <c r="L1503" s="48"/>
      <c r="M1503" s="48"/>
    </row>
    <row r="1504" spans="12:13" x14ac:dyDescent="0.2">
      <c r="L1504" s="48"/>
      <c r="M1504" s="48"/>
    </row>
    <row r="1505" spans="12:13" x14ac:dyDescent="0.2">
      <c r="L1505" s="48"/>
      <c r="M1505" s="48"/>
    </row>
    <row r="1506" spans="12:13" x14ac:dyDescent="0.2">
      <c r="L1506" s="48"/>
      <c r="M1506" s="48"/>
    </row>
    <row r="1507" spans="12:13" x14ac:dyDescent="0.2">
      <c r="L1507" s="48"/>
      <c r="M1507" s="48"/>
    </row>
    <row r="1508" spans="12:13" x14ac:dyDescent="0.2">
      <c r="L1508" s="48"/>
      <c r="M1508" s="48"/>
    </row>
    <row r="1509" spans="12:13" x14ac:dyDescent="0.2">
      <c r="L1509" s="48"/>
      <c r="M1509" s="48"/>
    </row>
    <row r="1510" spans="12:13" x14ac:dyDescent="0.2">
      <c r="L1510" s="48"/>
      <c r="M1510" s="48"/>
    </row>
  </sheetData>
  <conditionalFormatting sqref="F4">
    <cfRule type="cellIs" dxfId="7" priority="1" operator="notEqual">
      <formula>0</formula>
    </cfRule>
  </conditionalFormatting>
  <hyperlinks>
    <hyperlink ref="F4" location="Overall_Error_Check" tooltip="Go to Overall Error Check" display="Overall_Error_Check" xr:uid="{FEE96C39-DF31-4321-9D63-24C29C8B9BED}"/>
    <hyperlink ref="A3:E3" location="HL_Navigator" tooltip="Go to Navigator (Table of Contents)" display="Navigator" xr:uid="{99E905BF-9C07-4476-BE85-4A246713E59E}"/>
    <hyperlink ref="A3" location="HL_Navigator" display="Navigator" xr:uid="{E9903CDE-C7EE-409E-A1EB-8832C0C5AF8E}"/>
  </hyperlink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15DE7-7220-4929-9473-7A4E22C31ACC}">
  <dimension ref="A1:B4"/>
  <sheetViews>
    <sheetView workbookViewId="0">
      <selection activeCell="A5" sqref="A5"/>
    </sheetView>
  </sheetViews>
  <sheetFormatPr defaultRowHeight="11.4" x14ac:dyDescent="0.2"/>
  <cols>
    <col min="1" max="1" width="50.125" style="52" customWidth="1"/>
    <col min="2" max="2" width="78.75" style="52" customWidth="1"/>
  </cols>
  <sheetData>
    <row r="1" spans="1:2" x14ac:dyDescent="0.2">
      <c r="A1" s="51" t="s">
        <v>77</v>
      </c>
      <c r="B1" s="51" t="s">
        <v>78</v>
      </c>
    </row>
    <row r="2" spans="1:2" x14ac:dyDescent="0.2">
      <c r="A2" s="52" t="s">
        <v>124</v>
      </c>
      <c r="B2" s="52" t="s">
        <v>79</v>
      </c>
    </row>
    <row r="3" spans="1:2" ht="22.8" x14ac:dyDescent="0.2">
      <c r="A3" s="52" t="s">
        <v>170</v>
      </c>
      <c r="B3" s="52" t="s">
        <v>126</v>
      </c>
    </row>
    <row r="4" spans="1:2" x14ac:dyDescent="0.2">
      <c r="A4" s="52" t="s">
        <v>231</v>
      </c>
      <c r="B4" s="52" t="s">
        <v>171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FE7EC-CEA1-44BB-A038-F795CB66C367}">
  <sheetPr codeName="Sheet13">
    <outlinePr summaryBelow="0" summaryRight="0"/>
  </sheetPr>
  <dimension ref="A1:M1510"/>
  <sheetViews>
    <sheetView showGridLines="0" tabSelected="1" workbookViewId="0">
      <pane ySplit="4" topLeftCell="A11" activePane="bottomLeft" state="frozen"/>
      <selection pane="bottomLeft" activeCell="C13" sqref="C13"/>
    </sheetView>
  </sheetViews>
  <sheetFormatPr defaultRowHeight="11.4" x14ac:dyDescent="0.2"/>
  <cols>
    <col min="1" max="2" width="3.75" customWidth="1"/>
    <col min="3" max="3" width="19" bestFit="1" customWidth="1"/>
    <col min="4" max="4" width="15.375" bestFit="1" customWidth="1"/>
    <col min="5" max="5" width="34.625" bestFit="1" customWidth="1"/>
    <col min="6" max="6" width="17.75" bestFit="1" customWidth="1"/>
    <col min="7" max="7" width="11.125" bestFit="1" customWidth="1"/>
    <col min="8" max="8" width="14.5" bestFit="1" customWidth="1"/>
    <col min="9" max="9" width="8.875" bestFit="1" customWidth="1"/>
    <col min="10" max="10" width="14.25" bestFit="1" customWidth="1"/>
    <col min="11" max="11" width="15" bestFit="1" customWidth="1"/>
    <col min="12" max="12" width="5" bestFit="1" customWidth="1"/>
    <col min="13" max="13" width="7.25" bestFit="1" customWidth="1"/>
    <col min="14" max="14" width="12.75" bestFit="1" customWidth="1"/>
    <col min="15" max="15" width="10.125" bestFit="1" customWidth="1"/>
    <col min="20" max="20" width="12.125" bestFit="1" customWidth="1"/>
  </cols>
  <sheetData>
    <row r="1" spans="1:12" ht="21" x14ac:dyDescent="0.4">
      <c r="A1" s="39" t="str">
        <f ca="1">IF(ISERROR(RIGHT(CELL("filename",A1),LEN(CELL("filename",A1))-FIND("]",CELL("filename",A1)))),
"",
RIGHT(CELL("filename",A1),LEN(CELL("filename",A1))-FIND("]",CELL("filename",A1))))</f>
        <v>Adventure Works</v>
      </c>
    </row>
    <row r="2" spans="1:12" ht="17.399999999999999" x14ac:dyDescent="0.3">
      <c r="A2" s="40" t="str">
        <f>Model_Name</f>
        <v>SP Python in Excel Example Starter File Chapter 7</v>
      </c>
    </row>
    <row r="3" spans="1:12" ht="12" x14ac:dyDescent="0.25">
      <c r="A3" s="11" t="s">
        <v>0</v>
      </c>
      <c r="B3" s="11"/>
      <c r="C3" s="11"/>
      <c r="D3" s="11"/>
      <c r="E3" s="11"/>
    </row>
    <row r="4" spans="1:12" ht="13.8" x14ac:dyDescent="0.25">
      <c r="B4" t="s">
        <v>5</v>
      </c>
      <c r="F4" s="1">
        <f>Overall_Error_Check</f>
        <v>0</v>
      </c>
    </row>
    <row r="6" spans="1:12" ht="16.2" thickBot="1" x14ac:dyDescent="0.35">
      <c r="B6" s="41">
        <f>MAX($B$5:$B5)+1</f>
        <v>1</v>
      </c>
      <c r="C6" s="2" t="str">
        <f ca="1">A1</f>
        <v>Adventure Works</v>
      </c>
      <c r="D6" s="2"/>
      <c r="E6" s="2"/>
      <c r="F6" s="2"/>
      <c r="G6" s="2"/>
      <c r="H6" s="2"/>
      <c r="I6" s="2"/>
      <c r="J6" s="2"/>
      <c r="K6" s="2"/>
      <c r="L6" s="2"/>
    </row>
    <row r="7" spans="1:12" ht="12.6" thickTop="1" x14ac:dyDescent="0.25">
      <c r="E7" s="78" t="s">
        <v>226</v>
      </c>
    </row>
    <row r="8" spans="1:12" ht="16.8" x14ac:dyDescent="0.3">
      <c r="C8" s="3" t="s">
        <v>227</v>
      </c>
      <c r="E8" s="76" t="s">
        <v>172</v>
      </c>
      <c r="F8" s="77" t="s">
        <v>173</v>
      </c>
      <c r="G8" s="76" t="s">
        <v>174</v>
      </c>
      <c r="H8" s="76" t="s">
        <v>175</v>
      </c>
      <c r="I8" s="76" t="s">
        <v>176</v>
      </c>
    </row>
    <row r="9" spans="1:12" x14ac:dyDescent="0.2">
      <c r="B9">
        <v>1</v>
      </c>
      <c r="C9" t="e" cm="1" vm="1">
        <f t="array" ref="C9">_xlfn._xlws.PY(4,1,Region)</f>
        <v>#VALUE!</v>
      </c>
      <c r="D9" t="s">
        <v>228</v>
      </c>
      <c r="E9">
        <v>1</v>
      </c>
      <c r="F9" t="s">
        <v>177</v>
      </c>
      <c r="G9" t="s">
        <v>178</v>
      </c>
      <c r="H9" t="s">
        <v>179</v>
      </c>
      <c r="I9" t="s">
        <v>180</v>
      </c>
    </row>
    <row r="10" spans="1:12" s="49" customFormat="1" ht="14.4" x14ac:dyDescent="0.3">
      <c r="C10"/>
      <c r="D10"/>
      <c r="E10">
        <v>2</v>
      </c>
      <c r="F10" t="s">
        <v>181</v>
      </c>
      <c r="G10" t="s">
        <v>182</v>
      </c>
      <c r="H10" t="s">
        <v>183</v>
      </c>
      <c r="I10" t="s">
        <v>184</v>
      </c>
      <c r="J10"/>
      <c r="K10"/>
    </row>
    <row r="11" spans="1:12" s="49" customFormat="1" ht="14.4" x14ac:dyDescent="0.3">
      <c r="B11" s="49">
        <v>2</v>
      </c>
      <c r="C11" t="e" cm="1" vm="1">
        <f t="array" ref="C11">_xlfn._xlws.PY(5,1,Region)</f>
        <v>#VALUE!</v>
      </c>
      <c r="D11" t="s">
        <v>229</v>
      </c>
      <c r="E11">
        <v>3</v>
      </c>
      <c r="F11" t="s">
        <v>185</v>
      </c>
      <c r="G11" t="s">
        <v>186</v>
      </c>
      <c r="H11" t="s">
        <v>187</v>
      </c>
      <c r="I11" t="s">
        <v>180</v>
      </c>
      <c r="J11"/>
      <c r="K11"/>
    </row>
    <row r="12" spans="1:12" s="49" customFormat="1" ht="14.4" x14ac:dyDescent="0.3">
      <c r="C12"/>
      <c r="D12"/>
      <c r="E12">
        <v>4</v>
      </c>
      <c r="F12" t="s">
        <v>188</v>
      </c>
      <c r="G12" t="s">
        <v>189</v>
      </c>
      <c r="H12" t="s">
        <v>190</v>
      </c>
      <c r="I12" t="s">
        <v>191</v>
      </c>
      <c r="J12"/>
      <c r="K12"/>
    </row>
    <row r="13" spans="1:12" s="49" customFormat="1" ht="14.4" x14ac:dyDescent="0.3">
      <c r="B13" s="49">
        <v>3</v>
      </c>
      <c r="C13" t="e" cm="1" vm="1">
        <f t="array" ref="C13">_xlfn._xlws.PY(6,1,Region)</f>
        <v>#VALUE!</v>
      </c>
      <c r="D13" t="s">
        <v>230</v>
      </c>
      <c r="E13">
        <v>5</v>
      </c>
      <c r="F13" t="s">
        <v>192</v>
      </c>
      <c r="G13" t="s">
        <v>193</v>
      </c>
      <c r="H13"/>
      <c r="I13" t="s">
        <v>180</v>
      </c>
      <c r="J13"/>
      <c r="K13"/>
    </row>
    <row r="14" spans="1:12" s="49" customFormat="1" ht="14.4" x14ac:dyDescent="0.3">
      <c r="C14"/>
      <c r="D14"/>
      <c r="E14">
        <v>6</v>
      </c>
      <c r="F14" t="s">
        <v>194</v>
      </c>
      <c r="G14" t="s">
        <v>195</v>
      </c>
      <c r="H14" t="s">
        <v>196</v>
      </c>
      <c r="I14" t="s">
        <v>184</v>
      </c>
      <c r="J14"/>
      <c r="K14"/>
    </row>
    <row r="15" spans="1:12" s="49" customFormat="1" ht="14.4" x14ac:dyDescent="0.3">
      <c r="C15"/>
      <c r="D15"/>
      <c r="E15">
        <v>7</v>
      </c>
      <c r="F15" t="s">
        <v>197</v>
      </c>
      <c r="G15" t="s">
        <v>198</v>
      </c>
      <c r="H15" t="s">
        <v>199</v>
      </c>
      <c r="I15" t="s">
        <v>200</v>
      </c>
      <c r="J15"/>
      <c r="K15"/>
    </row>
    <row r="16" spans="1:12" s="49" customFormat="1" ht="14.4" x14ac:dyDescent="0.3">
      <c r="C16"/>
      <c r="D16"/>
      <c r="E16">
        <v>8</v>
      </c>
      <c r="F16" t="s">
        <v>197</v>
      </c>
      <c r="G16" t="s">
        <v>201</v>
      </c>
      <c r="H16" t="s">
        <v>202</v>
      </c>
      <c r="I16" t="s">
        <v>203</v>
      </c>
      <c r="J16"/>
      <c r="K16"/>
    </row>
    <row r="17" spans="3:13" s="49" customFormat="1" ht="14.4" x14ac:dyDescent="0.3">
      <c r="C17"/>
      <c r="D17"/>
      <c r="E17">
        <v>9</v>
      </c>
      <c r="F17"/>
      <c r="G17" t="s">
        <v>204</v>
      </c>
      <c r="H17" t="s">
        <v>205</v>
      </c>
      <c r="I17" t="s">
        <v>180</v>
      </c>
      <c r="J17"/>
      <c r="K17"/>
    </row>
    <row r="18" spans="3:13" s="49" customFormat="1" ht="14.4" x14ac:dyDescent="0.3">
      <c r="C18"/>
      <c r="D18"/>
      <c r="E18">
        <v>10</v>
      </c>
      <c r="F18" t="s">
        <v>206</v>
      </c>
      <c r="G18" t="s">
        <v>207</v>
      </c>
      <c r="H18" t="s">
        <v>208</v>
      </c>
      <c r="I18" t="s">
        <v>180</v>
      </c>
      <c r="J18"/>
      <c r="K18"/>
    </row>
    <row r="19" spans="3:13" s="49" customFormat="1" ht="14.4" x14ac:dyDescent="0.3">
      <c r="C19"/>
      <c r="D19"/>
      <c r="E19">
        <v>11</v>
      </c>
      <c r="F19" t="s">
        <v>209</v>
      </c>
      <c r="G19" t="s">
        <v>210</v>
      </c>
      <c r="H19" t="s">
        <v>211</v>
      </c>
      <c r="I19" t="s">
        <v>212</v>
      </c>
      <c r="J19"/>
      <c r="K19"/>
    </row>
    <row r="20" spans="3:13" x14ac:dyDescent="0.2">
      <c r="E20">
        <v>12</v>
      </c>
      <c r="F20" t="s">
        <v>213</v>
      </c>
      <c r="G20" t="s">
        <v>214</v>
      </c>
      <c r="H20" t="s">
        <v>215</v>
      </c>
      <c r="I20" t="s">
        <v>216</v>
      </c>
      <c r="L20" s="48"/>
      <c r="M20" s="48"/>
    </row>
    <row r="21" spans="3:13" x14ac:dyDescent="0.2">
      <c r="E21">
        <v>13</v>
      </c>
      <c r="F21" t="s">
        <v>213</v>
      </c>
      <c r="G21" t="s">
        <v>217</v>
      </c>
      <c r="H21" t="s">
        <v>218</v>
      </c>
      <c r="L21" s="48"/>
      <c r="M21" s="48"/>
    </row>
    <row r="22" spans="3:13" x14ac:dyDescent="0.2">
      <c r="E22">
        <v>14</v>
      </c>
      <c r="F22" t="s">
        <v>219</v>
      </c>
      <c r="G22" t="s">
        <v>220</v>
      </c>
      <c r="H22" t="s">
        <v>221</v>
      </c>
      <c r="I22" t="s">
        <v>180</v>
      </c>
      <c r="L22" s="48"/>
      <c r="M22" s="48"/>
    </row>
    <row r="23" spans="3:13" x14ac:dyDescent="0.2">
      <c r="E23">
        <v>15</v>
      </c>
      <c r="F23" t="s">
        <v>222</v>
      </c>
      <c r="G23" t="s">
        <v>223</v>
      </c>
      <c r="H23" t="s">
        <v>224</v>
      </c>
      <c r="I23" t="s">
        <v>225</v>
      </c>
      <c r="L23" s="48"/>
      <c r="M23" s="48"/>
    </row>
    <row r="24" spans="3:13" x14ac:dyDescent="0.2">
      <c r="L24" s="48"/>
      <c r="M24" s="48"/>
    </row>
    <row r="25" spans="3:13" x14ac:dyDescent="0.2">
      <c r="L25" s="48"/>
      <c r="M25" s="48"/>
    </row>
    <row r="26" spans="3:13" x14ac:dyDescent="0.2">
      <c r="L26" s="48"/>
      <c r="M26" s="48"/>
    </row>
    <row r="27" spans="3:13" x14ac:dyDescent="0.2">
      <c r="L27" s="48"/>
      <c r="M27" s="48"/>
    </row>
    <row r="28" spans="3:13" x14ac:dyDescent="0.2">
      <c r="L28" s="48"/>
      <c r="M28" s="48"/>
    </row>
    <row r="29" spans="3:13" x14ac:dyDescent="0.2">
      <c r="L29" s="48"/>
      <c r="M29" s="48"/>
    </row>
    <row r="30" spans="3:13" x14ac:dyDescent="0.2">
      <c r="L30" s="48"/>
      <c r="M30" s="48"/>
    </row>
    <row r="31" spans="3:13" x14ac:dyDescent="0.2">
      <c r="L31" s="48"/>
      <c r="M31" s="48"/>
    </row>
    <row r="32" spans="3:13" x14ac:dyDescent="0.2">
      <c r="L32" s="48"/>
      <c r="M32" s="48"/>
    </row>
    <row r="33" spans="12:13" x14ac:dyDescent="0.2">
      <c r="L33" s="48"/>
      <c r="M33" s="48"/>
    </row>
    <row r="34" spans="12:13" x14ac:dyDescent="0.2">
      <c r="L34" s="48"/>
      <c r="M34" s="48"/>
    </row>
    <row r="35" spans="12:13" x14ac:dyDescent="0.2">
      <c r="L35" s="48"/>
      <c r="M35" s="48"/>
    </row>
    <row r="36" spans="12:13" x14ac:dyDescent="0.2">
      <c r="L36" s="48"/>
      <c r="M36" s="48"/>
    </row>
    <row r="37" spans="12:13" x14ac:dyDescent="0.2">
      <c r="L37" s="48"/>
      <c r="M37" s="48"/>
    </row>
    <row r="38" spans="12:13" x14ac:dyDescent="0.2">
      <c r="L38" s="48"/>
      <c r="M38" s="48"/>
    </row>
    <row r="39" spans="12:13" x14ac:dyDescent="0.2">
      <c r="L39" s="48"/>
      <c r="M39" s="48"/>
    </row>
    <row r="40" spans="12:13" x14ac:dyDescent="0.2">
      <c r="L40" s="48"/>
      <c r="M40" s="48"/>
    </row>
    <row r="41" spans="12:13" x14ac:dyDescent="0.2">
      <c r="L41" s="48"/>
      <c r="M41" s="48"/>
    </row>
    <row r="42" spans="12:13" x14ac:dyDescent="0.2">
      <c r="L42" s="48"/>
      <c r="M42" s="48"/>
    </row>
    <row r="43" spans="12:13" x14ac:dyDescent="0.2">
      <c r="L43" s="48"/>
      <c r="M43" s="48"/>
    </row>
    <row r="44" spans="12:13" x14ac:dyDescent="0.2">
      <c r="L44" s="48"/>
      <c r="M44" s="48"/>
    </row>
    <row r="45" spans="12:13" x14ac:dyDescent="0.2">
      <c r="L45" s="48"/>
      <c r="M45" s="48"/>
    </row>
    <row r="46" spans="12:13" x14ac:dyDescent="0.2">
      <c r="L46" s="48"/>
      <c r="M46" s="48"/>
    </row>
    <row r="47" spans="12:13" x14ac:dyDescent="0.2">
      <c r="L47" s="48"/>
      <c r="M47" s="48"/>
    </row>
    <row r="48" spans="12:13" x14ac:dyDescent="0.2">
      <c r="L48" s="48"/>
      <c r="M48" s="48"/>
    </row>
    <row r="49" spans="12:13" x14ac:dyDescent="0.2">
      <c r="L49" s="48"/>
      <c r="M49" s="48"/>
    </row>
    <row r="50" spans="12:13" x14ac:dyDescent="0.2">
      <c r="L50" s="48"/>
      <c r="M50" s="48"/>
    </row>
    <row r="51" spans="12:13" x14ac:dyDescent="0.2">
      <c r="L51" s="48"/>
      <c r="M51" s="48"/>
    </row>
    <row r="52" spans="12:13" x14ac:dyDescent="0.2">
      <c r="L52" s="48"/>
      <c r="M52" s="48"/>
    </row>
    <row r="53" spans="12:13" x14ac:dyDescent="0.2">
      <c r="L53" s="48"/>
      <c r="M53" s="48"/>
    </row>
    <row r="54" spans="12:13" x14ac:dyDescent="0.2">
      <c r="L54" s="48"/>
      <c r="M54" s="48"/>
    </row>
    <row r="55" spans="12:13" x14ac:dyDescent="0.2">
      <c r="L55" s="48"/>
      <c r="M55" s="48"/>
    </row>
    <row r="56" spans="12:13" x14ac:dyDescent="0.2">
      <c r="L56" s="48"/>
      <c r="M56" s="48"/>
    </row>
    <row r="57" spans="12:13" x14ac:dyDescent="0.2">
      <c r="L57" s="48"/>
      <c r="M57" s="48"/>
    </row>
    <row r="58" spans="12:13" x14ac:dyDescent="0.2">
      <c r="L58" s="48"/>
      <c r="M58" s="48"/>
    </row>
    <row r="59" spans="12:13" x14ac:dyDescent="0.2">
      <c r="L59" s="48"/>
      <c r="M59" s="48"/>
    </row>
    <row r="60" spans="12:13" x14ac:dyDescent="0.2">
      <c r="L60" s="48"/>
      <c r="M60" s="48"/>
    </row>
    <row r="61" spans="12:13" x14ac:dyDescent="0.2">
      <c r="L61" s="48"/>
      <c r="M61" s="48"/>
    </row>
    <row r="62" spans="12:13" x14ac:dyDescent="0.2">
      <c r="L62" s="48"/>
      <c r="M62" s="48"/>
    </row>
    <row r="63" spans="12:13" x14ac:dyDescent="0.2">
      <c r="L63" s="48"/>
      <c r="M63" s="48"/>
    </row>
    <row r="64" spans="12:13" x14ac:dyDescent="0.2">
      <c r="L64" s="48"/>
      <c r="M64" s="48"/>
    </row>
    <row r="65" spans="12:13" x14ac:dyDescent="0.2">
      <c r="L65" s="48"/>
      <c r="M65" s="48"/>
    </row>
    <row r="66" spans="12:13" x14ac:dyDescent="0.2">
      <c r="L66" s="48"/>
      <c r="M66" s="48"/>
    </row>
    <row r="67" spans="12:13" x14ac:dyDescent="0.2">
      <c r="L67" s="48"/>
      <c r="M67" s="48"/>
    </row>
    <row r="68" spans="12:13" x14ac:dyDescent="0.2">
      <c r="L68" s="48"/>
      <c r="M68" s="48"/>
    </row>
    <row r="69" spans="12:13" x14ac:dyDescent="0.2">
      <c r="L69" s="48"/>
      <c r="M69" s="48"/>
    </row>
    <row r="70" spans="12:13" x14ac:dyDescent="0.2">
      <c r="L70" s="48"/>
      <c r="M70" s="48"/>
    </row>
    <row r="71" spans="12:13" x14ac:dyDescent="0.2">
      <c r="L71" s="48"/>
      <c r="M71" s="48"/>
    </row>
    <row r="72" spans="12:13" x14ac:dyDescent="0.2">
      <c r="L72" s="48"/>
      <c r="M72" s="48"/>
    </row>
    <row r="73" spans="12:13" x14ac:dyDescent="0.2">
      <c r="L73" s="48"/>
      <c r="M73" s="48"/>
    </row>
    <row r="74" spans="12:13" x14ac:dyDescent="0.2">
      <c r="L74" s="48"/>
      <c r="M74" s="48"/>
    </row>
    <row r="75" spans="12:13" x14ac:dyDescent="0.2">
      <c r="L75" s="48"/>
      <c r="M75" s="48"/>
    </row>
    <row r="76" spans="12:13" x14ac:dyDescent="0.2">
      <c r="L76" s="48"/>
      <c r="M76" s="48"/>
    </row>
    <row r="77" spans="12:13" x14ac:dyDescent="0.2">
      <c r="L77" s="48"/>
      <c r="M77" s="48"/>
    </row>
    <row r="78" spans="12:13" x14ac:dyDescent="0.2">
      <c r="L78" s="48"/>
      <c r="M78" s="48"/>
    </row>
    <row r="79" spans="12:13" x14ac:dyDescent="0.2">
      <c r="L79" s="48"/>
      <c r="M79" s="48"/>
    </row>
    <row r="80" spans="12:13" x14ac:dyDescent="0.2">
      <c r="L80" s="48"/>
      <c r="M80" s="48"/>
    </row>
    <row r="81" spans="12:13" x14ac:dyDescent="0.2">
      <c r="L81" s="48"/>
      <c r="M81" s="48"/>
    </row>
    <row r="82" spans="12:13" x14ac:dyDescent="0.2">
      <c r="L82" s="48"/>
      <c r="M82" s="48"/>
    </row>
    <row r="83" spans="12:13" x14ac:dyDescent="0.2">
      <c r="L83" s="48"/>
      <c r="M83" s="48"/>
    </row>
    <row r="84" spans="12:13" x14ac:dyDescent="0.2">
      <c r="L84" s="48"/>
      <c r="M84" s="48"/>
    </row>
    <row r="85" spans="12:13" x14ac:dyDescent="0.2">
      <c r="L85" s="48"/>
      <c r="M85" s="48"/>
    </row>
    <row r="86" spans="12:13" x14ac:dyDescent="0.2">
      <c r="L86" s="48"/>
      <c r="M86" s="48"/>
    </row>
    <row r="87" spans="12:13" x14ac:dyDescent="0.2">
      <c r="L87" s="48"/>
      <c r="M87" s="48"/>
    </row>
    <row r="88" spans="12:13" x14ac:dyDescent="0.2">
      <c r="L88" s="48"/>
      <c r="M88" s="48"/>
    </row>
    <row r="89" spans="12:13" x14ac:dyDescent="0.2">
      <c r="L89" s="48"/>
      <c r="M89" s="48"/>
    </row>
    <row r="90" spans="12:13" x14ac:dyDescent="0.2">
      <c r="L90" s="48"/>
      <c r="M90" s="48"/>
    </row>
    <row r="91" spans="12:13" x14ac:dyDescent="0.2">
      <c r="L91" s="48"/>
      <c r="M91" s="48"/>
    </row>
    <row r="92" spans="12:13" x14ac:dyDescent="0.2">
      <c r="L92" s="48"/>
      <c r="M92" s="48"/>
    </row>
    <row r="93" spans="12:13" x14ac:dyDescent="0.2">
      <c r="L93" s="48"/>
      <c r="M93" s="48"/>
    </row>
    <row r="94" spans="12:13" x14ac:dyDescent="0.2">
      <c r="L94" s="48"/>
      <c r="M94" s="48"/>
    </row>
    <row r="95" spans="12:13" x14ac:dyDescent="0.2">
      <c r="L95" s="48"/>
      <c r="M95" s="48"/>
    </row>
    <row r="96" spans="12:13" x14ac:dyDescent="0.2">
      <c r="L96" s="48"/>
      <c r="M96" s="48"/>
    </row>
    <row r="97" spans="12:13" x14ac:dyDescent="0.2">
      <c r="L97" s="48"/>
      <c r="M97" s="48"/>
    </row>
    <row r="98" spans="12:13" x14ac:dyDescent="0.2">
      <c r="L98" s="48"/>
      <c r="M98" s="48"/>
    </row>
    <row r="99" spans="12:13" x14ac:dyDescent="0.2">
      <c r="L99" s="48"/>
      <c r="M99" s="48"/>
    </row>
    <row r="100" spans="12:13" x14ac:dyDescent="0.2">
      <c r="L100" s="48"/>
      <c r="M100" s="48"/>
    </row>
    <row r="101" spans="12:13" x14ac:dyDescent="0.2">
      <c r="L101" s="48"/>
      <c r="M101" s="48"/>
    </row>
    <row r="102" spans="12:13" x14ac:dyDescent="0.2">
      <c r="L102" s="48"/>
      <c r="M102" s="48"/>
    </row>
    <row r="103" spans="12:13" x14ac:dyDescent="0.2">
      <c r="L103" s="48"/>
      <c r="M103" s="48"/>
    </row>
    <row r="104" spans="12:13" x14ac:dyDescent="0.2">
      <c r="L104" s="48"/>
      <c r="M104" s="48"/>
    </row>
    <row r="105" spans="12:13" x14ac:dyDescent="0.2">
      <c r="L105" s="48"/>
      <c r="M105" s="48"/>
    </row>
    <row r="106" spans="12:13" x14ac:dyDescent="0.2">
      <c r="L106" s="48"/>
      <c r="M106" s="48"/>
    </row>
    <row r="107" spans="12:13" x14ac:dyDescent="0.2">
      <c r="L107" s="48"/>
      <c r="M107" s="48"/>
    </row>
    <row r="108" spans="12:13" x14ac:dyDescent="0.2">
      <c r="L108" s="48"/>
      <c r="M108" s="48"/>
    </row>
    <row r="109" spans="12:13" x14ac:dyDescent="0.2">
      <c r="L109" s="48"/>
      <c r="M109" s="48"/>
    </row>
    <row r="110" spans="12:13" x14ac:dyDescent="0.2">
      <c r="L110" s="48"/>
      <c r="M110" s="48"/>
    </row>
    <row r="111" spans="12:13" x14ac:dyDescent="0.2">
      <c r="L111" s="48"/>
      <c r="M111" s="48"/>
    </row>
    <row r="112" spans="12:13" x14ac:dyDescent="0.2">
      <c r="L112" s="48"/>
      <c r="M112" s="48"/>
    </row>
    <row r="113" spans="12:13" x14ac:dyDescent="0.2">
      <c r="L113" s="48"/>
      <c r="M113" s="48"/>
    </row>
    <row r="114" spans="12:13" x14ac:dyDescent="0.2">
      <c r="L114" s="48"/>
      <c r="M114" s="48"/>
    </row>
    <row r="115" spans="12:13" x14ac:dyDescent="0.2">
      <c r="L115" s="48"/>
      <c r="M115" s="48"/>
    </row>
    <row r="116" spans="12:13" x14ac:dyDescent="0.2">
      <c r="L116" s="48"/>
      <c r="M116" s="48"/>
    </row>
    <row r="117" spans="12:13" x14ac:dyDescent="0.2">
      <c r="L117" s="48"/>
      <c r="M117" s="48"/>
    </row>
    <row r="118" spans="12:13" x14ac:dyDescent="0.2">
      <c r="L118" s="48"/>
      <c r="M118" s="48"/>
    </row>
    <row r="119" spans="12:13" x14ac:dyDescent="0.2">
      <c r="L119" s="48"/>
      <c r="M119" s="48"/>
    </row>
    <row r="120" spans="12:13" x14ac:dyDescent="0.2">
      <c r="L120" s="48"/>
      <c r="M120" s="48"/>
    </row>
    <row r="121" spans="12:13" x14ac:dyDescent="0.2">
      <c r="L121" s="48"/>
      <c r="M121" s="48"/>
    </row>
    <row r="122" spans="12:13" x14ac:dyDescent="0.2">
      <c r="L122" s="48"/>
      <c r="M122" s="48"/>
    </row>
    <row r="123" spans="12:13" x14ac:dyDescent="0.2">
      <c r="L123" s="48"/>
      <c r="M123" s="48"/>
    </row>
    <row r="124" spans="12:13" x14ac:dyDescent="0.2">
      <c r="L124" s="48"/>
      <c r="M124" s="48"/>
    </row>
    <row r="125" spans="12:13" x14ac:dyDescent="0.2">
      <c r="L125" s="48"/>
      <c r="M125" s="48"/>
    </row>
    <row r="126" spans="12:13" x14ac:dyDescent="0.2">
      <c r="L126" s="48"/>
      <c r="M126" s="48"/>
    </row>
    <row r="127" spans="12:13" x14ac:dyDescent="0.2">
      <c r="L127" s="48"/>
      <c r="M127" s="48"/>
    </row>
    <row r="128" spans="12:13" x14ac:dyDescent="0.2">
      <c r="L128" s="48"/>
      <c r="M128" s="48"/>
    </row>
    <row r="129" spans="12:13" x14ac:dyDescent="0.2">
      <c r="L129" s="48"/>
      <c r="M129" s="48"/>
    </row>
    <row r="130" spans="12:13" x14ac:dyDescent="0.2">
      <c r="L130" s="48"/>
      <c r="M130" s="48"/>
    </row>
    <row r="131" spans="12:13" x14ac:dyDescent="0.2">
      <c r="L131" s="48"/>
      <c r="M131" s="48"/>
    </row>
    <row r="132" spans="12:13" x14ac:dyDescent="0.2">
      <c r="L132" s="48"/>
      <c r="M132" s="48"/>
    </row>
    <row r="133" spans="12:13" x14ac:dyDescent="0.2">
      <c r="L133" s="48"/>
      <c r="M133" s="48"/>
    </row>
    <row r="134" spans="12:13" x14ac:dyDescent="0.2">
      <c r="L134" s="48"/>
      <c r="M134" s="48"/>
    </row>
    <row r="135" spans="12:13" x14ac:dyDescent="0.2">
      <c r="L135" s="48"/>
      <c r="M135" s="48"/>
    </row>
    <row r="136" spans="12:13" x14ac:dyDescent="0.2">
      <c r="L136" s="48"/>
      <c r="M136" s="48"/>
    </row>
    <row r="137" spans="12:13" x14ac:dyDescent="0.2">
      <c r="L137" s="48"/>
      <c r="M137" s="48"/>
    </row>
    <row r="138" spans="12:13" x14ac:dyDescent="0.2">
      <c r="L138" s="48"/>
      <c r="M138" s="48"/>
    </row>
    <row r="139" spans="12:13" x14ac:dyDescent="0.2">
      <c r="L139" s="48"/>
      <c r="M139" s="48"/>
    </row>
    <row r="140" spans="12:13" x14ac:dyDescent="0.2">
      <c r="L140" s="48"/>
      <c r="M140" s="48"/>
    </row>
    <row r="141" spans="12:13" x14ac:dyDescent="0.2">
      <c r="L141" s="48"/>
      <c r="M141" s="48"/>
    </row>
    <row r="142" spans="12:13" x14ac:dyDescent="0.2">
      <c r="L142" s="48"/>
      <c r="M142" s="48"/>
    </row>
    <row r="143" spans="12:13" x14ac:dyDescent="0.2">
      <c r="L143" s="48"/>
      <c r="M143" s="48"/>
    </row>
    <row r="144" spans="12:13" x14ac:dyDescent="0.2">
      <c r="L144" s="48"/>
      <c r="M144" s="48"/>
    </row>
    <row r="145" spans="12:13" x14ac:dyDescent="0.2">
      <c r="L145" s="48"/>
      <c r="M145" s="48"/>
    </row>
    <row r="146" spans="12:13" x14ac:dyDescent="0.2">
      <c r="L146" s="48"/>
      <c r="M146" s="48"/>
    </row>
    <row r="147" spans="12:13" x14ac:dyDescent="0.2">
      <c r="L147" s="48"/>
      <c r="M147" s="48"/>
    </row>
    <row r="148" spans="12:13" x14ac:dyDescent="0.2">
      <c r="L148" s="48"/>
      <c r="M148" s="48"/>
    </row>
    <row r="149" spans="12:13" x14ac:dyDescent="0.2">
      <c r="L149" s="48"/>
      <c r="M149" s="48"/>
    </row>
    <row r="150" spans="12:13" x14ac:dyDescent="0.2">
      <c r="L150" s="48"/>
      <c r="M150" s="48"/>
    </row>
    <row r="151" spans="12:13" x14ac:dyDescent="0.2">
      <c r="L151" s="48"/>
      <c r="M151" s="48"/>
    </row>
    <row r="152" spans="12:13" x14ac:dyDescent="0.2">
      <c r="L152" s="48"/>
      <c r="M152" s="48"/>
    </row>
    <row r="153" spans="12:13" x14ac:dyDescent="0.2">
      <c r="L153" s="48"/>
      <c r="M153" s="48"/>
    </row>
    <row r="154" spans="12:13" x14ac:dyDescent="0.2">
      <c r="L154" s="48"/>
      <c r="M154" s="48"/>
    </row>
    <row r="155" spans="12:13" x14ac:dyDescent="0.2">
      <c r="L155" s="48"/>
      <c r="M155" s="48"/>
    </row>
    <row r="156" spans="12:13" x14ac:dyDescent="0.2">
      <c r="L156" s="48"/>
      <c r="M156" s="48"/>
    </row>
    <row r="157" spans="12:13" x14ac:dyDescent="0.2">
      <c r="L157" s="48"/>
      <c r="M157" s="48"/>
    </row>
    <row r="158" spans="12:13" x14ac:dyDescent="0.2">
      <c r="L158" s="48"/>
      <c r="M158" s="48"/>
    </row>
    <row r="159" spans="12:13" x14ac:dyDescent="0.2">
      <c r="L159" s="48"/>
      <c r="M159" s="48"/>
    </row>
    <row r="160" spans="12:13" x14ac:dyDescent="0.2">
      <c r="L160" s="48"/>
      <c r="M160" s="48"/>
    </row>
    <row r="161" spans="12:13" x14ac:dyDescent="0.2">
      <c r="L161" s="48"/>
      <c r="M161" s="48"/>
    </row>
    <row r="162" spans="12:13" x14ac:dyDescent="0.2">
      <c r="L162" s="48"/>
      <c r="M162" s="48"/>
    </row>
    <row r="163" spans="12:13" x14ac:dyDescent="0.2">
      <c r="L163" s="48"/>
      <c r="M163" s="48"/>
    </row>
    <row r="164" spans="12:13" x14ac:dyDescent="0.2">
      <c r="L164" s="48"/>
      <c r="M164" s="48"/>
    </row>
    <row r="165" spans="12:13" x14ac:dyDescent="0.2">
      <c r="L165" s="48"/>
      <c r="M165" s="48"/>
    </row>
    <row r="166" spans="12:13" x14ac:dyDescent="0.2">
      <c r="L166" s="48"/>
      <c r="M166" s="48"/>
    </row>
    <row r="167" spans="12:13" x14ac:dyDescent="0.2">
      <c r="L167" s="48"/>
      <c r="M167" s="48"/>
    </row>
    <row r="168" spans="12:13" x14ac:dyDescent="0.2">
      <c r="L168" s="48"/>
      <c r="M168" s="48"/>
    </row>
    <row r="169" spans="12:13" x14ac:dyDescent="0.2">
      <c r="L169" s="48"/>
      <c r="M169" s="48"/>
    </row>
    <row r="170" spans="12:13" x14ac:dyDescent="0.2">
      <c r="L170" s="48"/>
      <c r="M170" s="48"/>
    </row>
    <row r="171" spans="12:13" x14ac:dyDescent="0.2">
      <c r="L171" s="48"/>
      <c r="M171" s="48"/>
    </row>
    <row r="172" spans="12:13" x14ac:dyDescent="0.2">
      <c r="L172" s="48"/>
      <c r="M172" s="48"/>
    </row>
    <row r="173" spans="12:13" x14ac:dyDescent="0.2">
      <c r="L173" s="48"/>
      <c r="M173" s="48"/>
    </row>
    <row r="174" spans="12:13" x14ac:dyDescent="0.2">
      <c r="L174" s="48"/>
      <c r="M174" s="48"/>
    </row>
    <row r="175" spans="12:13" x14ac:dyDescent="0.2">
      <c r="L175" s="48"/>
      <c r="M175" s="48"/>
    </row>
    <row r="176" spans="12:13" x14ac:dyDescent="0.2">
      <c r="L176" s="48"/>
      <c r="M176" s="48"/>
    </row>
    <row r="177" spans="12:13" x14ac:dyDescent="0.2">
      <c r="L177" s="48"/>
      <c r="M177" s="48"/>
    </row>
    <row r="178" spans="12:13" x14ac:dyDescent="0.2">
      <c r="L178" s="48"/>
      <c r="M178" s="48"/>
    </row>
    <row r="179" spans="12:13" x14ac:dyDescent="0.2">
      <c r="L179" s="48"/>
      <c r="M179" s="48"/>
    </row>
    <row r="180" spans="12:13" x14ac:dyDescent="0.2">
      <c r="L180" s="48"/>
      <c r="M180" s="48"/>
    </row>
    <row r="181" spans="12:13" x14ac:dyDescent="0.2">
      <c r="L181" s="48"/>
      <c r="M181" s="48"/>
    </row>
    <row r="182" spans="12:13" x14ac:dyDescent="0.2">
      <c r="L182" s="48"/>
      <c r="M182" s="48"/>
    </row>
    <row r="183" spans="12:13" x14ac:dyDescent="0.2">
      <c r="L183" s="48"/>
      <c r="M183" s="48"/>
    </row>
    <row r="184" spans="12:13" x14ac:dyDescent="0.2">
      <c r="L184" s="48"/>
      <c r="M184" s="48"/>
    </row>
    <row r="185" spans="12:13" x14ac:dyDescent="0.2">
      <c r="L185" s="48"/>
      <c r="M185" s="48"/>
    </row>
    <row r="186" spans="12:13" x14ac:dyDescent="0.2">
      <c r="L186" s="48"/>
      <c r="M186" s="48"/>
    </row>
    <row r="187" spans="12:13" x14ac:dyDescent="0.2">
      <c r="L187" s="48"/>
      <c r="M187" s="48"/>
    </row>
    <row r="188" spans="12:13" x14ac:dyDescent="0.2">
      <c r="L188" s="48"/>
      <c r="M188" s="48"/>
    </row>
    <row r="189" spans="12:13" x14ac:dyDescent="0.2">
      <c r="L189" s="48"/>
      <c r="M189" s="48"/>
    </row>
    <row r="190" spans="12:13" x14ac:dyDescent="0.2">
      <c r="L190" s="48"/>
      <c r="M190" s="48"/>
    </row>
    <row r="191" spans="12:13" x14ac:dyDescent="0.2">
      <c r="L191" s="48"/>
      <c r="M191" s="48"/>
    </row>
    <row r="192" spans="12:13" x14ac:dyDescent="0.2">
      <c r="L192" s="48"/>
      <c r="M192" s="48"/>
    </row>
    <row r="193" spans="12:13" x14ac:dyDescent="0.2">
      <c r="L193" s="48"/>
      <c r="M193" s="48"/>
    </row>
    <row r="194" spans="12:13" x14ac:dyDescent="0.2">
      <c r="L194" s="48"/>
      <c r="M194" s="48"/>
    </row>
    <row r="195" spans="12:13" x14ac:dyDescent="0.2">
      <c r="L195" s="48"/>
      <c r="M195" s="48"/>
    </row>
    <row r="196" spans="12:13" x14ac:dyDescent="0.2">
      <c r="L196" s="48"/>
      <c r="M196" s="48"/>
    </row>
    <row r="197" spans="12:13" x14ac:dyDescent="0.2">
      <c r="L197" s="48"/>
      <c r="M197" s="48"/>
    </row>
    <row r="198" spans="12:13" x14ac:dyDescent="0.2">
      <c r="L198" s="48"/>
      <c r="M198" s="48"/>
    </row>
    <row r="199" spans="12:13" x14ac:dyDescent="0.2">
      <c r="L199" s="48"/>
      <c r="M199" s="48"/>
    </row>
    <row r="200" spans="12:13" x14ac:dyDescent="0.2">
      <c r="L200" s="48"/>
      <c r="M200" s="48"/>
    </row>
    <row r="201" spans="12:13" x14ac:dyDescent="0.2">
      <c r="L201" s="48"/>
      <c r="M201" s="48"/>
    </row>
    <row r="202" spans="12:13" x14ac:dyDescent="0.2">
      <c r="L202" s="48"/>
      <c r="M202" s="48"/>
    </row>
    <row r="203" spans="12:13" x14ac:dyDescent="0.2">
      <c r="L203" s="48"/>
      <c r="M203" s="48"/>
    </row>
    <row r="204" spans="12:13" x14ac:dyDescent="0.2">
      <c r="L204" s="48"/>
      <c r="M204" s="48"/>
    </row>
    <row r="205" spans="12:13" x14ac:dyDescent="0.2">
      <c r="L205" s="48"/>
      <c r="M205" s="48"/>
    </row>
    <row r="206" spans="12:13" x14ac:dyDescent="0.2">
      <c r="L206" s="48"/>
      <c r="M206" s="48"/>
    </row>
    <row r="207" spans="12:13" x14ac:dyDescent="0.2">
      <c r="L207" s="48"/>
      <c r="M207" s="48"/>
    </row>
    <row r="208" spans="12:13" x14ac:dyDescent="0.2">
      <c r="L208" s="48"/>
      <c r="M208" s="48"/>
    </row>
    <row r="209" spans="12:13" x14ac:dyDescent="0.2">
      <c r="L209" s="48"/>
      <c r="M209" s="48"/>
    </row>
    <row r="210" spans="12:13" x14ac:dyDescent="0.2">
      <c r="L210" s="48"/>
      <c r="M210" s="48"/>
    </row>
    <row r="211" spans="12:13" x14ac:dyDescent="0.2">
      <c r="L211" s="48"/>
      <c r="M211" s="48"/>
    </row>
    <row r="212" spans="12:13" x14ac:dyDescent="0.2">
      <c r="L212" s="48"/>
      <c r="M212" s="48"/>
    </row>
    <row r="213" spans="12:13" x14ac:dyDescent="0.2">
      <c r="L213" s="48"/>
      <c r="M213" s="48"/>
    </row>
    <row r="214" spans="12:13" x14ac:dyDescent="0.2">
      <c r="L214" s="48"/>
      <c r="M214" s="48"/>
    </row>
    <row r="215" spans="12:13" x14ac:dyDescent="0.2">
      <c r="L215" s="48"/>
      <c r="M215" s="48"/>
    </row>
    <row r="216" spans="12:13" x14ac:dyDescent="0.2">
      <c r="L216" s="48"/>
      <c r="M216" s="48"/>
    </row>
    <row r="217" spans="12:13" x14ac:dyDescent="0.2">
      <c r="L217" s="48"/>
      <c r="M217" s="48"/>
    </row>
    <row r="218" spans="12:13" x14ac:dyDescent="0.2">
      <c r="L218" s="48"/>
      <c r="M218" s="48"/>
    </row>
    <row r="219" spans="12:13" x14ac:dyDescent="0.2">
      <c r="L219" s="48"/>
      <c r="M219" s="48"/>
    </row>
    <row r="220" spans="12:13" x14ac:dyDescent="0.2">
      <c r="L220" s="48"/>
      <c r="M220" s="48"/>
    </row>
    <row r="221" spans="12:13" x14ac:dyDescent="0.2">
      <c r="L221" s="48"/>
      <c r="M221" s="48"/>
    </row>
    <row r="222" spans="12:13" x14ac:dyDescent="0.2">
      <c r="L222" s="48"/>
      <c r="M222" s="48"/>
    </row>
    <row r="223" spans="12:13" x14ac:dyDescent="0.2">
      <c r="L223" s="48"/>
      <c r="M223" s="48"/>
    </row>
    <row r="224" spans="12:13" x14ac:dyDescent="0.2">
      <c r="L224" s="48"/>
      <c r="M224" s="48"/>
    </row>
    <row r="225" spans="12:13" x14ac:dyDescent="0.2">
      <c r="L225" s="48"/>
      <c r="M225" s="48"/>
    </row>
    <row r="226" spans="12:13" x14ac:dyDescent="0.2">
      <c r="L226" s="48"/>
      <c r="M226" s="48"/>
    </row>
    <row r="227" spans="12:13" x14ac:dyDescent="0.2">
      <c r="L227" s="48"/>
      <c r="M227" s="48"/>
    </row>
    <row r="228" spans="12:13" x14ac:dyDescent="0.2">
      <c r="L228" s="48"/>
      <c r="M228" s="48"/>
    </row>
    <row r="229" spans="12:13" x14ac:dyDescent="0.2">
      <c r="L229" s="48"/>
      <c r="M229" s="48"/>
    </row>
    <row r="230" spans="12:13" x14ac:dyDescent="0.2">
      <c r="L230" s="48"/>
      <c r="M230" s="48"/>
    </row>
    <row r="231" spans="12:13" x14ac:dyDescent="0.2">
      <c r="L231" s="48"/>
      <c r="M231" s="48"/>
    </row>
    <row r="232" spans="12:13" x14ac:dyDescent="0.2">
      <c r="L232" s="48"/>
      <c r="M232" s="48"/>
    </row>
    <row r="233" spans="12:13" x14ac:dyDescent="0.2">
      <c r="L233" s="48"/>
      <c r="M233" s="48"/>
    </row>
    <row r="234" spans="12:13" x14ac:dyDescent="0.2">
      <c r="L234" s="48"/>
      <c r="M234" s="48"/>
    </row>
    <row r="235" spans="12:13" x14ac:dyDescent="0.2">
      <c r="L235" s="48"/>
      <c r="M235" s="48"/>
    </row>
    <row r="236" spans="12:13" x14ac:dyDescent="0.2">
      <c r="L236" s="48"/>
      <c r="M236" s="48"/>
    </row>
    <row r="237" spans="12:13" x14ac:dyDescent="0.2">
      <c r="L237" s="48"/>
      <c r="M237" s="48"/>
    </row>
    <row r="238" spans="12:13" x14ac:dyDescent="0.2">
      <c r="L238" s="48"/>
      <c r="M238" s="48"/>
    </row>
    <row r="239" spans="12:13" x14ac:dyDescent="0.2">
      <c r="L239" s="48"/>
      <c r="M239" s="48"/>
    </row>
    <row r="240" spans="12:13" x14ac:dyDescent="0.2">
      <c r="L240" s="48"/>
      <c r="M240" s="48"/>
    </row>
    <row r="241" spans="12:13" x14ac:dyDescent="0.2">
      <c r="L241" s="48"/>
      <c r="M241" s="48"/>
    </row>
    <row r="242" spans="12:13" x14ac:dyDescent="0.2">
      <c r="L242" s="48"/>
      <c r="M242" s="48"/>
    </row>
    <row r="243" spans="12:13" x14ac:dyDescent="0.2">
      <c r="L243" s="48"/>
      <c r="M243" s="48"/>
    </row>
    <row r="244" spans="12:13" x14ac:dyDescent="0.2">
      <c r="L244" s="48"/>
      <c r="M244" s="48"/>
    </row>
    <row r="245" spans="12:13" x14ac:dyDescent="0.2">
      <c r="L245" s="48"/>
      <c r="M245" s="48"/>
    </row>
    <row r="246" spans="12:13" x14ac:dyDescent="0.2">
      <c r="L246" s="48"/>
      <c r="M246" s="48"/>
    </row>
    <row r="247" spans="12:13" x14ac:dyDescent="0.2">
      <c r="L247" s="48"/>
      <c r="M247" s="48"/>
    </row>
    <row r="248" spans="12:13" x14ac:dyDescent="0.2">
      <c r="L248" s="48"/>
      <c r="M248" s="48"/>
    </row>
    <row r="249" spans="12:13" x14ac:dyDescent="0.2">
      <c r="L249" s="48"/>
      <c r="M249" s="48"/>
    </row>
    <row r="250" spans="12:13" x14ac:dyDescent="0.2">
      <c r="L250" s="48"/>
      <c r="M250" s="48"/>
    </row>
    <row r="251" spans="12:13" x14ac:dyDescent="0.2">
      <c r="L251" s="48"/>
      <c r="M251" s="48"/>
    </row>
    <row r="252" spans="12:13" x14ac:dyDescent="0.2">
      <c r="L252" s="48"/>
      <c r="M252" s="48"/>
    </row>
    <row r="253" spans="12:13" x14ac:dyDescent="0.2">
      <c r="L253" s="48"/>
      <c r="M253" s="48"/>
    </row>
    <row r="254" spans="12:13" x14ac:dyDescent="0.2">
      <c r="L254" s="48"/>
      <c r="M254" s="48"/>
    </row>
    <row r="255" spans="12:13" x14ac:dyDescent="0.2">
      <c r="L255" s="48"/>
      <c r="M255" s="48"/>
    </row>
    <row r="256" spans="12:13" x14ac:dyDescent="0.2">
      <c r="L256" s="48"/>
      <c r="M256" s="48"/>
    </row>
    <row r="257" spans="12:13" x14ac:dyDescent="0.2">
      <c r="L257" s="48"/>
      <c r="M257" s="48"/>
    </row>
    <row r="258" spans="12:13" x14ac:dyDescent="0.2">
      <c r="L258" s="48"/>
      <c r="M258" s="48"/>
    </row>
    <row r="259" spans="12:13" x14ac:dyDescent="0.2">
      <c r="L259" s="48"/>
      <c r="M259" s="48"/>
    </row>
    <row r="260" spans="12:13" x14ac:dyDescent="0.2">
      <c r="L260" s="48"/>
      <c r="M260" s="48"/>
    </row>
    <row r="261" spans="12:13" x14ac:dyDescent="0.2">
      <c r="L261" s="48"/>
      <c r="M261" s="48"/>
    </row>
    <row r="262" spans="12:13" x14ac:dyDescent="0.2">
      <c r="L262" s="48"/>
      <c r="M262" s="48"/>
    </row>
    <row r="263" spans="12:13" x14ac:dyDescent="0.2">
      <c r="L263" s="48"/>
      <c r="M263" s="48"/>
    </row>
    <row r="264" spans="12:13" x14ac:dyDescent="0.2">
      <c r="L264" s="48"/>
      <c r="M264" s="48"/>
    </row>
    <row r="265" spans="12:13" x14ac:dyDescent="0.2">
      <c r="L265" s="48"/>
      <c r="M265" s="48"/>
    </row>
    <row r="266" spans="12:13" x14ac:dyDescent="0.2">
      <c r="L266" s="48"/>
      <c r="M266" s="48"/>
    </row>
    <row r="267" spans="12:13" x14ac:dyDescent="0.2">
      <c r="L267" s="48"/>
      <c r="M267" s="48"/>
    </row>
    <row r="268" spans="12:13" x14ac:dyDescent="0.2">
      <c r="L268" s="48"/>
      <c r="M268" s="48"/>
    </row>
    <row r="269" spans="12:13" x14ac:dyDescent="0.2">
      <c r="L269" s="48"/>
      <c r="M269" s="48"/>
    </row>
    <row r="270" spans="12:13" x14ac:dyDescent="0.2">
      <c r="L270" s="48"/>
      <c r="M270" s="48"/>
    </row>
    <row r="271" spans="12:13" x14ac:dyDescent="0.2">
      <c r="L271" s="48"/>
      <c r="M271" s="48"/>
    </row>
    <row r="272" spans="12:13" x14ac:dyDescent="0.2">
      <c r="L272" s="48"/>
      <c r="M272" s="48"/>
    </row>
    <row r="273" spans="12:13" x14ac:dyDescent="0.2">
      <c r="L273" s="48"/>
      <c r="M273" s="48"/>
    </row>
    <row r="274" spans="12:13" x14ac:dyDescent="0.2">
      <c r="L274" s="48"/>
      <c r="M274" s="48"/>
    </row>
    <row r="275" spans="12:13" x14ac:dyDescent="0.2">
      <c r="L275" s="48"/>
      <c r="M275" s="48"/>
    </row>
    <row r="276" spans="12:13" x14ac:dyDescent="0.2">
      <c r="L276" s="48"/>
      <c r="M276" s="48"/>
    </row>
    <row r="277" spans="12:13" x14ac:dyDescent="0.2">
      <c r="L277" s="48"/>
      <c r="M277" s="48"/>
    </row>
    <row r="278" spans="12:13" x14ac:dyDescent="0.2">
      <c r="L278" s="48"/>
      <c r="M278" s="48"/>
    </row>
    <row r="279" spans="12:13" x14ac:dyDescent="0.2">
      <c r="L279" s="48"/>
      <c r="M279" s="48"/>
    </row>
    <row r="280" spans="12:13" x14ac:dyDescent="0.2">
      <c r="L280" s="48"/>
      <c r="M280" s="48"/>
    </row>
    <row r="281" spans="12:13" x14ac:dyDescent="0.2">
      <c r="L281" s="48"/>
      <c r="M281" s="48"/>
    </row>
    <row r="282" spans="12:13" x14ac:dyDescent="0.2">
      <c r="L282" s="48"/>
      <c r="M282" s="48"/>
    </row>
    <row r="283" spans="12:13" x14ac:dyDescent="0.2">
      <c r="L283" s="48"/>
      <c r="M283" s="48"/>
    </row>
    <row r="284" spans="12:13" x14ac:dyDescent="0.2">
      <c r="L284" s="48"/>
      <c r="M284" s="48"/>
    </row>
    <row r="285" spans="12:13" x14ac:dyDescent="0.2">
      <c r="L285" s="48"/>
      <c r="M285" s="48"/>
    </row>
    <row r="286" spans="12:13" x14ac:dyDescent="0.2">
      <c r="L286" s="48"/>
      <c r="M286" s="48"/>
    </row>
    <row r="287" spans="12:13" x14ac:dyDescent="0.2">
      <c r="L287" s="48"/>
      <c r="M287" s="48"/>
    </row>
    <row r="288" spans="12:13" x14ac:dyDescent="0.2">
      <c r="L288" s="48"/>
      <c r="M288" s="48"/>
    </row>
    <row r="289" spans="12:13" x14ac:dyDescent="0.2">
      <c r="L289" s="48"/>
      <c r="M289" s="48"/>
    </row>
    <row r="290" spans="12:13" x14ac:dyDescent="0.2">
      <c r="L290" s="48"/>
      <c r="M290" s="48"/>
    </row>
    <row r="291" spans="12:13" x14ac:dyDescent="0.2">
      <c r="L291" s="48"/>
      <c r="M291" s="48"/>
    </row>
    <row r="292" spans="12:13" x14ac:dyDescent="0.2">
      <c r="L292" s="48"/>
      <c r="M292" s="48"/>
    </row>
    <row r="293" spans="12:13" x14ac:dyDescent="0.2">
      <c r="L293" s="48"/>
      <c r="M293" s="48"/>
    </row>
    <row r="294" spans="12:13" x14ac:dyDescent="0.2">
      <c r="L294" s="48"/>
      <c r="M294" s="48"/>
    </row>
    <row r="295" spans="12:13" x14ac:dyDescent="0.2">
      <c r="L295" s="48"/>
      <c r="M295" s="48"/>
    </row>
    <row r="296" spans="12:13" x14ac:dyDescent="0.2">
      <c r="L296" s="48"/>
      <c r="M296" s="48"/>
    </row>
    <row r="297" spans="12:13" x14ac:dyDescent="0.2">
      <c r="L297" s="48"/>
      <c r="M297" s="48"/>
    </row>
    <row r="298" spans="12:13" x14ac:dyDescent="0.2">
      <c r="L298" s="48"/>
      <c r="M298" s="48"/>
    </row>
    <row r="299" spans="12:13" x14ac:dyDescent="0.2">
      <c r="L299" s="48"/>
      <c r="M299" s="48"/>
    </row>
    <row r="300" spans="12:13" x14ac:dyDescent="0.2">
      <c r="L300" s="48"/>
      <c r="M300" s="48"/>
    </row>
    <row r="301" spans="12:13" x14ac:dyDescent="0.2">
      <c r="L301" s="48"/>
      <c r="M301" s="48"/>
    </row>
    <row r="302" spans="12:13" x14ac:dyDescent="0.2">
      <c r="L302" s="48"/>
      <c r="M302" s="48"/>
    </row>
    <row r="303" spans="12:13" x14ac:dyDescent="0.2">
      <c r="L303" s="48"/>
      <c r="M303" s="48"/>
    </row>
    <row r="304" spans="12:13" x14ac:dyDescent="0.2">
      <c r="L304" s="48"/>
      <c r="M304" s="48"/>
    </row>
    <row r="305" spans="12:13" x14ac:dyDescent="0.2">
      <c r="L305" s="48"/>
      <c r="M305" s="48"/>
    </row>
    <row r="306" spans="12:13" x14ac:dyDescent="0.2">
      <c r="L306" s="48"/>
      <c r="M306" s="48"/>
    </row>
    <row r="307" spans="12:13" x14ac:dyDescent="0.2">
      <c r="L307" s="48"/>
      <c r="M307" s="48"/>
    </row>
    <row r="308" spans="12:13" x14ac:dyDescent="0.2">
      <c r="L308" s="48"/>
      <c r="M308" s="48"/>
    </row>
    <row r="309" spans="12:13" x14ac:dyDescent="0.2">
      <c r="L309" s="48"/>
      <c r="M309" s="48"/>
    </row>
    <row r="310" spans="12:13" x14ac:dyDescent="0.2">
      <c r="L310" s="48"/>
      <c r="M310" s="48"/>
    </row>
    <row r="311" spans="12:13" x14ac:dyDescent="0.2">
      <c r="L311" s="48"/>
      <c r="M311" s="48"/>
    </row>
    <row r="312" spans="12:13" x14ac:dyDescent="0.2">
      <c r="L312" s="48"/>
      <c r="M312" s="48"/>
    </row>
    <row r="313" spans="12:13" x14ac:dyDescent="0.2">
      <c r="L313" s="48"/>
      <c r="M313" s="48"/>
    </row>
    <row r="314" spans="12:13" x14ac:dyDescent="0.2">
      <c r="L314" s="48"/>
      <c r="M314" s="48"/>
    </row>
    <row r="315" spans="12:13" x14ac:dyDescent="0.2">
      <c r="L315" s="48"/>
      <c r="M315" s="48"/>
    </row>
    <row r="316" spans="12:13" x14ac:dyDescent="0.2">
      <c r="L316" s="48"/>
      <c r="M316" s="48"/>
    </row>
    <row r="317" spans="12:13" x14ac:dyDescent="0.2">
      <c r="L317" s="48"/>
      <c r="M317" s="48"/>
    </row>
    <row r="318" spans="12:13" x14ac:dyDescent="0.2">
      <c r="L318" s="48"/>
      <c r="M318" s="48"/>
    </row>
    <row r="319" spans="12:13" x14ac:dyDescent="0.2">
      <c r="L319" s="48"/>
      <c r="M319" s="48"/>
    </row>
    <row r="320" spans="12:13" x14ac:dyDescent="0.2">
      <c r="L320" s="48"/>
      <c r="M320" s="48"/>
    </row>
    <row r="321" spans="12:13" x14ac:dyDescent="0.2">
      <c r="L321" s="48"/>
      <c r="M321" s="48"/>
    </row>
    <row r="322" spans="12:13" x14ac:dyDescent="0.2">
      <c r="L322" s="48"/>
      <c r="M322" s="48"/>
    </row>
    <row r="323" spans="12:13" x14ac:dyDescent="0.2">
      <c r="L323" s="48"/>
      <c r="M323" s="48"/>
    </row>
    <row r="324" spans="12:13" x14ac:dyDescent="0.2">
      <c r="L324" s="48"/>
      <c r="M324" s="48"/>
    </row>
    <row r="325" spans="12:13" x14ac:dyDescent="0.2">
      <c r="L325" s="48"/>
      <c r="M325" s="48"/>
    </row>
    <row r="326" spans="12:13" x14ac:dyDescent="0.2">
      <c r="L326" s="48"/>
      <c r="M326" s="48"/>
    </row>
    <row r="327" spans="12:13" x14ac:dyDescent="0.2">
      <c r="L327" s="48"/>
      <c r="M327" s="48"/>
    </row>
    <row r="328" spans="12:13" x14ac:dyDescent="0.2">
      <c r="L328" s="48"/>
      <c r="M328" s="48"/>
    </row>
    <row r="329" spans="12:13" x14ac:dyDescent="0.2">
      <c r="L329" s="48"/>
      <c r="M329" s="48"/>
    </row>
    <row r="330" spans="12:13" x14ac:dyDescent="0.2">
      <c r="L330" s="48"/>
      <c r="M330" s="48"/>
    </row>
    <row r="331" spans="12:13" x14ac:dyDescent="0.2">
      <c r="L331" s="48"/>
      <c r="M331" s="48"/>
    </row>
    <row r="332" spans="12:13" x14ac:dyDescent="0.2">
      <c r="L332" s="48"/>
      <c r="M332" s="48"/>
    </row>
    <row r="333" spans="12:13" x14ac:dyDescent="0.2">
      <c r="L333" s="48"/>
      <c r="M333" s="48"/>
    </row>
    <row r="334" spans="12:13" x14ac:dyDescent="0.2">
      <c r="L334" s="48"/>
      <c r="M334" s="48"/>
    </row>
    <row r="335" spans="12:13" x14ac:dyDescent="0.2">
      <c r="L335" s="48"/>
      <c r="M335" s="48"/>
    </row>
    <row r="336" spans="12:13" x14ac:dyDescent="0.2">
      <c r="L336" s="48"/>
      <c r="M336" s="48"/>
    </row>
    <row r="337" spans="12:13" x14ac:dyDescent="0.2">
      <c r="L337" s="48"/>
      <c r="M337" s="48"/>
    </row>
    <row r="338" spans="12:13" x14ac:dyDescent="0.2">
      <c r="L338" s="48"/>
      <c r="M338" s="48"/>
    </row>
    <row r="339" spans="12:13" x14ac:dyDescent="0.2">
      <c r="L339" s="48"/>
      <c r="M339" s="48"/>
    </row>
    <row r="340" spans="12:13" x14ac:dyDescent="0.2">
      <c r="L340" s="48"/>
      <c r="M340" s="48"/>
    </row>
    <row r="341" spans="12:13" x14ac:dyDescent="0.2">
      <c r="L341" s="48"/>
      <c r="M341" s="48"/>
    </row>
    <row r="342" spans="12:13" x14ac:dyDescent="0.2">
      <c r="L342" s="48"/>
      <c r="M342" s="48"/>
    </row>
    <row r="343" spans="12:13" x14ac:dyDescent="0.2">
      <c r="L343" s="48"/>
      <c r="M343" s="48"/>
    </row>
    <row r="344" spans="12:13" x14ac:dyDescent="0.2">
      <c r="L344" s="48"/>
      <c r="M344" s="48"/>
    </row>
    <row r="345" spans="12:13" x14ac:dyDescent="0.2">
      <c r="L345" s="48"/>
      <c r="M345" s="48"/>
    </row>
    <row r="346" spans="12:13" x14ac:dyDescent="0.2">
      <c r="L346" s="48"/>
      <c r="M346" s="48"/>
    </row>
    <row r="347" spans="12:13" x14ac:dyDescent="0.2">
      <c r="L347" s="48"/>
      <c r="M347" s="48"/>
    </row>
    <row r="348" spans="12:13" x14ac:dyDescent="0.2">
      <c r="L348" s="48"/>
      <c r="M348" s="48"/>
    </row>
    <row r="349" spans="12:13" x14ac:dyDescent="0.2">
      <c r="L349" s="48"/>
      <c r="M349" s="48"/>
    </row>
    <row r="350" spans="12:13" x14ac:dyDescent="0.2">
      <c r="L350" s="48"/>
      <c r="M350" s="48"/>
    </row>
    <row r="351" spans="12:13" x14ac:dyDescent="0.2">
      <c r="L351" s="48"/>
      <c r="M351" s="48"/>
    </row>
    <row r="352" spans="12:13" x14ac:dyDescent="0.2">
      <c r="L352" s="48"/>
      <c r="M352" s="48"/>
    </row>
    <row r="353" spans="12:13" x14ac:dyDescent="0.2">
      <c r="L353" s="48"/>
      <c r="M353" s="48"/>
    </row>
    <row r="354" spans="12:13" x14ac:dyDescent="0.2">
      <c r="L354" s="48"/>
      <c r="M354" s="48"/>
    </row>
    <row r="355" spans="12:13" x14ac:dyDescent="0.2">
      <c r="L355" s="48"/>
      <c r="M355" s="48"/>
    </row>
    <row r="356" spans="12:13" x14ac:dyDescent="0.2">
      <c r="L356" s="48"/>
      <c r="M356" s="48"/>
    </row>
    <row r="357" spans="12:13" x14ac:dyDescent="0.2">
      <c r="L357" s="48"/>
      <c r="M357" s="48"/>
    </row>
    <row r="358" spans="12:13" x14ac:dyDescent="0.2">
      <c r="L358" s="48"/>
      <c r="M358" s="48"/>
    </row>
    <row r="359" spans="12:13" x14ac:dyDescent="0.2">
      <c r="L359" s="48"/>
      <c r="M359" s="48"/>
    </row>
    <row r="360" spans="12:13" x14ac:dyDescent="0.2">
      <c r="L360" s="48"/>
      <c r="M360" s="48"/>
    </row>
    <row r="361" spans="12:13" x14ac:dyDescent="0.2">
      <c r="L361" s="48"/>
      <c r="M361" s="48"/>
    </row>
    <row r="362" spans="12:13" x14ac:dyDescent="0.2">
      <c r="L362" s="48"/>
      <c r="M362" s="48"/>
    </row>
    <row r="363" spans="12:13" x14ac:dyDescent="0.2">
      <c r="L363" s="48"/>
      <c r="M363" s="48"/>
    </row>
    <row r="364" spans="12:13" x14ac:dyDescent="0.2">
      <c r="L364" s="48"/>
      <c r="M364" s="48"/>
    </row>
    <row r="365" spans="12:13" x14ac:dyDescent="0.2">
      <c r="L365" s="48"/>
      <c r="M365" s="48"/>
    </row>
    <row r="366" spans="12:13" x14ac:dyDescent="0.2">
      <c r="L366" s="48"/>
      <c r="M366" s="48"/>
    </row>
    <row r="367" spans="12:13" x14ac:dyDescent="0.2">
      <c r="L367" s="48"/>
      <c r="M367" s="48"/>
    </row>
    <row r="368" spans="12:13" x14ac:dyDescent="0.2">
      <c r="L368" s="48"/>
      <c r="M368" s="48"/>
    </row>
    <row r="369" spans="12:13" x14ac:dyDescent="0.2">
      <c r="L369" s="48"/>
      <c r="M369" s="48"/>
    </row>
    <row r="370" spans="12:13" x14ac:dyDescent="0.2">
      <c r="L370" s="48"/>
      <c r="M370" s="48"/>
    </row>
    <row r="371" spans="12:13" x14ac:dyDescent="0.2">
      <c r="L371" s="48"/>
      <c r="M371" s="48"/>
    </row>
    <row r="372" spans="12:13" x14ac:dyDescent="0.2">
      <c r="L372" s="48"/>
      <c r="M372" s="48"/>
    </row>
    <row r="373" spans="12:13" x14ac:dyDescent="0.2">
      <c r="L373" s="48"/>
      <c r="M373" s="48"/>
    </row>
    <row r="374" spans="12:13" x14ac:dyDescent="0.2">
      <c r="L374" s="48"/>
      <c r="M374" s="48"/>
    </row>
    <row r="375" spans="12:13" x14ac:dyDescent="0.2">
      <c r="L375" s="48"/>
      <c r="M375" s="48"/>
    </row>
    <row r="376" spans="12:13" x14ac:dyDescent="0.2">
      <c r="L376" s="48"/>
      <c r="M376" s="48"/>
    </row>
    <row r="377" spans="12:13" x14ac:dyDescent="0.2">
      <c r="L377" s="48"/>
      <c r="M377" s="48"/>
    </row>
    <row r="378" spans="12:13" x14ac:dyDescent="0.2">
      <c r="L378" s="48"/>
      <c r="M378" s="48"/>
    </row>
    <row r="379" spans="12:13" x14ac:dyDescent="0.2">
      <c r="L379" s="48"/>
      <c r="M379" s="48"/>
    </row>
    <row r="380" spans="12:13" x14ac:dyDescent="0.2">
      <c r="L380" s="48"/>
      <c r="M380" s="48"/>
    </row>
    <row r="381" spans="12:13" x14ac:dyDescent="0.2">
      <c r="L381" s="48"/>
      <c r="M381" s="48"/>
    </row>
    <row r="382" spans="12:13" x14ac:dyDescent="0.2">
      <c r="L382" s="48"/>
      <c r="M382" s="48"/>
    </row>
    <row r="383" spans="12:13" x14ac:dyDescent="0.2">
      <c r="L383" s="48"/>
      <c r="M383" s="48"/>
    </row>
    <row r="384" spans="12:13" x14ac:dyDescent="0.2">
      <c r="L384" s="48"/>
      <c r="M384" s="48"/>
    </row>
    <row r="385" spans="12:13" x14ac:dyDescent="0.2">
      <c r="L385" s="48"/>
      <c r="M385" s="48"/>
    </row>
    <row r="386" spans="12:13" x14ac:dyDescent="0.2">
      <c r="L386" s="48"/>
      <c r="M386" s="48"/>
    </row>
    <row r="387" spans="12:13" x14ac:dyDescent="0.2">
      <c r="L387" s="48"/>
      <c r="M387" s="48"/>
    </row>
    <row r="388" spans="12:13" x14ac:dyDescent="0.2">
      <c r="L388" s="48"/>
      <c r="M388" s="48"/>
    </row>
    <row r="389" spans="12:13" x14ac:dyDescent="0.2">
      <c r="L389" s="48"/>
      <c r="M389" s="48"/>
    </row>
    <row r="390" spans="12:13" x14ac:dyDescent="0.2">
      <c r="L390" s="48"/>
      <c r="M390" s="48"/>
    </row>
    <row r="391" spans="12:13" x14ac:dyDescent="0.2">
      <c r="L391" s="48"/>
      <c r="M391" s="48"/>
    </row>
    <row r="392" spans="12:13" x14ac:dyDescent="0.2">
      <c r="L392" s="48"/>
      <c r="M392" s="48"/>
    </row>
    <row r="393" spans="12:13" x14ac:dyDescent="0.2">
      <c r="L393" s="48"/>
      <c r="M393" s="48"/>
    </row>
    <row r="394" spans="12:13" x14ac:dyDescent="0.2">
      <c r="L394" s="48"/>
      <c r="M394" s="48"/>
    </row>
    <row r="395" spans="12:13" x14ac:dyDescent="0.2">
      <c r="L395" s="48"/>
      <c r="M395" s="48"/>
    </row>
    <row r="396" spans="12:13" x14ac:dyDescent="0.2">
      <c r="L396" s="48"/>
      <c r="M396" s="48"/>
    </row>
    <row r="397" spans="12:13" x14ac:dyDescent="0.2">
      <c r="L397" s="48"/>
      <c r="M397" s="48"/>
    </row>
    <row r="398" spans="12:13" x14ac:dyDescent="0.2">
      <c r="L398" s="48"/>
      <c r="M398" s="48"/>
    </row>
    <row r="399" spans="12:13" x14ac:dyDescent="0.2">
      <c r="L399" s="48"/>
      <c r="M399" s="48"/>
    </row>
    <row r="400" spans="12:13" x14ac:dyDescent="0.2">
      <c r="L400" s="48"/>
      <c r="M400" s="48"/>
    </row>
    <row r="401" spans="12:13" x14ac:dyDescent="0.2">
      <c r="L401" s="48"/>
      <c r="M401" s="48"/>
    </row>
    <row r="402" spans="12:13" x14ac:dyDescent="0.2">
      <c r="L402" s="48"/>
      <c r="M402" s="48"/>
    </row>
    <row r="403" spans="12:13" x14ac:dyDescent="0.2">
      <c r="L403" s="48"/>
      <c r="M403" s="48"/>
    </row>
    <row r="404" spans="12:13" x14ac:dyDescent="0.2">
      <c r="L404" s="48"/>
      <c r="M404" s="48"/>
    </row>
    <row r="405" spans="12:13" x14ac:dyDescent="0.2">
      <c r="L405" s="48"/>
      <c r="M405" s="48"/>
    </row>
    <row r="406" spans="12:13" x14ac:dyDescent="0.2">
      <c r="L406" s="48"/>
      <c r="M406" s="48"/>
    </row>
    <row r="407" spans="12:13" x14ac:dyDescent="0.2">
      <c r="L407" s="48"/>
      <c r="M407" s="48"/>
    </row>
    <row r="408" spans="12:13" x14ac:dyDescent="0.2">
      <c r="L408" s="48"/>
      <c r="M408" s="48"/>
    </row>
    <row r="409" spans="12:13" x14ac:dyDescent="0.2">
      <c r="L409" s="48"/>
      <c r="M409" s="48"/>
    </row>
    <row r="410" spans="12:13" x14ac:dyDescent="0.2">
      <c r="L410" s="48"/>
      <c r="M410" s="48"/>
    </row>
    <row r="411" spans="12:13" x14ac:dyDescent="0.2">
      <c r="L411" s="48"/>
      <c r="M411" s="48"/>
    </row>
    <row r="412" spans="12:13" x14ac:dyDescent="0.2">
      <c r="L412" s="48"/>
      <c r="M412" s="48"/>
    </row>
    <row r="413" spans="12:13" x14ac:dyDescent="0.2">
      <c r="L413" s="48"/>
      <c r="M413" s="48"/>
    </row>
    <row r="414" spans="12:13" x14ac:dyDescent="0.2">
      <c r="L414" s="48"/>
      <c r="M414" s="48"/>
    </row>
    <row r="415" spans="12:13" x14ac:dyDescent="0.2">
      <c r="L415" s="48"/>
      <c r="M415" s="48"/>
    </row>
    <row r="416" spans="12:13" x14ac:dyDescent="0.2">
      <c r="L416" s="48"/>
      <c r="M416" s="48"/>
    </row>
    <row r="417" spans="12:13" x14ac:dyDescent="0.2">
      <c r="L417" s="48"/>
      <c r="M417" s="48"/>
    </row>
    <row r="418" spans="12:13" x14ac:dyDescent="0.2">
      <c r="L418" s="48"/>
      <c r="M418" s="48"/>
    </row>
    <row r="419" spans="12:13" x14ac:dyDescent="0.2">
      <c r="L419" s="48"/>
      <c r="M419" s="48"/>
    </row>
    <row r="420" spans="12:13" x14ac:dyDescent="0.2">
      <c r="L420" s="48"/>
      <c r="M420" s="48"/>
    </row>
    <row r="421" spans="12:13" x14ac:dyDescent="0.2">
      <c r="L421" s="48"/>
      <c r="M421" s="48"/>
    </row>
    <row r="422" spans="12:13" x14ac:dyDescent="0.2">
      <c r="L422" s="48"/>
      <c r="M422" s="48"/>
    </row>
    <row r="423" spans="12:13" x14ac:dyDescent="0.2">
      <c r="L423" s="48"/>
      <c r="M423" s="48"/>
    </row>
    <row r="424" spans="12:13" x14ac:dyDescent="0.2">
      <c r="L424" s="48"/>
      <c r="M424" s="48"/>
    </row>
    <row r="425" spans="12:13" x14ac:dyDescent="0.2">
      <c r="L425" s="48"/>
      <c r="M425" s="48"/>
    </row>
    <row r="426" spans="12:13" x14ac:dyDescent="0.2">
      <c r="L426" s="48"/>
      <c r="M426" s="48"/>
    </row>
    <row r="427" spans="12:13" x14ac:dyDescent="0.2">
      <c r="L427" s="48"/>
      <c r="M427" s="48"/>
    </row>
    <row r="428" spans="12:13" x14ac:dyDescent="0.2">
      <c r="L428" s="48"/>
      <c r="M428" s="48"/>
    </row>
    <row r="429" spans="12:13" x14ac:dyDescent="0.2">
      <c r="L429" s="48"/>
      <c r="M429" s="48"/>
    </row>
    <row r="430" spans="12:13" x14ac:dyDescent="0.2">
      <c r="L430" s="48"/>
      <c r="M430" s="48"/>
    </row>
    <row r="431" spans="12:13" x14ac:dyDescent="0.2">
      <c r="L431" s="48"/>
      <c r="M431" s="48"/>
    </row>
    <row r="432" spans="12:13" x14ac:dyDescent="0.2">
      <c r="L432" s="48"/>
      <c r="M432" s="48"/>
    </row>
    <row r="433" spans="12:13" x14ac:dyDescent="0.2">
      <c r="L433" s="48"/>
      <c r="M433" s="48"/>
    </row>
    <row r="434" spans="12:13" x14ac:dyDescent="0.2">
      <c r="L434" s="48"/>
      <c r="M434" s="48"/>
    </row>
    <row r="435" spans="12:13" x14ac:dyDescent="0.2">
      <c r="L435" s="48"/>
      <c r="M435" s="48"/>
    </row>
    <row r="436" spans="12:13" x14ac:dyDescent="0.2">
      <c r="L436" s="48"/>
      <c r="M436" s="48"/>
    </row>
    <row r="437" spans="12:13" x14ac:dyDescent="0.2">
      <c r="L437" s="48"/>
      <c r="M437" s="48"/>
    </row>
    <row r="438" spans="12:13" x14ac:dyDescent="0.2">
      <c r="L438" s="48"/>
      <c r="M438" s="48"/>
    </row>
    <row r="439" spans="12:13" x14ac:dyDescent="0.2">
      <c r="L439" s="48"/>
      <c r="M439" s="48"/>
    </row>
    <row r="440" spans="12:13" x14ac:dyDescent="0.2">
      <c r="L440" s="48"/>
      <c r="M440" s="48"/>
    </row>
    <row r="441" spans="12:13" x14ac:dyDescent="0.2">
      <c r="L441" s="48"/>
      <c r="M441" s="48"/>
    </row>
    <row r="442" spans="12:13" x14ac:dyDescent="0.2">
      <c r="L442" s="48"/>
      <c r="M442" s="48"/>
    </row>
    <row r="443" spans="12:13" x14ac:dyDescent="0.2">
      <c r="L443" s="48"/>
      <c r="M443" s="48"/>
    </row>
    <row r="444" spans="12:13" x14ac:dyDescent="0.2">
      <c r="L444" s="48"/>
      <c r="M444" s="48"/>
    </row>
    <row r="445" spans="12:13" x14ac:dyDescent="0.2">
      <c r="L445" s="48"/>
      <c r="M445" s="48"/>
    </row>
    <row r="446" spans="12:13" x14ac:dyDescent="0.2">
      <c r="L446" s="48"/>
      <c r="M446" s="48"/>
    </row>
    <row r="447" spans="12:13" x14ac:dyDescent="0.2">
      <c r="L447" s="48"/>
      <c r="M447" s="48"/>
    </row>
    <row r="448" spans="12:13" x14ac:dyDescent="0.2">
      <c r="L448" s="48"/>
      <c r="M448" s="48"/>
    </row>
    <row r="449" spans="12:13" x14ac:dyDescent="0.2">
      <c r="L449" s="48"/>
      <c r="M449" s="48"/>
    </row>
    <row r="450" spans="12:13" x14ac:dyDescent="0.2">
      <c r="L450" s="48"/>
      <c r="M450" s="48"/>
    </row>
    <row r="451" spans="12:13" x14ac:dyDescent="0.2">
      <c r="L451" s="48"/>
      <c r="M451" s="48"/>
    </row>
    <row r="452" spans="12:13" x14ac:dyDescent="0.2">
      <c r="L452" s="48"/>
      <c r="M452" s="48"/>
    </row>
    <row r="453" spans="12:13" x14ac:dyDescent="0.2">
      <c r="L453" s="48"/>
      <c r="M453" s="48"/>
    </row>
    <row r="454" spans="12:13" x14ac:dyDescent="0.2">
      <c r="L454" s="48"/>
      <c r="M454" s="48"/>
    </row>
    <row r="455" spans="12:13" x14ac:dyDescent="0.2">
      <c r="L455" s="48"/>
      <c r="M455" s="48"/>
    </row>
    <row r="456" spans="12:13" x14ac:dyDescent="0.2">
      <c r="L456" s="48"/>
      <c r="M456" s="48"/>
    </row>
    <row r="457" spans="12:13" x14ac:dyDescent="0.2">
      <c r="L457" s="48"/>
      <c r="M457" s="48"/>
    </row>
    <row r="458" spans="12:13" x14ac:dyDescent="0.2">
      <c r="L458" s="48"/>
      <c r="M458" s="48"/>
    </row>
    <row r="459" spans="12:13" x14ac:dyDescent="0.2">
      <c r="L459" s="48"/>
      <c r="M459" s="48"/>
    </row>
    <row r="460" spans="12:13" x14ac:dyDescent="0.2">
      <c r="L460" s="48"/>
      <c r="M460" s="48"/>
    </row>
    <row r="461" spans="12:13" x14ac:dyDescent="0.2">
      <c r="L461" s="48"/>
      <c r="M461" s="48"/>
    </row>
    <row r="462" spans="12:13" x14ac:dyDescent="0.2">
      <c r="L462" s="48"/>
      <c r="M462" s="48"/>
    </row>
    <row r="463" spans="12:13" x14ac:dyDescent="0.2">
      <c r="L463" s="48"/>
      <c r="M463" s="48"/>
    </row>
    <row r="464" spans="12:13" x14ac:dyDescent="0.2">
      <c r="L464" s="48"/>
      <c r="M464" s="48"/>
    </row>
    <row r="465" spans="12:13" x14ac:dyDescent="0.2">
      <c r="L465" s="48"/>
      <c r="M465" s="48"/>
    </row>
    <row r="466" spans="12:13" x14ac:dyDescent="0.2">
      <c r="L466" s="48"/>
      <c r="M466" s="48"/>
    </row>
    <row r="467" spans="12:13" x14ac:dyDescent="0.2">
      <c r="L467" s="48"/>
      <c r="M467" s="48"/>
    </row>
    <row r="468" spans="12:13" x14ac:dyDescent="0.2">
      <c r="L468" s="48"/>
      <c r="M468" s="48"/>
    </row>
    <row r="469" spans="12:13" x14ac:dyDescent="0.2">
      <c r="L469" s="48"/>
      <c r="M469" s="48"/>
    </row>
    <row r="470" spans="12:13" x14ac:dyDescent="0.2">
      <c r="L470" s="48"/>
      <c r="M470" s="48"/>
    </row>
    <row r="471" spans="12:13" x14ac:dyDescent="0.2">
      <c r="L471" s="48"/>
      <c r="M471" s="48"/>
    </row>
    <row r="472" spans="12:13" x14ac:dyDescent="0.2">
      <c r="L472" s="48"/>
      <c r="M472" s="48"/>
    </row>
    <row r="473" spans="12:13" x14ac:dyDescent="0.2">
      <c r="L473" s="48"/>
      <c r="M473" s="48"/>
    </row>
    <row r="474" spans="12:13" x14ac:dyDescent="0.2">
      <c r="L474" s="48"/>
      <c r="M474" s="48"/>
    </row>
    <row r="475" spans="12:13" x14ac:dyDescent="0.2">
      <c r="L475" s="48"/>
      <c r="M475" s="48"/>
    </row>
    <row r="476" spans="12:13" x14ac:dyDescent="0.2">
      <c r="L476" s="48"/>
      <c r="M476" s="48"/>
    </row>
    <row r="477" spans="12:13" x14ac:dyDescent="0.2">
      <c r="L477" s="48"/>
      <c r="M477" s="48"/>
    </row>
    <row r="478" spans="12:13" x14ac:dyDescent="0.2">
      <c r="L478" s="48"/>
      <c r="M478" s="48"/>
    </row>
    <row r="479" spans="12:13" x14ac:dyDescent="0.2">
      <c r="L479" s="48"/>
      <c r="M479" s="48"/>
    </row>
    <row r="480" spans="12:13" x14ac:dyDescent="0.2">
      <c r="L480" s="48"/>
      <c r="M480" s="48"/>
    </row>
    <row r="481" spans="12:13" x14ac:dyDescent="0.2">
      <c r="L481" s="48"/>
      <c r="M481" s="48"/>
    </row>
    <row r="482" spans="12:13" x14ac:dyDescent="0.2">
      <c r="L482" s="48"/>
      <c r="M482" s="48"/>
    </row>
    <row r="483" spans="12:13" x14ac:dyDescent="0.2">
      <c r="L483" s="48"/>
      <c r="M483" s="48"/>
    </row>
    <row r="484" spans="12:13" x14ac:dyDescent="0.2">
      <c r="L484" s="48"/>
      <c r="M484" s="48"/>
    </row>
    <row r="485" spans="12:13" x14ac:dyDescent="0.2">
      <c r="L485" s="48"/>
      <c r="M485" s="48"/>
    </row>
    <row r="486" spans="12:13" x14ac:dyDescent="0.2">
      <c r="L486" s="48"/>
      <c r="M486" s="48"/>
    </row>
    <row r="487" spans="12:13" x14ac:dyDescent="0.2">
      <c r="L487" s="48"/>
      <c r="M487" s="48"/>
    </row>
    <row r="488" spans="12:13" x14ac:dyDescent="0.2">
      <c r="L488" s="48"/>
      <c r="M488" s="48"/>
    </row>
    <row r="489" spans="12:13" x14ac:dyDescent="0.2">
      <c r="L489" s="48"/>
      <c r="M489" s="48"/>
    </row>
    <row r="490" spans="12:13" x14ac:dyDescent="0.2">
      <c r="L490" s="48"/>
      <c r="M490" s="48"/>
    </row>
    <row r="491" spans="12:13" x14ac:dyDescent="0.2">
      <c r="L491" s="48"/>
      <c r="M491" s="48"/>
    </row>
    <row r="492" spans="12:13" x14ac:dyDescent="0.2">
      <c r="L492" s="48"/>
      <c r="M492" s="48"/>
    </row>
    <row r="493" spans="12:13" x14ac:dyDescent="0.2">
      <c r="L493" s="48"/>
      <c r="M493" s="48"/>
    </row>
    <row r="494" spans="12:13" x14ac:dyDescent="0.2">
      <c r="L494" s="48"/>
      <c r="M494" s="48"/>
    </row>
    <row r="495" spans="12:13" x14ac:dyDescent="0.2">
      <c r="L495" s="48"/>
      <c r="M495" s="48"/>
    </row>
    <row r="496" spans="12:13" x14ac:dyDescent="0.2">
      <c r="L496" s="48"/>
      <c r="M496" s="48"/>
    </row>
    <row r="497" spans="12:13" x14ac:dyDescent="0.2">
      <c r="L497" s="48"/>
      <c r="M497" s="48"/>
    </row>
    <row r="498" spans="12:13" x14ac:dyDescent="0.2">
      <c r="L498" s="48"/>
      <c r="M498" s="48"/>
    </row>
    <row r="499" spans="12:13" x14ac:dyDescent="0.2">
      <c r="L499" s="48"/>
      <c r="M499" s="48"/>
    </row>
    <row r="500" spans="12:13" x14ac:dyDescent="0.2">
      <c r="L500" s="48"/>
      <c r="M500" s="48"/>
    </row>
    <row r="501" spans="12:13" x14ac:dyDescent="0.2">
      <c r="L501" s="48"/>
      <c r="M501" s="48"/>
    </row>
    <row r="502" spans="12:13" x14ac:dyDescent="0.2">
      <c r="L502" s="48"/>
      <c r="M502" s="48"/>
    </row>
    <row r="503" spans="12:13" x14ac:dyDescent="0.2">
      <c r="L503" s="48"/>
      <c r="M503" s="48"/>
    </row>
    <row r="504" spans="12:13" x14ac:dyDescent="0.2">
      <c r="L504" s="48"/>
      <c r="M504" s="48"/>
    </row>
    <row r="505" spans="12:13" x14ac:dyDescent="0.2">
      <c r="L505" s="48"/>
      <c r="M505" s="48"/>
    </row>
    <row r="506" spans="12:13" x14ac:dyDescent="0.2">
      <c r="L506" s="48"/>
      <c r="M506" s="48"/>
    </row>
    <row r="507" spans="12:13" x14ac:dyDescent="0.2">
      <c r="L507" s="48"/>
      <c r="M507" s="48"/>
    </row>
    <row r="508" spans="12:13" x14ac:dyDescent="0.2">
      <c r="L508" s="48"/>
      <c r="M508" s="48"/>
    </row>
    <row r="509" spans="12:13" x14ac:dyDescent="0.2">
      <c r="L509" s="48"/>
      <c r="M509" s="48"/>
    </row>
    <row r="510" spans="12:13" x14ac:dyDescent="0.2">
      <c r="L510" s="48"/>
      <c r="M510" s="48"/>
    </row>
    <row r="511" spans="12:13" x14ac:dyDescent="0.2">
      <c r="L511" s="48"/>
      <c r="M511" s="48"/>
    </row>
    <row r="512" spans="12:13" x14ac:dyDescent="0.2">
      <c r="L512" s="48"/>
      <c r="M512" s="48"/>
    </row>
    <row r="513" spans="12:13" x14ac:dyDescent="0.2">
      <c r="L513" s="48"/>
      <c r="M513" s="48"/>
    </row>
    <row r="514" spans="12:13" x14ac:dyDescent="0.2">
      <c r="L514" s="48"/>
      <c r="M514" s="48"/>
    </row>
    <row r="515" spans="12:13" x14ac:dyDescent="0.2">
      <c r="L515" s="48"/>
      <c r="M515" s="48"/>
    </row>
    <row r="516" spans="12:13" x14ac:dyDescent="0.2">
      <c r="L516" s="48"/>
      <c r="M516" s="48"/>
    </row>
    <row r="517" spans="12:13" x14ac:dyDescent="0.2">
      <c r="L517" s="48"/>
      <c r="M517" s="48"/>
    </row>
    <row r="518" spans="12:13" x14ac:dyDescent="0.2">
      <c r="L518" s="48"/>
      <c r="M518" s="48"/>
    </row>
    <row r="519" spans="12:13" x14ac:dyDescent="0.2">
      <c r="L519" s="48"/>
      <c r="M519" s="48"/>
    </row>
    <row r="520" spans="12:13" x14ac:dyDescent="0.2">
      <c r="L520" s="48"/>
      <c r="M520" s="48"/>
    </row>
    <row r="521" spans="12:13" x14ac:dyDescent="0.2">
      <c r="L521" s="48"/>
      <c r="M521" s="48"/>
    </row>
    <row r="522" spans="12:13" x14ac:dyDescent="0.2">
      <c r="L522" s="48"/>
      <c r="M522" s="48"/>
    </row>
    <row r="523" spans="12:13" x14ac:dyDescent="0.2">
      <c r="L523" s="48"/>
      <c r="M523" s="48"/>
    </row>
    <row r="524" spans="12:13" x14ac:dyDescent="0.2">
      <c r="L524" s="48"/>
      <c r="M524" s="48"/>
    </row>
    <row r="525" spans="12:13" x14ac:dyDescent="0.2">
      <c r="L525" s="48"/>
      <c r="M525" s="48"/>
    </row>
    <row r="526" spans="12:13" x14ac:dyDescent="0.2">
      <c r="L526" s="48"/>
      <c r="M526" s="48"/>
    </row>
    <row r="527" spans="12:13" x14ac:dyDescent="0.2">
      <c r="L527" s="48"/>
      <c r="M527" s="48"/>
    </row>
    <row r="528" spans="12:13" x14ac:dyDescent="0.2">
      <c r="L528" s="48"/>
      <c r="M528" s="48"/>
    </row>
    <row r="529" spans="12:13" x14ac:dyDescent="0.2">
      <c r="L529" s="48"/>
      <c r="M529" s="48"/>
    </row>
    <row r="530" spans="12:13" x14ac:dyDescent="0.2">
      <c r="L530" s="48"/>
      <c r="M530" s="48"/>
    </row>
    <row r="531" spans="12:13" x14ac:dyDescent="0.2">
      <c r="L531" s="48"/>
      <c r="M531" s="48"/>
    </row>
    <row r="532" spans="12:13" x14ac:dyDescent="0.2">
      <c r="L532" s="48"/>
      <c r="M532" s="48"/>
    </row>
    <row r="533" spans="12:13" x14ac:dyDescent="0.2">
      <c r="L533" s="48"/>
      <c r="M533" s="48"/>
    </row>
    <row r="534" spans="12:13" x14ac:dyDescent="0.2">
      <c r="L534" s="48"/>
      <c r="M534" s="48"/>
    </row>
    <row r="535" spans="12:13" x14ac:dyDescent="0.2">
      <c r="L535" s="48"/>
      <c r="M535" s="48"/>
    </row>
    <row r="536" spans="12:13" x14ac:dyDescent="0.2">
      <c r="L536" s="48"/>
      <c r="M536" s="48"/>
    </row>
    <row r="537" spans="12:13" x14ac:dyDescent="0.2">
      <c r="L537" s="48"/>
      <c r="M537" s="48"/>
    </row>
    <row r="538" spans="12:13" x14ac:dyDescent="0.2">
      <c r="L538" s="48"/>
      <c r="M538" s="48"/>
    </row>
    <row r="539" spans="12:13" x14ac:dyDescent="0.2">
      <c r="L539" s="48"/>
      <c r="M539" s="48"/>
    </row>
    <row r="540" spans="12:13" x14ac:dyDescent="0.2">
      <c r="L540" s="48"/>
      <c r="M540" s="48"/>
    </row>
    <row r="541" spans="12:13" x14ac:dyDescent="0.2">
      <c r="L541" s="48"/>
      <c r="M541" s="48"/>
    </row>
    <row r="542" spans="12:13" x14ac:dyDescent="0.2">
      <c r="L542" s="48"/>
      <c r="M542" s="48"/>
    </row>
    <row r="543" spans="12:13" x14ac:dyDescent="0.2">
      <c r="L543" s="48"/>
      <c r="M543" s="48"/>
    </row>
    <row r="544" spans="12:13" x14ac:dyDescent="0.2">
      <c r="L544" s="48"/>
      <c r="M544" s="48"/>
    </row>
    <row r="545" spans="12:13" x14ac:dyDescent="0.2">
      <c r="L545" s="48"/>
      <c r="M545" s="48"/>
    </row>
    <row r="546" spans="12:13" x14ac:dyDescent="0.2">
      <c r="L546" s="48"/>
      <c r="M546" s="48"/>
    </row>
    <row r="547" spans="12:13" x14ac:dyDescent="0.2">
      <c r="L547" s="48"/>
      <c r="M547" s="48"/>
    </row>
    <row r="548" spans="12:13" x14ac:dyDescent="0.2">
      <c r="L548" s="48"/>
      <c r="M548" s="48"/>
    </row>
    <row r="549" spans="12:13" x14ac:dyDescent="0.2">
      <c r="L549" s="48"/>
      <c r="M549" s="48"/>
    </row>
    <row r="550" spans="12:13" x14ac:dyDescent="0.2">
      <c r="L550" s="48"/>
      <c r="M550" s="48"/>
    </row>
    <row r="551" spans="12:13" x14ac:dyDescent="0.2">
      <c r="L551" s="48"/>
      <c r="M551" s="48"/>
    </row>
    <row r="552" spans="12:13" x14ac:dyDescent="0.2">
      <c r="L552" s="48"/>
      <c r="M552" s="48"/>
    </row>
    <row r="553" spans="12:13" x14ac:dyDescent="0.2">
      <c r="L553" s="48"/>
      <c r="M553" s="48"/>
    </row>
    <row r="554" spans="12:13" x14ac:dyDescent="0.2">
      <c r="L554" s="48"/>
      <c r="M554" s="48"/>
    </row>
    <row r="555" spans="12:13" x14ac:dyDescent="0.2">
      <c r="L555" s="48"/>
      <c r="M555" s="48"/>
    </row>
    <row r="556" spans="12:13" x14ac:dyDescent="0.2">
      <c r="L556" s="48"/>
      <c r="M556" s="48"/>
    </row>
    <row r="557" spans="12:13" x14ac:dyDescent="0.2">
      <c r="L557" s="48"/>
      <c r="M557" s="48"/>
    </row>
    <row r="558" spans="12:13" x14ac:dyDescent="0.2">
      <c r="L558" s="48"/>
      <c r="M558" s="48"/>
    </row>
    <row r="559" spans="12:13" x14ac:dyDescent="0.2">
      <c r="L559" s="48"/>
      <c r="M559" s="48"/>
    </row>
    <row r="560" spans="12:13" x14ac:dyDescent="0.2">
      <c r="L560" s="48"/>
      <c r="M560" s="48"/>
    </row>
    <row r="561" spans="12:13" x14ac:dyDescent="0.2">
      <c r="L561" s="48"/>
      <c r="M561" s="48"/>
    </row>
    <row r="562" spans="12:13" x14ac:dyDescent="0.2">
      <c r="L562" s="48"/>
      <c r="M562" s="48"/>
    </row>
    <row r="563" spans="12:13" x14ac:dyDescent="0.2">
      <c r="L563" s="48"/>
      <c r="M563" s="48"/>
    </row>
    <row r="564" spans="12:13" x14ac:dyDescent="0.2">
      <c r="L564" s="48"/>
      <c r="M564" s="48"/>
    </row>
    <row r="565" spans="12:13" x14ac:dyDescent="0.2">
      <c r="L565" s="48"/>
      <c r="M565" s="48"/>
    </row>
    <row r="566" spans="12:13" x14ac:dyDescent="0.2">
      <c r="L566" s="48"/>
      <c r="M566" s="48"/>
    </row>
    <row r="567" spans="12:13" x14ac:dyDescent="0.2">
      <c r="L567" s="48"/>
      <c r="M567" s="48"/>
    </row>
    <row r="568" spans="12:13" x14ac:dyDescent="0.2">
      <c r="L568" s="48"/>
      <c r="M568" s="48"/>
    </row>
    <row r="569" spans="12:13" x14ac:dyDescent="0.2">
      <c r="L569" s="48"/>
      <c r="M569" s="48"/>
    </row>
    <row r="570" spans="12:13" x14ac:dyDescent="0.2">
      <c r="L570" s="48"/>
      <c r="M570" s="48"/>
    </row>
    <row r="571" spans="12:13" x14ac:dyDescent="0.2">
      <c r="L571" s="48"/>
      <c r="M571" s="48"/>
    </row>
    <row r="572" spans="12:13" x14ac:dyDescent="0.2">
      <c r="L572" s="48"/>
      <c r="M572" s="48"/>
    </row>
    <row r="573" spans="12:13" x14ac:dyDescent="0.2">
      <c r="L573" s="48"/>
      <c r="M573" s="48"/>
    </row>
    <row r="574" spans="12:13" x14ac:dyDescent="0.2">
      <c r="L574" s="48"/>
      <c r="M574" s="48"/>
    </row>
    <row r="575" spans="12:13" x14ac:dyDescent="0.2">
      <c r="L575" s="48"/>
      <c r="M575" s="48"/>
    </row>
    <row r="576" spans="12:13" x14ac:dyDescent="0.2">
      <c r="L576" s="48"/>
      <c r="M576" s="48"/>
    </row>
    <row r="577" spans="12:13" x14ac:dyDescent="0.2">
      <c r="L577" s="48"/>
      <c r="M577" s="48"/>
    </row>
    <row r="578" spans="12:13" x14ac:dyDescent="0.2">
      <c r="L578" s="48"/>
      <c r="M578" s="48"/>
    </row>
    <row r="579" spans="12:13" x14ac:dyDescent="0.2">
      <c r="L579" s="48"/>
      <c r="M579" s="48"/>
    </row>
    <row r="580" spans="12:13" x14ac:dyDescent="0.2">
      <c r="L580" s="48"/>
      <c r="M580" s="48"/>
    </row>
    <row r="581" spans="12:13" x14ac:dyDescent="0.2">
      <c r="L581" s="48"/>
      <c r="M581" s="48"/>
    </row>
    <row r="582" spans="12:13" x14ac:dyDescent="0.2">
      <c r="L582" s="48"/>
      <c r="M582" s="48"/>
    </row>
    <row r="583" spans="12:13" x14ac:dyDescent="0.2">
      <c r="L583" s="48"/>
      <c r="M583" s="48"/>
    </row>
    <row r="584" spans="12:13" x14ac:dyDescent="0.2">
      <c r="L584" s="48"/>
      <c r="M584" s="48"/>
    </row>
    <row r="585" spans="12:13" x14ac:dyDescent="0.2">
      <c r="L585" s="48"/>
      <c r="M585" s="48"/>
    </row>
    <row r="586" spans="12:13" x14ac:dyDescent="0.2">
      <c r="L586" s="48"/>
      <c r="M586" s="48"/>
    </row>
    <row r="587" spans="12:13" x14ac:dyDescent="0.2">
      <c r="L587" s="48"/>
      <c r="M587" s="48"/>
    </row>
    <row r="588" spans="12:13" x14ac:dyDescent="0.2">
      <c r="L588" s="48"/>
      <c r="M588" s="48"/>
    </row>
    <row r="589" spans="12:13" x14ac:dyDescent="0.2">
      <c r="L589" s="48"/>
      <c r="M589" s="48"/>
    </row>
    <row r="590" spans="12:13" x14ac:dyDescent="0.2">
      <c r="L590" s="48"/>
      <c r="M590" s="48"/>
    </row>
    <row r="591" spans="12:13" x14ac:dyDescent="0.2">
      <c r="L591" s="48"/>
      <c r="M591" s="48"/>
    </row>
    <row r="592" spans="12:13" x14ac:dyDescent="0.2">
      <c r="L592" s="48"/>
      <c r="M592" s="48"/>
    </row>
    <row r="593" spans="12:13" x14ac:dyDescent="0.2">
      <c r="L593" s="48"/>
      <c r="M593" s="48"/>
    </row>
    <row r="594" spans="12:13" x14ac:dyDescent="0.2">
      <c r="L594" s="48"/>
      <c r="M594" s="48"/>
    </row>
    <row r="595" spans="12:13" x14ac:dyDescent="0.2">
      <c r="L595" s="48"/>
      <c r="M595" s="48"/>
    </row>
    <row r="596" spans="12:13" x14ac:dyDescent="0.2">
      <c r="L596" s="48"/>
      <c r="M596" s="48"/>
    </row>
    <row r="597" spans="12:13" x14ac:dyDescent="0.2">
      <c r="L597" s="48"/>
      <c r="M597" s="48"/>
    </row>
    <row r="598" spans="12:13" x14ac:dyDescent="0.2">
      <c r="L598" s="48"/>
      <c r="M598" s="48"/>
    </row>
    <row r="599" spans="12:13" x14ac:dyDescent="0.2">
      <c r="L599" s="48"/>
      <c r="M599" s="48"/>
    </row>
    <row r="600" spans="12:13" x14ac:dyDescent="0.2">
      <c r="L600" s="48"/>
      <c r="M600" s="48"/>
    </row>
    <row r="601" spans="12:13" x14ac:dyDescent="0.2">
      <c r="L601" s="48"/>
      <c r="M601" s="48"/>
    </row>
    <row r="602" spans="12:13" x14ac:dyDescent="0.2">
      <c r="L602" s="48"/>
      <c r="M602" s="48"/>
    </row>
    <row r="603" spans="12:13" x14ac:dyDescent="0.2">
      <c r="L603" s="48"/>
      <c r="M603" s="48"/>
    </row>
    <row r="604" spans="12:13" x14ac:dyDescent="0.2">
      <c r="L604" s="48"/>
      <c r="M604" s="48"/>
    </row>
    <row r="605" spans="12:13" x14ac:dyDescent="0.2">
      <c r="L605" s="48"/>
      <c r="M605" s="48"/>
    </row>
    <row r="606" spans="12:13" x14ac:dyDescent="0.2">
      <c r="L606" s="48"/>
      <c r="M606" s="48"/>
    </row>
    <row r="607" spans="12:13" x14ac:dyDescent="0.2">
      <c r="L607" s="48"/>
      <c r="M607" s="48"/>
    </row>
    <row r="608" spans="12:13" x14ac:dyDescent="0.2">
      <c r="L608" s="48"/>
      <c r="M608" s="48"/>
    </row>
    <row r="609" spans="12:13" x14ac:dyDescent="0.2">
      <c r="L609" s="48"/>
      <c r="M609" s="48"/>
    </row>
    <row r="610" spans="12:13" x14ac:dyDescent="0.2">
      <c r="L610" s="48"/>
      <c r="M610" s="48"/>
    </row>
    <row r="611" spans="12:13" x14ac:dyDescent="0.2">
      <c r="L611" s="48"/>
      <c r="M611" s="48"/>
    </row>
    <row r="612" spans="12:13" x14ac:dyDescent="0.2">
      <c r="L612" s="48"/>
      <c r="M612" s="48"/>
    </row>
    <row r="613" spans="12:13" x14ac:dyDescent="0.2">
      <c r="L613" s="48"/>
      <c r="M613" s="48"/>
    </row>
    <row r="614" spans="12:13" x14ac:dyDescent="0.2">
      <c r="L614" s="48"/>
      <c r="M614" s="48"/>
    </row>
    <row r="615" spans="12:13" x14ac:dyDescent="0.2">
      <c r="L615" s="48"/>
      <c r="M615" s="48"/>
    </row>
    <row r="616" spans="12:13" x14ac:dyDescent="0.2">
      <c r="L616" s="48"/>
      <c r="M616" s="48"/>
    </row>
    <row r="617" spans="12:13" x14ac:dyDescent="0.2">
      <c r="L617" s="48"/>
      <c r="M617" s="48"/>
    </row>
    <row r="618" spans="12:13" x14ac:dyDescent="0.2">
      <c r="L618" s="48"/>
      <c r="M618" s="48"/>
    </row>
    <row r="619" spans="12:13" x14ac:dyDescent="0.2">
      <c r="L619" s="48"/>
      <c r="M619" s="48"/>
    </row>
    <row r="620" spans="12:13" x14ac:dyDescent="0.2">
      <c r="L620" s="48"/>
      <c r="M620" s="48"/>
    </row>
    <row r="621" spans="12:13" x14ac:dyDescent="0.2">
      <c r="L621" s="48"/>
      <c r="M621" s="48"/>
    </row>
    <row r="622" spans="12:13" x14ac:dyDescent="0.2">
      <c r="L622" s="48"/>
      <c r="M622" s="48"/>
    </row>
    <row r="623" spans="12:13" x14ac:dyDescent="0.2">
      <c r="L623" s="48"/>
      <c r="M623" s="48"/>
    </row>
    <row r="624" spans="12:13" x14ac:dyDescent="0.2">
      <c r="L624" s="48"/>
      <c r="M624" s="48"/>
    </row>
    <row r="625" spans="12:13" x14ac:dyDescent="0.2">
      <c r="L625" s="48"/>
      <c r="M625" s="48"/>
    </row>
    <row r="626" spans="12:13" x14ac:dyDescent="0.2">
      <c r="L626" s="48"/>
      <c r="M626" s="48"/>
    </row>
    <row r="627" spans="12:13" x14ac:dyDescent="0.2">
      <c r="L627" s="48"/>
      <c r="M627" s="48"/>
    </row>
    <row r="628" spans="12:13" x14ac:dyDescent="0.2">
      <c r="L628" s="48"/>
      <c r="M628" s="48"/>
    </row>
    <row r="629" spans="12:13" x14ac:dyDescent="0.2">
      <c r="L629" s="48"/>
      <c r="M629" s="48"/>
    </row>
    <row r="630" spans="12:13" x14ac:dyDescent="0.2">
      <c r="L630" s="48"/>
      <c r="M630" s="48"/>
    </row>
    <row r="631" spans="12:13" x14ac:dyDescent="0.2">
      <c r="L631" s="48"/>
      <c r="M631" s="48"/>
    </row>
    <row r="632" spans="12:13" x14ac:dyDescent="0.2">
      <c r="L632" s="48"/>
      <c r="M632" s="48"/>
    </row>
    <row r="633" spans="12:13" x14ac:dyDescent="0.2">
      <c r="L633" s="48"/>
      <c r="M633" s="48"/>
    </row>
    <row r="634" spans="12:13" x14ac:dyDescent="0.2">
      <c r="L634" s="48"/>
      <c r="M634" s="48"/>
    </row>
    <row r="635" spans="12:13" x14ac:dyDescent="0.2">
      <c r="L635" s="48"/>
      <c r="M635" s="48"/>
    </row>
    <row r="636" spans="12:13" x14ac:dyDescent="0.2">
      <c r="L636" s="48"/>
      <c r="M636" s="48"/>
    </row>
    <row r="637" spans="12:13" x14ac:dyDescent="0.2">
      <c r="L637" s="48"/>
      <c r="M637" s="48"/>
    </row>
    <row r="638" spans="12:13" x14ac:dyDescent="0.2">
      <c r="L638" s="48"/>
      <c r="M638" s="48"/>
    </row>
    <row r="639" spans="12:13" x14ac:dyDescent="0.2">
      <c r="L639" s="48"/>
      <c r="M639" s="48"/>
    </row>
    <row r="640" spans="12:13" x14ac:dyDescent="0.2">
      <c r="L640" s="48"/>
      <c r="M640" s="48"/>
    </row>
    <row r="641" spans="12:13" x14ac:dyDescent="0.2">
      <c r="L641" s="48"/>
      <c r="M641" s="48"/>
    </row>
    <row r="642" spans="12:13" x14ac:dyDescent="0.2">
      <c r="L642" s="48"/>
      <c r="M642" s="48"/>
    </row>
    <row r="643" spans="12:13" x14ac:dyDescent="0.2">
      <c r="L643" s="48"/>
      <c r="M643" s="48"/>
    </row>
    <row r="644" spans="12:13" x14ac:dyDescent="0.2">
      <c r="L644" s="48"/>
      <c r="M644" s="48"/>
    </row>
    <row r="645" spans="12:13" x14ac:dyDescent="0.2">
      <c r="L645" s="48"/>
      <c r="M645" s="48"/>
    </row>
    <row r="646" spans="12:13" x14ac:dyDescent="0.2">
      <c r="L646" s="48"/>
      <c r="M646" s="48"/>
    </row>
    <row r="647" spans="12:13" x14ac:dyDescent="0.2">
      <c r="L647" s="48"/>
      <c r="M647" s="48"/>
    </row>
    <row r="648" spans="12:13" x14ac:dyDescent="0.2">
      <c r="L648" s="48"/>
      <c r="M648" s="48"/>
    </row>
    <row r="649" spans="12:13" x14ac:dyDescent="0.2">
      <c r="L649" s="48"/>
      <c r="M649" s="48"/>
    </row>
    <row r="650" spans="12:13" x14ac:dyDescent="0.2">
      <c r="L650" s="48"/>
      <c r="M650" s="48"/>
    </row>
    <row r="651" spans="12:13" x14ac:dyDescent="0.2">
      <c r="L651" s="48"/>
      <c r="M651" s="48"/>
    </row>
    <row r="652" spans="12:13" x14ac:dyDescent="0.2">
      <c r="L652" s="48"/>
      <c r="M652" s="48"/>
    </row>
    <row r="653" spans="12:13" x14ac:dyDescent="0.2">
      <c r="L653" s="48"/>
      <c r="M653" s="48"/>
    </row>
    <row r="654" spans="12:13" x14ac:dyDescent="0.2">
      <c r="L654" s="48"/>
      <c r="M654" s="48"/>
    </row>
    <row r="655" spans="12:13" x14ac:dyDescent="0.2">
      <c r="L655" s="48"/>
      <c r="M655" s="48"/>
    </row>
    <row r="656" spans="12:13" x14ac:dyDescent="0.2">
      <c r="L656" s="48"/>
      <c r="M656" s="48"/>
    </row>
    <row r="657" spans="12:13" x14ac:dyDescent="0.2">
      <c r="L657" s="48"/>
      <c r="M657" s="48"/>
    </row>
    <row r="658" spans="12:13" x14ac:dyDescent="0.2">
      <c r="L658" s="48"/>
      <c r="M658" s="48"/>
    </row>
    <row r="659" spans="12:13" x14ac:dyDescent="0.2">
      <c r="L659" s="48"/>
      <c r="M659" s="48"/>
    </row>
    <row r="660" spans="12:13" x14ac:dyDescent="0.2">
      <c r="L660" s="48"/>
      <c r="M660" s="48"/>
    </row>
    <row r="661" spans="12:13" x14ac:dyDescent="0.2">
      <c r="L661" s="48"/>
      <c r="M661" s="48"/>
    </row>
    <row r="662" spans="12:13" x14ac:dyDescent="0.2">
      <c r="L662" s="48"/>
      <c r="M662" s="48"/>
    </row>
    <row r="663" spans="12:13" x14ac:dyDescent="0.2">
      <c r="L663" s="48"/>
      <c r="M663" s="48"/>
    </row>
    <row r="664" spans="12:13" x14ac:dyDescent="0.2">
      <c r="L664" s="48"/>
      <c r="M664" s="48"/>
    </row>
    <row r="665" spans="12:13" x14ac:dyDescent="0.2">
      <c r="L665" s="48"/>
      <c r="M665" s="48"/>
    </row>
    <row r="666" spans="12:13" x14ac:dyDescent="0.2">
      <c r="L666" s="48"/>
      <c r="M666" s="48"/>
    </row>
    <row r="667" spans="12:13" x14ac:dyDescent="0.2">
      <c r="L667" s="48"/>
      <c r="M667" s="48"/>
    </row>
    <row r="668" spans="12:13" x14ac:dyDescent="0.2">
      <c r="L668" s="48"/>
      <c r="M668" s="48"/>
    </row>
    <row r="669" spans="12:13" x14ac:dyDescent="0.2">
      <c r="L669" s="48"/>
      <c r="M669" s="48"/>
    </row>
    <row r="670" spans="12:13" x14ac:dyDescent="0.2">
      <c r="L670" s="48"/>
      <c r="M670" s="48"/>
    </row>
    <row r="671" spans="12:13" x14ac:dyDescent="0.2">
      <c r="L671" s="48"/>
      <c r="M671" s="48"/>
    </row>
    <row r="672" spans="12:13" x14ac:dyDescent="0.2">
      <c r="L672" s="48"/>
      <c r="M672" s="48"/>
    </row>
    <row r="673" spans="12:13" x14ac:dyDescent="0.2">
      <c r="L673" s="48"/>
      <c r="M673" s="48"/>
    </row>
    <row r="674" spans="12:13" x14ac:dyDescent="0.2">
      <c r="L674" s="48"/>
      <c r="M674" s="48"/>
    </row>
    <row r="675" spans="12:13" x14ac:dyDescent="0.2">
      <c r="L675" s="48"/>
      <c r="M675" s="48"/>
    </row>
    <row r="676" spans="12:13" x14ac:dyDescent="0.2">
      <c r="L676" s="48"/>
      <c r="M676" s="48"/>
    </row>
    <row r="677" spans="12:13" x14ac:dyDescent="0.2">
      <c r="L677" s="48"/>
      <c r="M677" s="48"/>
    </row>
    <row r="678" spans="12:13" x14ac:dyDescent="0.2">
      <c r="L678" s="48"/>
      <c r="M678" s="48"/>
    </row>
    <row r="679" spans="12:13" x14ac:dyDescent="0.2">
      <c r="L679" s="48"/>
      <c r="M679" s="48"/>
    </row>
    <row r="680" spans="12:13" x14ac:dyDescent="0.2">
      <c r="L680" s="48"/>
      <c r="M680" s="48"/>
    </row>
    <row r="681" spans="12:13" x14ac:dyDescent="0.2">
      <c r="L681" s="48"/>
      <c r="M681" s="48"/>
    </row>
    <row r="682" spans="12:13" x14ac:dyDescent="0.2">
      <c r="L682" s="48"/>
      <c r="M682" s="48"/>
    </row>
    <row r="683" spans="12:13" x14ac:dyDescent="0.2">
      <c r="L683" s="48"/>
      <c r="M683" s="48"/>
    </row>
    <row r="684" spans="12:13" x14ac:dyDescent="0.2">
      <c r="L684" s="48"/>
      <c r="M684" s="48"/>
    </row>
    <row r="685" spans="12:13" x14ac:dyDescent="0.2">
      <c r="L685" s="48"/>
      <c r="M685" s="48"/>
    </row>
    <row r="686" spans="12:13" x14ac:dyDescent="0.2">
      <c r="L686" s="48"/>
      <c r="M686" s="48"/>
    </row>
    <row r="687" spans="12:13" x14ac:dyDescent="0.2">
      <c r="L687" s="48"/>
      <c r="M687" s="48"/>
    </row>
    <row r="688" spans="12:13" x14ac:dyDescent="0.2">
      <c r="L688" s="48"/>
      <c r="M688" s="48"/>
    </row>
    <row r="689" spans="12:13" x14ac:dyDescent="0.2">
      <c r="L689" s="48"/>
      <c r="M689" s="48"/>
    </row>
    <row r="690" spans="12:13" x14ac:dyDescent="0.2">
      <c r="L690" s="48"/>
      <c r="M690" s="48"/>
    </row>
    <row r="691" spans="12:13" x14ac:dyDescent="0.2">
      <c r="L691" s="48"/>
      <c r="M691" s="48"/>
    </row>
    <row r="692" spans="12:13" x14ac:dyDescent="0.2">
      <c r="L692" s="48"/>
      <c r="M692" s="48"/>
    </row>
    <row r="693" spans="12:13" x14ac:dyDescent="0.2">
      <c r="L693" s="48"/>
      <c r="M693" s="48"/>
    </row>
    <row r="694" spans="12:13" x14ac:dyDescent="0.2">
      <c r="L694" s="48"/>
      <c r="M694" s="48"/>
    </row>
    <row r="695" spans="12:13" x14ac:dyDescent="0.2">
      <c r="L695" s="48"/>
      <c r="M695" s="48"/>
    </row>
    <row r="696" spans="12:13" x14ac:dyDescent="0.2">
      <c r="L696" s="48"/>
      <c r="M696" s="48"/>
    </row>
    <row r="697" spans="12:13" x14ac:dyDescent="0.2">
      <c r="L697" s="48"/>
      <c r="M697" s="48"/>
    </row>
    <row r="698" spans="12:13" x14ac:dyDescent="0.2">
      <c r="L698" s="48"/>
      <c r="M698" s="48"/>
    </row>
    <row r="699" spans="12:13" x14ac:dyDescent="0.2">
      <c r="L699" s="48"/>
      <c r="M699" s="48"/>
    </row>
    <row r="700" spans="12:13" x14ac:dyDescent="0.2">
      <c r="L700" s="48"/>
      <c r="M700" s="48"/>
    </row>
    <row r="701" spans="12:13" x14ac:dyDescent="0.2">
      <c r="L701" s="48"/>
      <c r="M701" s="48"/>
    </row>
    <row r="702" spans="12:13" x14ac:dyDescent="0.2">
      <c r="L702" s="48"/>
      <c r="M702" s="48"/>
    </row>
    <row r="703" spans="12:13" x14ac:dyDescent="0.2">
      <c r="L703" s="48"/>
      <c r="M703" s="48"/>
    </row>
    <row r="704" spans="12:13" x14ac:dyDescent="0.2">
      <c r="L704" s="48"/>
      <c r="M704" s="48"/>
    </row>
    <row r="705" spans="12:13" x14ac:dyDescent="0.2">
      <c r="L705" s="48"/>
      <c r="M705" s="48"/>
    </row>
    <row r="706" spans="12:13" x14ac:dyDescent="0.2">
      <c r="L706" s="48"/>
      <c r="M706" s="48"/>
    </row>
    <row r="707" spans="12:13" x14ac:dyDescent="0.2">
      <c r="L707" s="48"/>
      <c r="M707" s="48"/>
    </row>
    <row r="708" spans="12:13" x14ac:dyDescent="0.2">
      <c r="L708" s="48"/>
      <c r="M708" s="48"/>
    </row>
    <row r="709" spans="12:13" x14ac:dyDescent="0.2">
      <c r="L709" s="48"/>
      <c r="M709" s="48"/>
    </row>
    <row r="710" spans="12:13" x14ac:dyDescent="0.2">
      <c r="L710" s="48"/>
      <c r="M710" s="48"/>
    </row>
    <row r="711" spans="12:13" x14ac:dyDescent="0.2">
      <c r="L711" s="48"/>
      <c r="M711" s="48"/>
    </row>
    <row r="712" spans="12:13" x14ac:dyDescent="0.2">
      <c r="L712" s="48"/>
      <c r="M712" s="48"/>
    </row>
    <row r="713" spans="12:13" x14ac:dyDescent="0.2">
      <c r="L713" s="48"/>
      <c r="M713" s="48"/>
    </row>
    <row r="714" spans="12:13" x14ac:dyDescent="0.2">
      <c r="L714" s="48"/>
      <c r="M714" s="48"/>
    </row>
    <row r="715" spans="12:13" x14ac:dyDescent="0.2">
      <c r="L715" s="48"/>
      <c r="M715" s="48"/>
    </row>
    <row r="716" spans="12:13" x14ac:dyDescent="0.2">
      <c r="L716" s="48"/>
      <c r="M716" s="48"/>
    </row>
    <row r="717" spans="12:13" x14ac:dyDescent="0.2">
      <c r="L717" s="48"/>
      <c r="M717" s="48"/>
    </row>
    <row r="718" spans="12:13" x14ac:dyDescent="0.2">
      <c r="L718" s="48"/>
      <c r="M718" s="48"/>
    </row>
    <row r="719" spans="12:13" x14ac:dyDescent="0.2">
      <c r="L719" s="48"/>
      <c r="M719" s="48"/>
    </row>
    <row r="720" spans="12:13" x14ac:dyDescent="0.2">
      <c r="L720" s="48"/>
      <c r="M720" s="48"/>
    </row>
    <row r="721" spans="12:13" x14ac:dyDescent="0.2">
      <c r="L721" s="48"/>
      <c r="M721" s="48"/>
    </row>
    <row r="722" spans="12:13" x14ac:dyDescent="0.2">
      <c r="L722" s="48"/>
      <c r="M722" s="48"/>
    </row>
    <row r="723" spans="12:13" x14ac:dyDescent="0.2">
      <c r="L723" s="48"/>
      <c r="M723" s="48"/>
    </row>
    <row r="724" spans="12:13" x14ac:dyDescent="0.2">
      <c r="L724" s="48"/>
      <c r="M724" s="48"/>
    </row>
    <row r="725" spans="12:13" x14ac:dyDescent="0.2">
      <c r="L725" s="48"/>
      <c r="M725" s="48"/>
    </row>
    <row r="726" spans="12:13" x14ac:dyDescent="0.2">
      <c r="L726" s="48"/>
      <c r="M726" s="48"/>
    </row>
    <row r="727" spans="12:13" x14ac:dyDescent="0.2">
      <c r="L727" s="48"/>
      <c r="M727" s="48"/>
    </row>
    <row r="728" spans="12:13" x14ac:dyDescent="0.2">
      <c r="L728" s="48"/>
      <c r="M728" s="48"/>
    </row>
    <row r="729" spans="12:13" x14ac:dyDescent="0.2">
      <c r="L729" s="48"/>
      <c r="M729" s="48"/>
    </row>
    <row r="730" spans="12:13" x14ac:dyDescent="0.2">
      <c r="L730" s="48"/>
      <c r="M730" s="48"/>
    </row>
    <row r="731" spans="12:13" x14ac:dyDescent="0.2">
      <c r="L731" s="48"/>
      <c r="M731" s="48"/>
    </row>
    <row r="732" spans="12:13" x14ac:dyDescent="0.2">
      <c r="L732" s="48"/>
      <c r="M732" s="48"/>
    </row>
    <row r="733" spans="12:13" x14ac:dyDescent="0.2">
      <c r="L733" s="48"/>
      <c r="M733" s="48"/>
    </row>
    <row r="734" spans="12:13" x14ac:dyDescent="0.2">
      <c r="L734" s="48"/>
      <c r="M734" s="48"/>
    </row>
    <row r="735" spans="12:13" x14ac:dyDescent="0.2">
      <c r="L735" s="48"/>
      <c r="M735" s="48"/>
    </row>
    <row r="736" spans="12:13" x14ac:dyDescent="0.2">
      <c r="L736" s="48"/>
      <c r="M736" s="48"/>
    </row>
    <row r="737" spans="12:13" x14ac:dyDescent="0.2">
      <c r="L737" s="48"/>
      <c r="M737" s="48"/>
    </row>
    <row r="738" spans="12:13" x14ac:dyDescent="0.2">
      <c r="L738" s="48"/>
      <c r="M738" s="48"/>
    </row>
    <row r="739" spans="12:13" x14ac:dyDescent="0.2">
      <c r="L739" s="48"/>
      <c r="M739" s="48"/>
    </row>
    <row r="740" spans="12:13" x14ac:dyDescent="0.2">
      <c r="L740" s="48"/>
      <c r="M740" s="48"/>
    </row>
    <row r="741" spans="12:13" x14ac:dyDescent="0.2">
      <c r="L741" s="48"/>
      <c r="M741" s="48"/>
    </row>
    <row r="742" spans="12:13" x14ac:dyDescent="0.2">
      <c r="L742" s="48"/>
      <c r="M742" s="48"/>
    </row>
    <row r="743" spans="12:13" x14ac:dyDescent="0.2">
      <c r="L743" s="48"/>
      <c r="M743" s="48"/>
    </row>
    <row r="744" spans="12:13" x14ac:dyDescent="0.2">
      <c r="L744" s="48"/>
      <c r="M744" s="48"/>
    </row>
    <row r="745" spans="12:13" x14ac:dyDescent="0.2">
      <c r="L745" s="48"/>
      <c r="M745" s="48"/>
    </row>
    <row r="746" spans="12:13" x14ac:dyDescent="0.2">
      <c r="L746" s="48"/>
      <c r="M746" s="48"/>
    </row>
    <row r="747" spans="12:13" x14ac:dyDescent="0.2">
      <c r="L747" s="48"/>
      <c r="M747" s="48"/>
    </row>
    <row r="748" spans="12:13" x14ac:dyDescent="0.2">
      <c r="L748" s="48"/>
      <c r="M748" s="48"/>
    </row>
    <row r="749" spans="12:13" x14ac:dyDescent="0.2">
      <c r="L749" s="48"/>
      <c r="M749" s="48"/>
    </row>
    <row r="750" spans="12:13" x14ac:dyDescent="0.2">
      <c r="L750" s="48"/>
      <c r="M750" s="48"/>
    </row>
    <row r="751" spans="12:13" x14ac:dyDescent="0.2">
      <c r="L751" s="48"/>
      <c r="M751" s="48"/>
    </row>
    <row r="752" spans="12:13" x14ac:dyDescent="0.2">
      <c r="L752" s="48"/>
      <c r="M752" s="48"/>
    </row>
    <row r="753" spans="12:13" x14ac:dyDescent="0.2">
      <c r="L753" s="48"/>
      <c r="M753" s="48"/>
    </row>
    <row r="754" spans="12:13" x14ac:dyDescent="0.2">
      <c r="L754" s="48"/>
      <c r="M754" s="48"/>
    </row>
    <row r="755" spans="12:13" x14ac:dyDescent="0.2">
      <c r="L755" s="48"/>
      <c r="M755" s="48"/>
    </row>
    <row r="756" spans="12:13" x14ac:dyDescent="0.2">
      <c r="L756" s="48"/>
      <c r="M756" s="48"/>
    </row>
    <row r="757" spans="12:13" x14ac:dyDescent="0.2">
      <c r="L757" s="48"/>
      <c r="M757" s="48"/>
    </row>
    <row r="758" spans="12:13" x14ac:dyDescent="0.2">
      <c r="L758" s="48"/>
      <c r="M758" s="48"/>
    </row>
    <row r="759" spans="12:13" x14ac:dyDescent="0.2">
      <c r="L759" s="48"/>
      <c r="M759" s="48"/>
    </row>
    <row r="760" spans="12:13" x14ac:dyDescent="0.2">
      <c r="L760" s="48"/>
      <c r="M760" s="48"/>
    </row>
    <row r="761" spans="12:13" x14ac:dyDescent="0.2">
      <c r="L761" s="48"/>
      <c r="M761" s="48"/>
    </row>
    <row r="762" spans="12:13" x14ac:dyDescent="0.2">
      <c r="L762" s="48"/>
      <c r="M762" s="48"/>
    </row>
    <row r="763" spans="12:13" x14ac:dyDescent="0.2">
      <c r="L763" s="48"/>
      <c r="M763" s="48"/>
    </row>
    <row r="764" spans="12:13" x14ac:dyDescent="0.2">
      <c r="L764" s="48"/>
      <c r="M764" s="48"/>
    </row>
    <row r="765" spans="12:13" x14ac:dyDescent="0.2">
      <c r="L765" s="48"/>
      <c r="M765" s="48"/>
    </row>
    <row r="766" spans="12:13" x14ac:dyDescent="0.2">
      <c r="L766" s="48"/>
      <c r="M766" s="48"/>
    </row>
    <row r="767" spans="12:13" x14ac:dyDescent="0.2">
      <c r="L767" s="48"/>
      <c r="M767" s="48"/>
    </row>
    <row r="768" spans="12:13" x14ac:dyDescent="0.2">
      <c r="L768" s="48"/>
      <c r="M768" s="48"/>
    </row>
    <row r="769" spans="12:13" x14ac:dyDescent="0.2">
      <c r="L769" s="48"/>
      <c r="M769" s="48"/>
    </row>
    <row r="770" spans="12:13" x14ac:dyDescent="0.2">
      <c r="L770" s="48"/>
      <c r="M770" s="48"/>
    </row>
    <row r="771" spans="12:13" x14ac:dyDescent="0.2">
      <c r="L771" s="48"/>
      <c r="M771" s="48"/>
    </row>
    <row r="772" spans="12:13" x14ac:dyDescent="0.2">
      <c r="L772" s="48"/>
      <c r="M772" s="48"/>
    </row>
    <row r="773" spans="12:13" x14ac:dyDescent="0.2">
      <c r="L773" s="48"/>
      <c r="M773" s="48"/>
    </row>
    <row r="774" spans="12:13" x14ac:dyDescent="0.2">
      <c r="L774" s="48"/>
      <c r="M774" s="48"/>
    </row>
    <row r="775" spans="12:13" x14ac:dyDescent="0.2">
      <c r="L775" s="48"/>
      <c r="M775" s="48"/>
    </row>
    <row r="776" spans="12:13" x14ac:dyDescent="0.2">
      <c r="L776" s="48"/>
      <c r="M776" s="48"/>
    </row>
    <row r="777" spans="12:13" x14ac:dyDescent="0.2">
      <c r="L777" s="48"/>
      <c r="M777" s="48"/>
    </row>
    <row r="778" spans="12:13" x14ac:dyDescent="0.2">
      <c r="L778" s="48"/>
      <c r="M778" s="48"/>
    </row>
    <row r="779" spans="12:13" x14ac:dyDescent="0.2">
      <c r="L779" s="48"/>
      <c r="M779" s="48"/>
    </row>
    <row r="780" spans="12:13" x14ac:dyDescent="0.2">
      <c r="L780" s="48"/>
      <c r="M780" s="48"/>
    </row>
    <row r="781" spans="12:13" x14ac:dyDescent="0.2">
      <c r="L781" s="48"/>
      <c r="M781" s="48"/>
    </row>
    <row r="782" spans="12:13" x14ac:dyDescent="0.2">
      <c r="L782" s="48"/>
      <c r="M782" s="48"/>
    </row>
    <row r="783" spans="12:13" x14ac:dyDescent="0.2">
      <c r="L783" s="48"/>
      <c r="M783" s="48"/>
    </row>
    <row r="784" spans="12:13" x14ac:dyDescent="0.2">
      <c r="L784" s="48"/>
      <c r="M784" s="48"/>
    </row>
    <row r="785" spans="12:13" x14ac:dyDescent="0.2">
      <c r="L785" s="48"/>
      <c r="M785" s="48"/>
    </row>
    <row r="786" spans="12:13" x14ac:dyDescent="0.2">
      <c r="L786" s="48"/>
      <c r="M786" s="48"/>
    </row>
    <row r="787" spans="12:13" x14ac:dyDescent="0.2">
      <c r="L787" s="48"/>
      <c r="M787" s="48"/>
    </row>
    <row r="788" spans="12:13" x14ac:dyDescent="0.2">
      <c r="L788" s="48"/>
      <c r="M788" s="48"/>
    </row>
    <row r="789" spans="12:13" x14ac:dyDescent="0.2">
      <c r="L789" s="48"/>
      <c r="M789" s="48"/>
    </row>
    <row r="790" spans="12:13" x14ac:dyDescent="0.2">
      <c r="L790" s="48"/>
      <c r="M790" s="48"/>
    </row>
    <row r="791" spans="12:13" x14ac:dyDescent="0.2">
      <c r="L791" s="48"/>
      <c r="M791" s="48"/>
    </row>
    <row r="792" spans="12:13" x14ac:dyDescent="0.2">
      <c r="L792" s="48"/>
      <c r="M792" s="48"/>
    </row>
    <row r="793" spans="12:13" x14ac:dyDescent="0.2">
      <c r="L793" s="48"/>
      <c r="M793" s="48"/>
    </row>
    <row r="794" spans="12:13" x14ac:dyDescent="0.2">
      <c r="L794" s="48"/>
      <c r="M794" s="48"/>
    </row>
    <row r="795" spans="12:13" x14ac:dyDescent="0.2">
      <c r="L795" s="48"/>
      <c r="M795" s="48"/>
    </row>
    <row r="796" spans="12:13" x14ac:dyDescent="0.2">
      <c r="L796" s="48"/>
      <c r="M796" s="48"/>
    </row>
    <row r="797" spans="12:13" x14ac:dyDescent="0.2">
      <c r="L797" s="48"/>
      <c r="M797" s="48"/>
    </row>
    <row r="798" spans="12:13" x14ac:dyDescent="0.2">
      <c r="L798" s="48"/>
      <c r="M798" s="48"/>
    </row>
    <row r="799" spans="12:13" x14ac:dyDescent="0.2">
      <c r="L799" s="48"/>
      <c r="M799" s="48"/>
    </row>
    <row r="800" spans="12:13" x14ac:dyDescent="0.2">
      <c r="L800" s="48"/>
      <c r="M800" s="48"/>
    </row>
    <row r="801" spans="12:13" x14ac:dyDescent="0.2">
      <c r="L801" s="48"/>
      <c r="M801" s="48"/>
    </row>
    <row r="802" spans="12:13" x14ac:dyDescent="0.2">
      <c r="L802" s="48"/>
      <c r="M802" s="48"/>
    </row>
    <row r="803" spans="12:13" x14ac:dyDescent="0.2">
      <c r="L803" s="48"/>
      <c r="M803" s="48"/>
    </row>
    <row r="804" spans="12:13" x14ac:dyDescent="0.2">
      <c r="L804" s="48"/>
      <c r="M804" s="48"/>
    </row>
    <row r="805" spans="12:13" x14ac:dyDescent="0.2">
      <c r="L805" s="48"/>
      <c r="M805" s="48"/>
    </row>
    <row r="806" spans="12:13" x14ac:dyDescent="0.2">
      <c r="L806" s="48"/>
      <c r="M806" s="48"/>
    </row>
    <row r="807" spans="12:13" x14ac:dyDescent="0.2">
      <c r="L807" s="48"/>
      <c r="M807" s="48"/>
    </row>
    <row r="808" spans="12:13" x14ac:dyDescent="0.2">
      <c r="L808" s="48"/>
      <c r="M808" s="48"/>
    </row>
    <row r="809" spans="12:13" x14ac:dyDescent="0.2">
      <c r="L809" s="48"/>
      <c r="M809" s="48"/>
    </row>
    <row r="810" spans="12:13" x14ac:dyDescent="0.2">
      <c r="L810" s="48"/>
      <c r="M810" s="48"/>
    </row>
    <row r="811" spans="12:13" x14ac:dyDescent="0.2">
      <c r="L811" s="48"/>
      <c r="M811" s="48"/>
    </row>
    <row r="812" spans="12:13" x14ac:dyDescent="0.2">
      <c r="L812" s="48"/>
      <c r="M812" s="48"/>
    </row>
    <row r="813" spans="12:13" x14ac:dyDescent="0.2">
      <c r="L813" s="48"/>
      <c r="M813" s="48"/>
    </row>
    <row r="814" spans="12:13" x14ac:dyDescent="0.2">
      <c r="L814" s="48"/>
      <c r="M814" s="48"/>
    </row>
    <row r="815" spans="12:13" x14ac:dyDescent="0.2">
      <c r="L815" s="48"/>
      <c r="M815" s="48"/>
    </row>
    <row r="816" spans="12:13" x14ac:dyDescent="0.2">
      <c r="L816" s="48"/>
      <c r="M816" s="48"/>
    </row>
    <row r="817" spans="12:13" x14ac:dyDescent="0.2">
      <c r="L817" s="48"/>
      <c r="M817" s="48"/>
    </row>
    <row r="818" spans="12:13" x14ac:dyDescent="0.2">
      <c r="L818" s="48"/>
      <c r="M818" s="48"/>
    </row>
    <row r="819" spans="12:13" x14ac:dyDescent="0.2">
      <c r="L819" s="48"/>
      <c r="M819" s="48"/>
    </row>
    <row r="820" spans="12:13" x14ac:dyDescent="0.2">
      <c r="L820" s="48"/>
      <c r="M820" s="48"/>
    </row>
    <row r="821" spans="12:13" x14ac:dyDescent="0.2">
      <c r="L821" s="48"/>
      <c r="M821" s="48"/>
    </row>
    <row r="822" spans="12:13" x14ac:dyDescent="0.2">
      <c r="L822" s="48"/>
      <c r="M822" s="48"/>
    </row>
    <row r="823" spans="12:13" x14ac:dyDescent="0.2">
      <c r="L823" s="48"/>
      <c r="M823" s="48"/>
    </row>
    <row r="824" spans="12:13" x14ac:dyDescent="0.2">
      <c r="L824" s="48"/>
      <c r="M824" s="48"/>
    </row>
    <row r="825" spans="12:13" x14ac:dyDescent="0.2">
      <c r="L825" s="48"/>
      <c r="M825" s="48"/>
    </row>
    <row r="826" spans="12:13" x14ac:dyDescent="0.2">
      <c r="L826" s="48"/>
      <c r="M826" s="48"/>
    </row>
    <row r="827" spans="12:13" x14ac:dyDescent="0.2">
      <c r="L827" s="48"/>
      <c r="M827" s="48"/>
    </row>
    <row r="828" spans="12:13" x14ac:dyDescent="0.2">
      <c r="L828" s="48"/>
      <c r="M828" s="48"/>
    </row>
    <row r="829" spans="12:13" x14ac:dyDescent="0.2">
      <c r="L829" s="48"/>
      <c r="M829" s="48"/>
    </row>
    <row r="830" spans="12:13" x14ac:dyDescent="0.2">
      <c r="L830" s="48"/>
      <c r="M830" s="48"/>
    </row>
    <row r="831" spans="12:13" x14ac:dyDescent="0.2">
      <c r="L831" s="48"/>
      <c r="M831" s="48"/>
    </row>
    <row r="832" spans="12:13" x14ac:dyDescent="0.2">
      <c r="L832" s="48"/>
      <c r="M832" s="48"/>
    </row>
    <row r="833" spans="12:13" x14ac:dyDescent="0.2">
      <c r="L833" s="48"/>
      <c r="M833" s="48"/>
    </row>
    <row r="834" spans="12:13" x14ac:dyDescent="0.2">
      <c r="L834" s="48"/>
      <c r="M834" s="48"/>
    </row>
    <row r="835" spans="12:13" x14ac:dyDescent="0.2">
      <c r="L835" s="48"/>
      <c r="M835" s="48"/>
    </row>
    <row r="836" spans="12:13" x14ac:dyDescent="0.2">
      <c r="L836" s="48"/>
      <c r="M836" s="48"/>
    </row>
    <row r="837" spans="12:13" x14ac:dyDescent="0.2">
      <c r="L837" s="48"/>
      <c r="M837" s="48"/>
    </row>
    <row r="838" spans="12:13" x14ac:dyDescent="0.2">
      <c r="L838" s="48"/>
      <c r="M838" s="48"/>
    </row>
    <row r="839" spans="12:13" x14ac:dyDescent="0.2">
      <c r="L839" s="48"/>
      <c r="M839" s="48"/>
    </row>
    <row r="840" spans="12:13" x14ac:dyDescent="0.2">
      <c r="L840" s="48"/>
      <c r="M840" s="48"/>
    </row>
    <row r="841" spans="12:13" x14ac:dyDescent="0.2">
      <c r="L841" s="48"/>
      <c r="M841" s="48"/>
    </row>
    <row r="842" spans="12:13" x14ac:dyDescent="0.2">
      <c r="L842" s="48"/>
      <c r="M842" s="48"/>
    </row>
    <row r="843" spans="12:13" x14ac:dyDescent="0.2">
      <c r="L843" s="48"/>
      <c r="M843" s="48"/>
    </row>
    <row r="844" spans="12:13" x14ac:dyDescent="0.2">
      <c r="L844" s="48"/>
      <c r="M844" s="48"/>
    </row>
    <row r="845" spans="12:13" x14ac:dyDescent="0.2">
      <c r="L845" s="48"/>
      <c r="M845" s="48"/>
    </row>
    <row r="846" spans="12:13" x14ac:dyDescent="0.2">
      <c r="L846" s="48"/>
      <c r="M846" s="48"/>
    </row>
    <row r="847" spans="12:13" x14ac:dyDescent="0.2">
      <c r="L847" s="48"/>
      <c r="M847" s="48"/>
    </row>
    <row r="848" spans="12:13" x14ac:dyDescent="0.2">
      <c r="L848" s="48"/>
      <c r="M848" s="48"/>
    </row>
    <row r="849" spans="12:13" x14ac:dyDescent="0.2">
      <c r="L849" s="48"/>
      <c r="M849" s="48"/>
    </row>
    <row r="850" spans="12:13" x14ac:dyDescent="0.2">
      <c r="L850" s="48"/>
      <c r="M850" s="48"/>
    </row>
    <row r="851" spans="12:13" x14ac:dyDescent="0.2">
      <c r="L851" s="48"/>
      <c r="M851" s="48"/>
    </row>
    <row r="852" spans="12:13" x14ac:dyDescent="0.2">
      <c r="L852" s="48"/>
      <c r="M852" s="48"/>
    </row>
    <row r="853" spans="12:13" x14ac:dyDescent="0.2">
      <c r="L853" s="48"/>
      <c r="M853" s="48"/>
    </row>
    <row r="854" spans="12:13" x14ac:dyDescent="0.2">
      <c r="L854" s="48"/>
      <c r="M854" s="48"/>
    </row>
    <row r="855" spans="12:13" x14ac:dyDescent="0.2">
      <c r="L855" s="48"/>
      <c r="M855" s="48"/>
    </row>
    <row r="856" spans="12:13" x14ac:dyDescent="0.2">
      <c r="L856" s="48"/>
      <c r="M856" s="48"/>
    </row>
    <row r="857" spans="12:13" x14ac:dyDescent="0.2">
      <c r="L857" s="48"/>
      <c r="M857" s="48"/>
    </row>
    <row r="858" spans="12:13" x14ac:dyDescent="0.2">
      <c r="L858" s="48"/>
      <c r="M858" s="48"/>
    </row>
    <row r="859" spans="12:13" x14ac:dyDescent="0.2">
      <c r="L859" s="48"/>
      <c r="M859" s="48"/>
    </row>
    <row r="860" spans="12:13" x14ac:dyDescent="0.2">
      <c r="L860" s="48"/>
      <c r="M860" s="48"/>
    </row>
    <row r="861" spans="12:13" x14ac:dyDescent="0.2">
      <c r="L861" s="48"/>
      <c r="M861" s="48"/>
    </row>
    <row r="862" spans="12:13" x14ac:dyDescent="0.2">
      <c r="L862" s="48"/>
      <c r="M862" s="48"/>
    </row>
    <row r="863" spans="12:13" x14ac:dyDescent="0.2">
      <c r="L863" s="48"/>
      <c r="M863" s="48"/>
    </row>
    <row r="864" spans="12:13" x14ac:dyDescent="0.2">
      <c r="L864" s="48"/>
      <c r="M864" s="48"/>
    </row>
    <row r="865" spans="12:13" x14ac:dyDescent="0.2">
      <c r="L865" s="48"/>
      <c r="M865" s="48"/>
    </row>
    <row r="866" spans="12:13" x14ac:dyDescent="0.2">
      <c r="L866" s="48"/>
      <c r="M866" s="48"/>
    </row>
    <row r="867" spans="12:13" x14ac:dyDescent="0.2">
      <c r="L867" s="48"/>
      <c r="M867" s="48"/>
    </row>
    <row r="868" spans="12:13" x14ac:dyDescent="0.2">
      <c r="L868" s="48"/>
      <c r="M868" s="48"/>
    </row>
    <row r="869" spans="12:13" x14ac:dyDescent="0.2">
      <c r="L869" s="48"/>
      <c r="M869" s="48"/>
    </row>
    <row r="870" spans="12:13" x14ac:dyDescent="0.2">
      <c r="L870" s="48"/>
      <c r="M870" s="48"/>
    </row>
    <row r="871" spans="12:13" x14ac:dyDescent="0.2">
      <c r="L871" s="48"/>
      <c r="M871" s="48"/>
    </row>
    <row r="872" spans="12:13" x14ac:dyDescent="0.2">
      <c r="L872" s="48"/>
      <c r="M872" s="48"/>
    </row>
    <row r="873" spans="12:13" x14ac:dyDescent="0.2">
      <c r="L873" s="48"/>
      <c r="M873" s="48"/>
    </row>
    <row r="874" spans="12:13" x14ac:dyDescent="0.2">
      <c r="L874" s="48"/>
      <c r="M874" s="48"/>
    </row>
    <row r="875" spans="12:13" x14ac:dyDescent="0.2">
      <c r="L875" s="48"/>
      <c r="M875" s="48"/>
    </row>
    <row r="876" spans="12:13" x14ac:dyDescent="0.2">
      <c r="L876" s="48"/>
      <c r="M876" s="48"/>
    </row>
    <row r="877" spans="12:13" x14ac:dyDescent="0.2">
      <c r="L877" s="48"/>
      <c r="M877" s="48"/>
    </row>
    <row r="878" spans="12:13" x14ac:dyDescent="0.2">
      <c r="L878" s="48"/>
      <c r="M878" s="48"/>
    </row>
    <row r="879" spans="12:13" x14ac:dyDescent="0.2">
      <c r="L879" s="48"/>
      <c r="M879" s="48"/>
    </row>
    <row r="880" spans="12:13" x14ac:dyDescent="0.2">
      <c r="L880" s="48"/>
      <c r="M880" s="48"/>
    </row>
    <row r="881" spans="12:13" x14ac:dyDescent="0.2">
      <c r="L881" s="48"/>
      <c r="M881" s="48"/>
    </row>
    <row r="882" spans="12:13" x14ac:dyDescent="0.2">
      <c r="L882" s="48"/>
      <c r="M882" s="48"/>
    </row>
    <row r="883" spans="12:13" x14ac:dyDescent="0.2">
      <c r="L883" s="48"/>
      <c r="M883" s="48"/>
    </row>
    <row r="884" spans="12:13" x14ac:dyDescent="0.2">
      <c r="L884" s="48"/>
      <c r="M884" s="48"/>
    </row>
    <row r="885" spans="12:13" x14ac:dyDescent="0.2">
      <c r="L885" s="48"/>
      <c r="M885" s="48"/>
    </row>
    <row r="886" spans="12:13" x14ac:dyDescent="0.2">
      <c r="L886" s="48"/>
      <c r="M886" s="48"/>
    </row>
    <row r="887" spans="12:13" x14ac:dyDescent="0.2">
      <c r="L887" s="48"/>
      <c r="M887" s="48"/>
    </row>
    <row r="888" spans="12:13" x14ac:dyDescent="0.2">
      <c r="L888" s="48"/>
      <c r="M888" s="48"/>
    </row>
    <row r="889" spans="12:13" x14ac:dyDescent="0.2">
      <c r="L889" s="48"/>
      <c r="M889" s="48"/>
    </row>
    <row r="890" spans="12:13" x14ac:dyDescent="0.2">
      <c r="L890" s="48"/>
      <c r="M890" s="48"/>
    </row>
    <row r="891" spans="12:13" x14ac:dyDescent="0.2">
      <c r="L891" s="48"/>
      <c r="M891" s="48"/>
    </row>
    <row r="892" spans="12:13" x14ac:dyDescent="0.2">
      <c r="L892" s="48"/>
      <c r="M892" s="48"/>
    </row>
    <row r="893" spans="12:13" x14ac:dyDescent="0.2">
      <c r="L893" s="48"/>
      <c r="M893" s="48"/>
    </row>
    <row r="894" spans="12:13" x14ac:dyDescent="0.2">
      <c r="L894" s="48"/>
      <c r="M894" s="48"/>
    </row>
    <row r="895" spans="12:13" x14ac:dyDescent="0.2">
      <c r="L895" s="48"/>
      <c r="M895" s="48"/>
    </row>
    <row r="896" spans="12:13" x14ac:dyDescent="0.2">
      <c r="L896" s="48"/>
      <c r="M896" s="48"/>
    </row>
    <row r="897" spans="12:13" x14ac:dyDescent="0.2">
      <c r="L897" s="48"/>
      <c r="M897" s="48"/>
    </row>
    <row r="898" spans="12:13" x14ac:dyDescent="0.2">
      <c r="L898" s="48"/>
      <c r="M898" s="48"/>
    </row>
    <row r="899" spans="12:13" x14ac:dyDescent="0.2">
      <c r="L899" s="48"/>
      <c r="M899" s="48"/>
    </row>
    <row r="900" spans="12:13" x14ac:dyDescent="0.2">
      <c r="L900" s="48"/>
      <c r="M900" s="48"/>
    </row>
    <row r="901" spans="12:13" x14ac:dyDescent="0.2">
      <c r="L901" s="48"/>
      <c r="M901" s="48"/>
    </row>
    <row r="902" spans="12:13" x14ac:dyDescent="0.2">
      <c r="L902" s="48"/>
      <c r="M902" s="48"/>
    </row>
    <row r="903" spans="12:13" x14ac:dyDescent="0.2">
      <c r="L903" s="48"/>
      <c r="M903" s="48"/>
    </row>
    <row r="904" spans="12:13" x14ac:dyDescent="0.2">
      <c r="L904" s="48"/>
      <c r="M904" s="48"/>
    </row>
    <row r="905" spans="12:13" x14ac:dyDescent="0.2">
      <c r="L905" s="48"/>
      <c r="M905" s="48"/>
    </row>
    <row r="906" spans="12:13" x14ac:dyDescent="0.2">
      <c r="L906" s="48"/>
      <c r="M906" s="48"/>
    </row>
    <row r="907" spans="12:13" x14ac:dyDescent="0.2">
      <c r="L907" s="48"/>
      <c r="M907" s="48"/>
    </row>
    <row r="908" spans="12:13" x14ac:dyDescent="0.2">
      <c r="L908" s="48"/>
      <c r="M908" s="48"/>
    </row>
    <row r="909" spans="12:13" x14ac:dyDescent="0.2">
      <c r="L909" s="48"/>
      <c r="M909" s="48"/>
    </row>
    <row r="910" spans="12:13" x14ac:dyDescent="0.2">
      <c r="L910" s="48"/>
      <c r="M910" s="48"/>
    </row>
    <row r="911" spans="12:13" x14ac:dyDescent="0.2">
      <c r="L911" s="48"/>
      <c r="M911" s="48"/>
    </row>
    <row r="912" spans="12:13" x14ac:dyDescent="0.2">
      <c r="L912" s="48"/>
      <c r="M912" s="48"/>
    </row>
    <row r="913" spans="12:13" x14ac:dyDescent="0.2">
      <c r="L913" s="48"/>
      <c r="M913" s="48"/>
    </row>
    <row r="914" spans="12:13" x14ac:dyDescent="0.2">
      <c r="L914" s="48"/>
      <c r="M914" s="48"/>
    </row>
    <row r="915" spans="12:13" x14ac:dyDescent="0.2">
      <c r="L915" s="48"/>
      <c r="M915" s="48"/>
    </row>
    <row r="916" spans="12:13" x14ac:dyDescent="0.2">
      <c r="L916" s="48"/>
      <c r="M916" s="48"/>
    </row>
    <row r="917" spans="12:13" x14ac:dyDescent="0.2">
      <c r="L917" s="48"/>
      <c r="M917" s="48"/>
    </row>
    <row r="918" spans="12:13" x14ac:dyDescent="0.2">
      <c r="L918" s="48"/>
      <c r="M918" s="48"/>
    </row>
    <row r="919" spans="12:13" x14ac:dyDescent="0.2">
      <c r="L919" s="48"/>
      <c r="M919" s="48"/>
    </row>
    <row r="920" spans="12:13" x14ac:dyDescent="0.2">
      <c r="L920" s="48"/>
      <c r="M920" s="48"/>
    </row>
    <row r="921" spans="12:13" x14ac:dyDescent="0.2">
      <c r="L921" s="48"/>
      <c r="M921" s="48"/>
    </row>
    <row r="922" spans="12:13" x14ac:dyDescent="0.2">
      <c r="L922" s="48"/>
      <c r="M922" s="48"/>
    </row>
    <row r="923" spans="12:13" x14ac:dyDescent="0.2">
      <c r="L923" s="48"/>
      <c r="M923" s="48"/>
    </row>
    <row r="924" spans="12:13" x14ac:dyDescent="0.2">
      <c r="L924" s="48"/>
      <c r="M924" s="48"/>
    </row>
    <row r="925" spans="12:13" x14ac:dyDescent="0.2">
      <c r="L925" s="48"/>
      <c r="M925" s="48"/>
    </row>
    <row r="926" spans="12:13" x14ac:dyDescent="0.2">
      <c r="L926" s="48"/>
      <c r="M926" s="48"/>
    </row>
    <row r="927" spans="12:13" x14ac:dyDescent="0.2">
      <c r="L927" s="48"/>
      <c r="M927" s="48"/>
    </row>
    <row r="928" spans="12:13" x14ac:dyDescent="0.2">
      <c r="L928" s="48"/>
      <c r="M928" s="48"/>
    </row>
    <row r="929" spans="12:13" x14ac:dyDescent="0.2">
      <c r="L929" s="48"/>
      <c r="M929" s="48"/>
    </row>
    <row r="930" spans="12:13" x14ac:dyDescent="0.2">
      <c r="L930" s="48"/>
      <c r="M930" s="48"/>
    </row>
    <row r="931" spans="12:13" x14ac:dyDescent="0.2">
      <c r="L931" s="48"/>
      <c r="M931" s="48"/>
    </row>
    <row r="932" spans="12:13" x14ac:dyDescent="0.2">
      <c r="L932" s="48"/>
      <c r="M932" s="48"/>
    </row>
    <row r="933" spans="12:13" x14ac:dyDescent="0.2">
      <c r="L933" s="48"/>
      <c r="M933" s="48"/>
    </row>
    <row r="934" spans="12:13" x14ac:dyDescent="0.2">
      <c r="L934" s="48"/>
      <c r="M934" s="48"/>
    </row>
    <row r="935" spans="12:13" x14ac:dyDescent="0.2">
      <c r="L935" s="48"/>
      <c r="M935" s="48"/>
    </row>
    <row r="936" spans="12:13" x14ac:dyDescent="0.2">
      <c r="L936" s="48"/>
      <c r="M936" s="48"/>
    </row>
    <row r="937" spans="12:13" x14ac:dyDescent="0.2">
      <c r="L937" s="48"/>
      <c r="M937" s="48"/>
    </row>
    <row r="938" spans="12:13" x14ac:dyDescent="0.2">
      <c r="L938" s="48"/>
      <c r="M938" s="48"/>
    </row>
    <row r="939" spans="12:13" x14ac:dyDescent="0.2">
      <c r="L939" s="48"/>
      <c r="M939" s="48"/>
    </row>
    <row r="940" spans="12:13" x14ac:dyDescent="0.2">
      <c r="L940" s="48"/>
      <c r="M940" s="48"/>
    </row>
    <row r="941" spans="12:13" x14ac:dyDescent="0.2">
      <c r="L941" s="48"/>
      <c r="M941" s="48"/>
    </row>
    <row r="942" spans="12:13" x14ac:dyDescent="0.2">
      <c r="L942" s="48"/>
      <c r="M942" s="48"/>
    </row>
    <row r="943" spans="12:13" x14ac:dyDescent="0.2">
      <c r="L943" s="48"/>
      <c r="M943" s="48"/>
    </row>
    <row r="944" spans="12:13" x14ac:dyDescent="0.2">
      <c r="L944" s="48"/>
      <c r="M944" s="48"/>
    </row>
    <row r="945" spans="12:13" x14ac:dyDescent="0.2">
      <c r="L945" s="48"/>
      <c r="M945" s="48"/>
    </row>
    <row r="946" spans="12:13" x14ac:dyDescent="0.2">
      <c r="L946" s="48"/>
      <c r="M946" s="48"/>
    </row>
    <row r="947" spans="12:13" x14ac:dyDescent="0.2">
      <c r="L947" s="48"/>
      <c r="M947" s="48"/>
    </row>
    <row r="948" spans="12:13" x14ac:dyDescent="0.2">
      <c r="L948" s="48"/>
      <c r="M948" s="48"/>
    </row>
    <row r="949" spans="12:13" x14ac:dyDescent="0.2">
      <c r="L949" s="48"/>
      <c r="M949" s="48"/>
    </row>
    <row r="950" spans="12:13" x14ac:dyDescent="0.2">
      <c r="L950" s="48"/>
      <c r="M950" s="48"/>
    </row>
    <row r="951" spans="12:13" x14ac:dyDescent="0.2">
      <c r="L951" s="48"/>
      <c r="M951" s="48"/>
    </row>
    <row r="952" spans="12:13" x14ac:dyDescent="0.2">
      <c r="L952" s="48"/>
      <c r="M952" s="48"/>
    </row>
    <row r="953" spans="12:13" x14ac:dyDescent="0.2">
      <c r="L953" s="48"/>
      <c r="M953" s="48"/>
    </row>
    <row r="954" spans="12:13" x14ac:dyDescent="0.2">
      <c r="L954" s="48"/>
      <c r="M954" s="48"/>
    </row>
    <row r="955" spans="12:13" x14ac:dyDescent="0.2">
      <c r="L955" s="48"/>
      <c r="M955" s="48"/>
    </row>
    <row r="956" spans="12:13" x14ac:dyDescent="0.2">
      <c r="L956" s="48"/>
      <c r="M956" s="48"/>
    </row>
    <row r="957" spans="12:13" x14ac:dyDescent="0.2">
      <c r="L957" s="48"/>
      <c r="M957" s="48"/>
    </row>
    <row r="958" spans="12:13" x14ac:dyDescent="0.2">
      <c r="L958" s="48"/>
      <c r="M958" s="48"/>
    </row>
    <row r="959" spans="12:13" x14ac:dyDescent="0.2">
      <c r="L959" s="48"/>
      <c r="M959" s="48"/>
    </row>
    <row r="960" spans="12:13" x14ac:dyDescent="0.2">
      <c r="L960" s="48"/>
      <c r="M960" s="48"/>
    </row>
    <row r="961" spans="12:13" x14ac:dyDescent="0.2">
      <c r="L961" s="48"/>
      <c r="M961" s="48"/>
    </row>
    <row r="962" spans="12:13" x14ac:dyDescent="0.2">
      <c r="L962" s="48"/>
      <c r="M962" s="48"/>
    </row>
    <row r="963" spans="12:13" x14ac:dyDescent="0.2">
      <c r="L963" s="48"/>
      <c r="M963" s="48"/>
    </row>
    <row r="964" spans="12:13" x14ac:dyDescent="0.2">
      <c r="L964" s="48"/>
      <c r="M964" s="48"/>
    </row>
    <row r="965" spans="12:13" x14ac:dyDescent="0.2">
      <c r="L965" s="48"/>
      <c r="M965" s="48"/>
    </row>
    <row r="966" spans="12:13" x14ac:dyDescent="0.2">
      <c r="L966" s="48"/>
      <c r="M966" s="48"/>
    </row>
    <row r="967" spans="12:13" x14ac:dyDescent="0.2">
      <c r="L967" s="48"/>
      <c r="M967" s="48"/>
    </row>
    <row r="968" spans="12:13" x14ac:dyDescent="0.2">
      <c r="L968" s="48"/>
      <c r="M968" s="48"/>
    </row>
    <row r="969" spans="12:13" x14ac:dyDescent="0.2">
      <c r="L969" s="48"/>
      <c r="M969" s="48"/>
    </row>
    <row r="970" spans="12:13" x14ac:dyDescent="0.2">
      <c r="L970" s="48"/>
      <c r="M970" s="48"/>
    </row>
    <row r="971" spans="12:13" x14ac:dyDescent="0.2">
      <c r="L971" s="48"/>
      <c r="M971" s="48"/>
    </row>
    <row r="972" spans="12:13" x14ac:dyDescent="0.2">
      <c r="L972" s="48"/>
      <c r="M972" s="48"/>
    </row>
    <row r="973" spans="12:13" x14ac:dyDescent="0.2">
      <c r="L973" s="48"/>
      <c r="M973" s="48"/>
    </row>
    <row r="974" spans="12:13" x14ac:dyDescent="0.2">
      <c r="L974" s="48"/>
      <c r="M974" s="48"/>
    </row>
    <row r="975" spans="12:13" x14ac:dyDescent="0.2">
      <c r="L975" s="48"/>
      <c r="M975" s="48"/>
    </row>
    <row r="976" spans="12:13" x14ac:dyDescent="0.2">
      <c r="L976" s="48"/>
      <c r="M976" s="48"/>
    </row>
    <row r="977" spans="12:13" x14ac:dyDescent="0.2">
      <c r="L977" s="48"/>
      <c r="M977" s="48"/>
    </row>
    <row r="978" spans="12:13" x14ac:dyDescent="0.2">
      <c r="L978" s="48"/>
      <c r="M978" s="48"/>
    </row>
    <row r="979" spans="12:13" x14ac:dyDescent="0.2">
      <c r="L979" s="48"/>
      <c r="M979" s="48"/>
    </row>
    <row r="980" spans="12:13" x14ac:dyDescent="0.2">
      <c r="L980" s="48"/>
      <c r="M980" s="48"/>
    </row>
    <row r="981" spans="12:13" x14ac:dyDescent="0.2">
      <c r="L981" s="48"/>
      <c r="M981" s="48"/>
    </row>
    <row r="982" spans="12:13" x14ac:dyDescent="0.2">
      <c r="L982" s="48"/>
      <c r="M982" s="48"/>
    </row>
    <row r="983" spans="12:13" x14ac:dyDescent="0.2">
      <c r="L983" s="48"/>
      <c r="M983" s="48"/>
    </row>
    <row r="984" spans="12:13" x14ac:dyDescent="0.2">
      <c r="L984" s="48"/>
      <c r="M984" s="48"/>
    </row>
    <row r="985" spans="12:13" x14ac:dyDescent="0.2">
      <c r="L985" s="48"/>
      <c r="M985" s="48"/>
    </row>
    <row r="986" spans="12:13" x14ac:dyDescent="0.2">
      <c r="L986" s="48"/>
      <c r="M986" s="48"/>
    </row>
    <row r="987" spans="12:13" x14ac:dyDescent="0.2">
      <c r="L987" s="48"/>
      <c r="M987" s="48"/>
    </row>
    <row r="988" spans="12:13" x14ac:dyDescent="0.2">
      <c r="L988" s="48"/>
      <c r="M988" s="48"/>
    </row>
    <row r="989" spans="12:13" x14ac:dyDescent="0.2">
      <c r="L989" s="48"/>
      <c r="M989" s="48"/>
    </row>
    <row r="990" spans="12:13" x14ac:dyDescent="0.2">
      <c r="L990" s="48"/>
      <c r="M990" s="48"/>
    </row>
    <row r="991" spans="12:13" x14ac:dyDescent="0.2">
      <c r="L991" s="48"/>
      <c r="M991" s="48"/>
    </row>
    <row r="992" spans="12:13" x14ac:dyDescent="0.2">
      <c r="L992" s="48"/>
      <c r="M992" s="48"/>
    </row>
    <row r="993" spans="12:13" x14ac:dyDescent="0.2">
      <c r="L993" s="48"/>
      <c r="M993" s="48"/>
    </row>
    <row r="994" spans="12:13" x14ac:dyDescent="0.2">
      <c r="L994" s="48"/>
      <c r="M994" s="48"/>
    </row>
    <row r="995" spans="12:13" x14ac:dyDescent="0.2">
      <c r="L995" s="48"/>
      <c r="M995" s="48"/>
    </row>
    <row r="996" spans="12:13" x14ac:dyDescent="0.2">
      <c r="L996" s="48"/>
      <c r="M996" s="48"/>
    </row>
    <row r="997" spans="12:13" x14ac:dyDescent="0.2">
      <c r="L997" s="48"/>
      <c r="M997" s="48"/>
    </row>
    <row r="998" spans="12:13" x14ac:dyDescent="0.2">
      <c r="L998" s="48"/>
      <c r="M998" s="48"/>
    </row>
    <row r="999" spans="12:13" x14ac:dyDescent="0.2">
      <c r="L999" s="48"/>
      <c r="M999" s="48"/>
    </row>
    <row r="1000" spans="12:13" x14ac:dyDescent="0.2">
      <c r="L1000" s="48"/>
      <c r="M1000" s="48"/>
    </row>
    <row r="1001" spans="12:13" x14ac:dyDescent="0.2">
      <c r="L1001" s="48"/>
      <c r="M1001" s="48"/>
    </row>
    <row r="1002" spans="12:13" x14ac:dyDescent="0.2">
      <c r="L1002" s="48"/>
      <c r="M1002" s="48"/>
    </row>
    <row r="1003" spans="12:13" x14ac:dyDescent="0.2">
      <c r="L1003" s="48"/>
      <c r="M1003" s="48"/>
    </row>
    <row r="1004" spans="12:13" x14ac:dyDescent="0.2">
      <c r="L1004" s="48"/>
      <c r="M1004" s="48"/>
    </row>
    <row r="1005" spans="12:13" x14ac:dyDescent="0.2">
      <c r="L1005" s="48"/>
      <c r="M1005" s="48"/>
    </row>
    <row r="1006" spans="12:13" x14ac:dyDescent="0.2">
      <c r="L1006" s="48"/>
      <c r="M1006" s="48"/>
    </row>
    <row r="1007" spans="12:13" x14ac:dyDescent="0.2">
      <c r="L1007" s="48"/>
      <c r="M1007" s="48"/>
    </row>
    <row r="1008" spans="12:13" x14ac:dyDescent="0.2">
      <c r="L1008" s="48"/>
      <c r="M1008" s="48"/>
    </row>
    <row r="1009" spans="12:13" x14ac:dyDescent="0.2">
      <c r="L1009" s="48"/>
      <c r="M1009" s="48"/>
    </row>
    <row r="1010" spans="12:13" x14ac:dyDescent="0.2">
      <c r="L1010" s="48"/>
      <c r="M1010" s="48"/>
    </row>
    <row r="1011" spans="12:13" x14ac:dyDescent="0.2">
      <c r="L1011" s="48"/>
      <c r="M1011" s="48"/>
    </row>
    <row r="1012" spans="12:13" x14ac:dyDescent="0.2">
      <c r="L1012" s="48"/>
      <c r="M1012" s="48"/>
    </row>
    <row r="1013" spans="12:13" x14ac:dyDescent="0.2">
      <c r="L1013" s="48"/>
      <c r="M1013" s="48"/>
    </row>
    <row r="1014" spans="12:13" x14ac:dyDescent="0.2">
      <c r="L1014" s="48"/>
      <c r="M1014" s="48"/>
    </row>
    <row r="1015" spans="12:13" x14ac:dyDescent="0.2">
      <c r="L1015" s="48"/>
      <c r="M1015" s="48"/>
    </row>
    <row r="1016" spans="12:13" x14ac:dyDescent="0.2">
      <c r="L1016" s="48"/>
      <c r="M1016" s="48"/>
    </row>
    <row r="1017" spans="12:13" x14ac:dyDescent="0.2">
      <c r="L1017" s="48"/>
      <c r="M1017" s="48"/>
    </row>
    <row r="1018" spans="12:13" x14ac:dyDescent="0.2">
      <c r="L1018" s="48"/>
      <c r="M1018" s="48"/>
    </row>
    <row r="1019" spans="12:13" x14ac:dyDescent="0.2">
      <c r="L1019" s="48"/>
      <c r="M1019" s="48"/>
    </row>
    <row r="1020" spans="12:13" x14ac:dyDescent="0.2">
      <c r="L1020" s="48"/>
      <c r="M1020" s="48"/>
    </row>
    <row r="1021" spans="12:13" x14ac:dyDescent="0.2">
      <c r="L1021" s="48"/>
      <c r="M1021" s="48"/>
    </row>
    <row r="1022" spans="12:13" x14ac:dyDescent="0.2">
      <c r="L1022" s="48"/>
      <c r="M1022" s="48"/>
    </row>
    <row r="1023" spans="12:13" x14ac:dyDescent="0.2">
      <c r="L1023" s="48"/>
      <c r="M1023" s="48"/>
    </row>
    <row r="1024" spans="12:13" x14ac:dyDescent="0.2">
      <c r="L1024" s="48"/>
      <c r="M1024" s="48"/>
    </row>
    <row r="1025" spans="12:13" x14ac:dyDescent="0.2">
      <c r="L1025" s="48"/>
      <c r="M1025" s="48"/>
    </row>
    <row r="1026" spans="12:13" x14ac:dyDescent="0.2">
      <c r="L1026" s="48"/>
      <c r="M1026" s="48"/>
    </row>
    <row r="1027" spans="12:13" x14ac:dyDescent="0.2">
      <c r="L1027" s="48"/>
      <c r="M1027" s="48"/>
    </row>
    <row r="1028" spans="12:13" x14ac:dyDescent="0.2">
      <c r="L1028" s="48"/>
      <c r="M1028" s="48"/>
    </row>
    <row r="1029" spans="12:13" x14ac:dyDescent="0.2">
      <c r="L1029" s="48"/>
      <c r="M1029" s="48"/>
    </row>
    <row r="1030" spans="12:13" x14ac:dyDescent="0.2">
      <c r="L1030" s="48"/>
      <c r="M1030" s="48"/>
    </row>
    <row r="1031" spans="12:13" x14ac:dyDescent="0.2">
      <c r="L1031" s="48"/>
      <c r="M1031" s="48"/>
    </row>
    <row r="1032" spans="12:13" x14ac:dyDescent="0.2">
      <c r="L1032" s="48"/>
      <c r="M1032" s="48"/>
    </row>
    <row r="1033" spans="12:13" x14ac:dyDescent="0.2">
      <c r="L1033" s="48"/>
      <c r="M1033" s="48"/>
    </row>
    <row r="1034" spans="12:13" x14ac:dyDescent="0.2">
      <c r="L1034" s="48"/>
      <c r="M1034" s="48"/>
    </row>
    <row r="1035" spans="12:13" x14ac:dyDescent="0.2">
      <c r="L1035" s="48"/>
      <c r="M1035" s="48"/>
    </row>
    <row r="1036" spans="12:13" x14ac:dyDescent="0.2">
      <c r="L1036" s="48"/>
      <c r="M1036" s="48"/>
    </row>
    <row r="1037" spans="12:13" x14ac:dyDescent="0.2">
      <c r="L1037" s="48"/>
      <c r="M1037" s="48"/>
    </row>
    <row r="1038" spans="12:13" x14ac:dyDescent="0.2">
      <c r="L1038" s="48"/>
      <c r="M1038" s="48"/>
    </row>
    <row r="1039" spans="12:13" x14ac:dyDescent="0.2">
      <c r="L1039" s="48"/>
      <c r="M1039" s="48"/>
    </row>
    <row r="1040" spans="12:13" x14ac:dyDescent="0.2">
      <c r="L1040" s="48"/>
      <c r="M1040" s="48"/>
    </row>
    <row r="1041" spans="12:13" x14ac:dyDescent="0.2">
      <c r="L1041" s="48"/>
      <c r="M1041" s="48"/>
    </row>
    <row r="1042" spans="12:13" x14ac:dyDescent="0.2">
      <c r="L1042" s="48"/>
      <c r="M1042" s="48"/>
    </row>
    <row r="1043" spans="12:13" x14ac:dyDescent="0.2">
      <c r="L1043" s="48"/>
      <c r="M1043" s="48"/>
    </row>
    <row r="1044" spans="12:13" x14ac:dyDescent="0.2">
      <c r="L1044" s="48"/>
      <c r="M1044" s="48"/>
    </row>
    <row r="1045" spans="12:13" x14ac:dyDescent="0.2">
      <c r="L1045" s="48"/>
      <c r="M1045" s="48"/>
    </row>
    <row r="1046" spans="12:13" x14ac:dyDescent="0.2">
      <c r="L1046" s="48"/>
      <c r="M1046" s="48"/>
    </row>
    <row r="1047" spans="12:13" x14ac:dyDescent="0.2">
      <c r="L1047" s="48"/>
      <c r="M1047" s="48"/>
    </row>
    <row r="1048" spans="12:13" x14ac:dyDescent="0.2">
      <c r="L1048" s="48"/>
      <c r="M1048" s="48"/>
    </row>
    <row r="1049" spans="12:13" x14ac:dyDescent="0.2">
      <c r="L1049" s="48"/>
      <c r="M1049" s="48"/>
    </row>
    <row r="1050" spans="12:13" x14ac:dyDescent="0.2">
      <c r="L1050" s="48"/>
      <c r="M1050" s="48"/>
    </row>
    <row r="1051" spans="12:13" x14ac:dyDescent="0.2">
      <c r="L1051" s="48"/>
      <c r="M1051" s="48"/>
    </row>
    <row r="1052" spans="12:13" x14ac:dyDescent="0.2">
      <c r="L1052" s="48"/>
      <c r="M1052" s="48"/>
    </row>
    <row r="1053" spans="12:13" x14ac:dyDescent="0.2">
      <c r="L1053" s="48"/>
      <c r="M1053" s="48"/>
    </row>
    <row r="1054" spans="12:13" x14ac:dyDescent="0.2">
      <c r="L1054" s="48"/>
      <c r="M1054" s="48"/>
    </row>
    <row r="1055" spans="12:13" x14ac:dyDescent="0.2">
      <c r="L1055" s="48"/>
      <c r="M1055" s="48"/>
    </row>
    <row r="1056" spans="12:13" x14ac:dyDescent="0.2">
      <c r="L1056" s="48"/>
      <c r="M1056" s="48"/>
    </row>
    <row r="1057" spans="12:13" x14ac:dyDescent="0.2">
      <c r="L1057" s="48"/>
      <c r="M1057" s="48"/>
    </row>
    <row r="1058" spans="12:13" x14ac:dyDescent="0.2">
      <c r="L1058" s="48"/>
      <c r="M1058" s="48"/>
    </row>
    <row r="1059" spans="12:13" x14ac:dyDescent="0.2">
      <c r="L1059" s="48"/>
      <c r="M1059" s="48"/>
    </row>
    <row r="1060" spans="12:13" x14ac:dyDescent="0.2">
      <c r="L1060" s="48"/>
      <c r="M1060" s="48"/>
    </row>
    <row r="1061" spans="12:13" x14ac:dyDescent="0.2">
      <c r="L1061" s="48"/>
      <c r="M1061" s="48"/>
    </row>
    <row r="1062" spans="12:13" x14ac:dyDescent="0.2">
      <c r="L1062" s="48"/>
      <c r="M1062" s="48"/>
    </row>
    <row r="1063" spans="12:13" x14ac:dyDescent="0.2">
      <c r="L1063" s="48"/>
      <c r="M1063" s="48"/>
    </row>
    <row r="1064" spans="12:13" x14ac:dyDescent="0.2">
      <c r="L1064" s="48"/>
      <c r="M1064" s="48"/>
    </row>
    <row r="1065" spans="12:13" x14ac:dyDescent="0.2">
      <c r="L1065" s="48"/>
      <c r="M1065" s="48"/>
    </row>
    <row r="1066" spans="12:13" x14ac:dyDescent="0.2">
      <c r="L1066" s="48"/>
      <c r="M1066" s="48"/>
    </row>
    <row r="1067" spans="12:13" x14ac:dyDescent="0.2">
      <c r="L1067" s="48"/>
      <c r="M1067" s="48"/>
    </row>
    <row r="1068" spans="12:13" x14ac:dyDescent="0.2">
      <c r="L1068" s="48"/>
      <c r="M1068" s="48"/>
    </row>
    <row r="1069" spans="12:13" x14ac:dyDescent="0.2">
      <c r="L1069" s="48"/>
      <c r="M1069" s="48"/>
    </row>
    <row r="1070" spans="12:13" x14ac:dyDescent="0.2">
      <c r="L1070" s="48"/>
      <c r="M1070" s="48"/>
    </row>
    <row r="1071" spans="12:13" x14ac:dyDescent="0.2">
      <c r="L1071" s="48"/>
      <c r="M1071" s="48"/>
    </row>
    <row r="1072" spans="12:13" x14ac:dyDescent="0.2">
      <c r="L1072" s="48"/>
      <c r="M1072" s="48"/>
    </row>
    <row r="1073" spans="12:13" x14ac:dyDescent="0.2">
      <c r="L1073" s="48"/>
      <c r="M1073" s="48"/>
    </row>
    <row r="1074" spans="12:13" x14ac:dyDescent="0.2">
      <c r="L1074" s="48"/>
      <c r="M1074" s="48"/>
    </row>
    <row r="1075" spans="12:13" x14ac:dyDescent="0.2">
      <c r="L1075" s="48"/>
      <c r="M1075" s="48"/>
    </row>
    <row r="1076" spans="12:13" x14ac:dyDescent="0.2">
      <c r="L1076" s="48"/>
      <c r="M1076" s="48"/>
    </row>
    <row r="1077" spans="12:13" x14ac:dyDescent="0.2">
      <c r="L1077" s="48"/>
      <c r="M1077" s="48"/>
    </row>
    <row r="1078" spans="12:13" x14ac:dyDescent="0.2">
      <c r="L1078" s="48"/>
      <c r="M1078" s="48"/>
    </row>
    <row r="1079" spans="12:13" x14ac:dyDescent="0.2">
      <c r="L1079" s="48"/>
      <c r="M1079" s="48"/>
    </row>
    <row r="1080" spans="12:13" x14ac:dyDescent="0.2">
      <c r="L1080" s="48"/>
      <c r="M1080" s="48"/>
    </row>
    <row r="1081" spans="12:13" x14ac:dyDescent="0.2">
      <c r="L1081" s="48"/>
      <c r="M1081" s="48"/>
    </row>
    <row r="1082" spans="12:13" x14ac:dyDescent="0.2">
      <c r="L1082" s="48"/>
      <c r="M1082" s="48"/>
    </row>
    <row r="1083" spans="12:13" x14ac:dyDescent="0.2">
      <c r="L1083" s="48"/>
      <c r="M1083" s="48"/>
    </row>
    <row r="1084" spans="12:13" x14ac:dyDescent="0.2">
      <c r="L1084" s="48"/>
      <c r="M1084" s="48"/>
    </row>
    <row r="1085" spans="12:13" x14ac:dyDescent="0.2">
      <c r="L1085" s="48"/>
      <c r="M1085" s="48"/>
    </row>
    <row r="1086" spans="12:13" x14ac:dyDescent="0.2">
      <c r="L1086" s="48"/>
      <c r="M1086" s="48"/>
    </row>
    <row r="1087" spans="12:13" x14ac:dyDescent="0.2">
      <c r="L1087" s="48"/>
      <c r="M1087" s="48"/>
    </row>
    <row r="1088" spans="12:13" x14ac:dyDescent="0.2">
      <c r="L1088" s="48"/>
      <c r="M1088" s="48"/>
    </row>
    <row r="1089" spans="12:13" x14ac:dyDescent="0.2">
      <c r="L1089" s="48"/>
      <c r="M1089" s="48"/>
    </row>
    <row r="1090" spans="12:13" x14ac:dyDescent="0.2">
      <c r="L1090" s="48"/>
      <c r="M1090" s="48"/>
    </row>
    <row r="1091" spans="12:13" x14ac:dyDescent="0.2">
      <c r="L1091" s="48"/>
      <c r="M1091" s="48"/>
    </row>
    <row r="1092" spans="12:13" x14ac:dyDescent="0.2">
      <c r="L1092" s="48"/>
      <c r="M1092" s="48"/>
    </row>
    <row r="1093" spans="12:13" x14ac:dyDescent="0.2">
      <c r="L1093" s="48"/>
      <c r="M1093" s="48"/>
    </row>
    <row r="1094" spans="12:13" x14ac:dyDescent="0.2">
      <c r="L1094" s="48"/>
      <c r="M1094" s="48"/>
    </row>
    <row r="1095" spans="12:13" x14ac:dyDescent="0.2">
      <c r="L1095" s="48"/>
      <c r="M1095" s="48"/>
    </row>
    <row r="1096" spans="12:13" x14ac:dyDescent="0.2">
      <c r="L1096" s="48"/>
      <c r="M1096" s="48"/>
    </row>
    <row r="1097" spans="12:13" x14ac:dyDescent="0.2">
      <c r="L1097" s="48"/>
      <c r="M1097" s="48"/>
    </row>
    <row r="1098" spans="12:13" x14ac:dyDescent="0.2">
      <c r="L1098" s="48"/>
      <c r="M1098" s="48"/>
    </row>
    <row r="1099" spans="12:13" x14ac:dyDescent="0.2">
      <c r="L1099" s="48"/>
      <c r="M1099" s="48"/>
    </row>
    <row r="1100" spans="12:13" x14ac:dyDescent="0.2">
      <c r="L1100" s="48"/>
      <c r="M1100" s="48"/>
    </row>
    <row r="1101" spans="12:13" x14ac:dyDescent="0.2">
      <c r="L1101" s="48"/>
      <c r="M1101" s="48"/>
    </row>
    <row r="1102" spans="12:13" x14ac:dyDescent="0.2">
      <c r="L1102" s="48"/>
      <c r="M1102" s="48"/>
    </row>
    <row r="1103" spans="12:13" x14ac:dyDescent="0.2">
      <c r="L1103" s="48"/>
      <c r="M1103" s="48"/>
    </row>
    <row r="1104" spans="12:13" x14ac:dyDescent="0.2">
      <c r="L1104" s="48"/>
      <c r="M1104" s="48"/>
    </row>
    <row r="1105" spans="12:13" x14ac:dyDescent="0.2">
      <c r="L1105" s="48"/>
      <c r="M1105" s="48"/>
    </row>
    <row r="1106" spans="12:13" x14ac:dyDescent="0.2">
      <c r="L1106" s="48"/>
      <c r="M1106" s="48"/>
    </row>
    <row r="1107" spans="12:13" x14ac:dyDescent="0.2">
      <c r="L1107" s="48"/>
      <c r="M1107" s="48"/>
    </row>
    <row r="1108" spans="12:13" x14ac:dyDescent="0.2">
      <c r="L1108" s="48"/>
      <c r="M1108" s="48"/>
    </row>
    <row r="1109" spans="12:13" x14ac:dyDescent="0.2">
      <c r="L1109" s="48"/>
      <c r="M1109" s="48"/>
    </row>
    <row r="1110" spans="12:13" x14ac:dyDescent="0.2">
      <c r="L1110" s="48"/>
      <c r="M1110" s="48"/>
    </row>
    <row r="1111" spans="12:13" x14ac:dyDescent="0.2">
      <c r="L1111" s="48"/>
      <c r="M1111" s="48"/>
    </row>
    <row r="1112" spans="12:13" x14ac:dyDescent="0.2">
      <c r="L1112" s="48"/>
      <c r="M1112" s="48"/>
    </row>
    <row r="1113" spans="12:13" x14ac:dyDescent="0.2">
      <c r="L1113" s="48"/>
      <c r="M1113" s="48"/>
    </row>
    <row r="1114" spans="12:13" x14ac:dyDescent="0.2">
      <c r="L1114" s="48"/>
      <c r="M1114" s="48"/>
    </row>
    <row r="1115" spans="12:13" x14ac:dyDescent="0.2">
      <c r="L1115" s="48"/>
      <c r="M1115" s="48"/>
    </row>
    <row r="1116" spans="12:13" x14ac:dyDescent="0.2">
      <c r="L1116" s="48"/>
      <c r="M1116" s="48"/>
    </row>
    <row r="1117" spans="12:13" x14ac:dyDescent="0.2">
      <c r="L1117" s="48"/>
      <c r="M1117" s="48"/>
    </row>
    <row r="1118" spans="12:13" x14ac:dyDescent="0.2">
      <c r="L1118" s="48"/>
      <c r="M1118" s="48"/>
    </row>
    <row r="1119" spans="12:13" x14ac:dyDescent="0.2">
      <c r="L1119" s="48"/>
      <c r="M1119" s="48"/>
    </row>
    <row r="1120" spans="12:13" x14ac:dyDescent="0.2">
      <c r="L1120" s="48"/>
      <c r="M1120" s="48"/>
    </row>
    <row r="1121" spans="12:13" x14ac:dyDescent="0.2">
      <c r="L1121" s="48"/>
      <c r="M1121" s="48"/>
    </row>
    <row r="1122" spans="12:13" x14ac:dyDescent="0.2">
      <c r="L1122" s="48"/>
      <c r="M1122" s="48"/>
    </row>
    <row r="1123" spans="12:13" x14ac:dyDescent="0.2">
      <c r="L1123" s="48"/>
      <c r="M1123" s="48"/>
    </row>
    <row r="1124" spans="12:13" x14ac:dyDescent="0.2">
      <c r="L1124" s="48"/>
      <c r="M1124" s="48"/>
    </row>
    <row r="1125" spans="12:13" x14ac:dyDescent="0.2">
      <c r="L1125" s="48"/>
      <c r="M1125" s="48"/>
    </row>
    <row r="1126" spans="12:13" x14ac:dyDescent="0.2">
      <c r="L1126" s="48"/>
      <c r="M1126" s="48"/>
    </row>
    <row r="1127" spans="12:13" x14ac:dyDescent="0.2">
      <c r="L1127" s="48"/>
      <c r="M1127" s="48"/>
    </row>
    <row r="1128" spans="12:13" x14ac:dyDescent="0.2">
      <c r="L1128" s="48"/>
      <c r="M1128" s="48"/>
    </row>
    <row r="1129" spans="12:13" x14ac:dyDescent="0.2">
      <c r="L1129" s="48"/>
      <c r="M1129" s="48"/>
    </row>
    <row r="1130" spans="12:13" x14ac:dyDescent="0.2">
      <c r="L1130" s="48"/>
      <c r="M1130" s="48"/>
    </row>
    <row r="1131" spans="12:13" x14ac:dyDescent="0.2">
      <c r="L1131" s="48"/>
      <c r="M1131" s="48"/>
    </row>
    <row r="1132" spans="12:13" x14ac:dyDescent="0.2">
      <c r="L1132" s="48"/>
      <c r="M1132" s="48"/>
    </row>
    <row r="1133" spans="12:13" x14ac:dyDescent="0.2">
      <c r="L1133" s="48"/>
      <c r="M1133" s="48"/>
    </row>
    <row r="1134" spans="12:13" x14ac:dyDescent="0.2">
      <c r="L1134" s="48"/>
      <c r="M1134" s="48"/>
    </row>
    <row r="1135" spans="12:13" x14ac:dyDescent="0.2">
      <c r="L1135" s="48"/>
      <c r="M1135" s="48"/>
    </row>
    <row r="1136" spans="12:13" x14ac:dyDescent="0.2">
      <c r="L1136" s="48"/>
      <c r="M1136" s="48"/>
    </row>
    <row r="1137" spans="12:13" x14ac:dyDescent="0.2">
      <c r="L1137" s="48"/>
      <c r="M1137" s="48"/>
    </row>
    <row r="1138" spans="12:13" x14ac:dyDescent="0.2">
      <c r="L1138" s="48"/>
      <c r="M1138" s="48"/>
    </row>
    <row r="1139" spans="12:13" x14ac:dyDescent="0.2">
      <c r="L1139" s="48"/>
      <c r="M1139" s="48"/>
    </row>
    <row r="1140" spans="12:13" x14ac:dyDescent="0.2">
      <c r="L1140" s="48"/>
      <c r="M1140" s="48"/>
    </row>
    <row r="1141" spans="12:13" x14ac:dyDescent="0.2">
      <c r="L1141" s="48"/>
      <c r="M1141" s="48"/>
    </row>
    <row r="1142" spans="12:13" x14ac:dyDescent="0.2">
      <c r="L1142" s="48"/>
      <c r="M1142" s="48"/>
    </row>
    <row r="1143" spans="12:13" x14ac:dyDescent="0.2">
      <c r="L1143" s="48"/>
      <c r="M1143" s="48"/>
    </row>
    <row r="1144" spans="12:13" x14ac:dyDescent="0.2">
      <c r="L1144" s="48"/>
      <c r="M1144" s="48"/>
    </row>
    <row r="1145" spans="12:13" x14ac:dyDescent="0.2">
      <c r="L1145" s="48"/>
      <c r="M1145" s="48"/>
    </row>
    <row r="1146" spans="12:13" x14ac:dyDescent="0.2">
      <c r="L1146" s="48"/>
      <c r="M1146" s="48"/>
    </row>
    <row r="1147" spans="12:13" x14ac:dyDescent="0.2">
      <c r="L1147" s="48"/>
      <c r="M1147" s="48"/>
    </row>
    <row r="1148" spans="12:13" x14ac:dyDescent="0.2">
      <c r="L1148" s="48"/>
      <c r="M1148" s="48"/>
    </row>
    <row r="1149" spans="12:13" x14ac:dyDescent="0.2">
      <c r="L1149" s="48"/>
      <c r="M1149" s="48"/>
    </row>
    <row r="1150" spans="12:13" x14ac:dyDescent="0.2">
      <c r="L1150" s="48"/>
      <c r="M1150" s="48"/>
    </row>
    <row r="1151" spans="12:13" x14ac:dyDescent="0.2">
      <c r="L1151" s="48"/>
      <c r="M1151" s="48"/>
    </row>
    <row r="1152" spans="12:13" x14ac:dyDescent="0.2">
      <c r="L1152" s="48"/>
      <c r="M1152" s="48"/>
    </row>
    <row r="1153" spans="12:13" x14ac:dyDescent="0.2">
      <c r="L1153" s="48"/>
      <c r="M1153" s="48"/>
    </row>
    <row r="1154" spans="12:13" x14ac:dyDescent="0.2">
      <c r="L1154" s="48"/>
      <c r="M1154" s="48"/>
    </row>
    <row r="1155" spans="12:13" x14ac:dyDescent="0.2">
      <c r="L1155" s="48"/>
      <c r="M1155" s="48"/>
    </row>
    <row r="1156" spans="12:13" x14ac:dyDescent="0.2">
      <c r="L1156" s="48"/>
      <c r="M1156" s="48"/>
    </row>
    <row r="1157" spans="12:13" x14ac:dyDescent="0.2">
      <c r="L1157" s="48"/>
      <c r="M1157" s="48"/>
    </row>
    <row r="1158" spans="12:13" x14ac:dyDescent="0.2">
      <c r="L1158" s="48"/>
      <c r="M1158" s="48"/>
    </row>
    <row r="1159" spans="12:13" x14ac:dyDescent="0.2">
      <c r="L1159" s="48"/>
      <c r="M1159" s="48"/>
    </row>
    <row r="1160" spans="12:13" x14ac:dyDescent="0.2">
      <c r="L1160" s="48"/>
      <c r="M1160" s="48"/>
    </row>
    <row r="1161" spans="12:13" x14ac:dyDescent="0.2">
      <c r="L1161" s="48"/>
      <c r="M1161" s="48"/>
    </row>
    <row r="1162" spans="12:13" x14ac:dyDescent="0.2">
      <c r="L1162" s="48"/>
      <c r="M1162" s="48"/>
    </row>
    <row r="1163" spans="12:13" x14ac:dyDescent="0.2">
      <c r="L1163" s="48"/>
      <c r="M1163" s="48"/>
    </row>
    <row r="1164" spans="12:13" x14ac:dyDescent="0.2">
      <c r="L1164" s="48"/>
      <c r="M1164" s="48"/>
    </row>
    <row r="1165" spans="12:13" x14ac:dyDescent="0.2">
      <c r="L1165" s="48"/>
      <c r="M1165" s="48"/>
    </row>
    <row r="1166" spans="12:13" x14ac:dyDescent="0.2">
      <c r="L1166" s="48"/>
      <c r="M1166" s="48"/>
    </row>
    <row r="1167" spans="12:13" x14ac:dyDescent="0.2">
      <c r="L1167" s="48"/>
      <c r="M1167" s="48"/>
    </row>
    <row r="1168" spans="12:13" x14ac:dyDescent="0.2">
      <c r="L1168" s="48"/>
      <c r="M1168" s="48"/>
    </row>
    <row r="1169" spans="12:13" x14ac:dyDescent="0.2">
      <c r="L1169" s="48"/>
      <c r="M1169" s="48"/>
    </row>
    <row r="1170" spans="12:13" x14ac:dyDescent="0.2">
      <c r="L1170" s="48"/>
      <c r="M1170" s="48"/>
    </row>
    <row r="1171" spans="12:13" x14ac:dyDescent="0.2">
      <c r="L1171" s="48"/>
      <c r="M1171" s="48"/>
    </row>
    <row r="1172" spans="12:13" x14ac:dyDescent="0.2">
      <c r="L1172" s="48"/>
      <c r="M1172" s="48"/>
    </row>
    <row r="1173" spans="12:13" x14ac:dyDescent="0.2">
      <c r="L1173" s="48"/>
      <c r="M1173" s="48"/>
    </row>
    <row r="1174" spans="12:13" x14ac:dyDescent="0.2">
      <c r="L1174" s="48"/>
      <c r="M1174" s="48"/>
    </row>
    <row r="1175" spans="12:13" x14ac:dyDescent="0.2">
      <c r="L1175" s="48"/>
      <c r="M1175" s="48"/>
    </row>
    <row r="1176" spans="12:13" x14ac:dyDescent="0.2">
      <c r="L1176" s="48"/>
      <c r="M1176" s="48"/>
    </row>
    <row r="1177" spans="12:13" x14ac:dyDescent="0.2">
      <c r="L1177" s="48"/>
      <c r="M1177" s="48"/>
    </row>
    <row r="1178" spans="12:13" x14ac:dyDescent="0.2">
      <c r="L1178" s="48"/>
      <c r="M1178" s="48"/>
    </row>
    <row r="1179" spans="12:13" x14ac:dyDescent="0.2">
      <c r="L1179" s="48"/>
      <c r="M1179" s="48"/>
    </row>
    <row r="1180" spans="12:13" x14ac:dyDescent="0.2">
      <c r="L1180" s="48"/>
      <c r="M1180" s="48"/>
    </row>
    <row r="1181" spans="12:13" x14ac:dyDescent="0.2">
      <c r="L1181" s="48"/>
      <c r="M1181" s="48"/>
    </row>
    <row r="1182" spans="12:13" x14ac:dyDescent="0.2">
      <c r="L1182" s="48"/>
      <c r="M1182" s="48"/>
    </row>
    <row r="1183" spans="12:13" x14ac:dyDescent="0.2">
      <c r="L1183" s="48"/>
      <c r="M1183" s="48"/>
    </row>
    <row r="1184" spans="12:13" x14ac:dyDescent="0.2">
      <c r="L1184" s="48"/>
      <c r="M1184" s="48"/>
    </row>
    <row r="1185" spans="12:13" x14ac:dyDescent="0.2">
      <c r="L1185" s="48"/>
      <c r="M1185" s="48"/>
    </row>
    <row r="1186" spans="12:13" x14ac:dyDescent="0.2">
      <c r="L1186" s="48"/>
      <c r="M1186" s="48"/>
    </row>
    <row r="1187" spans="12:13" x14ac:dyDescent="0.2">
      <c r="L1187" s="48"/>
      <c r="M1187" s="48"/>
    </row>
    <row r="1188" spans="12:13" x14ac:dyDescent="0.2">
      <c r="L1188" s="48"/>
      <c r="M1188" s="48"/>
    </row>
    <row r="1189" spans="12:13" x14ac:dyDescent="0.2">
      <c r="L1189" s="48"/>
      <c r="M1189" s="48"/>
    </row>
    <row r="1190" spans="12:13" x14ac:dyDescent="0.2">
      <c r="L1190" s="48"/>
      <c r="M1190" s="48"/>
    </row>
    <row r="1191" spans="12:13" x14ac:dyDescent="0.2">
      <c r="L1191" s="48"/>
      <c r="M1191" s="48"/>
    </row>
    <row r="1192" spans="12:13" x14ac:dyDescent="0.2">
      <c r="L1192" s="48"/>
      <c r="M1192" s="48"/>
    </row>
    <row r="1193" spans="12:13" x14ac:dyDescent="0.2">
      <c r="L1193" s="48"/>
      <c r="M1193" s="48"/>
    </row>
    <row r="1194" spans="12:13" x14ac:dyDescent="0.2">
      <c r="L1194" s="48"/>
      <c r="M1194" s="48"/>
    </row>
    <row r="1195" spans="12:13" x14ac:dyDescent="0.2">
      <c r="L1195" s="48"/>
      <c r="M1195" s="48"/>
    </row>
    <row r="1196" spans="12:13" x14ac:dyDescent="0.2">
      <c r="L1196" s="48"/>
      <c r="M1196" s="48"/>
    </row>
    <row r="1197" spans="12:13" x14ac:dyDescent="0.2">
      <c r="L1197" s="48"/>
      <c r="M1197" s="48"/>
    </row>
    <row r="1198" spans="12:13" x14ac:dyDescent="0.2">
      <c r="L1198" s="48"/>
      <c r="M1198" s="48"/>
    </row>
    <row r="1199" spans="12:13" x14ac:dyDescent="0.2">
      <c r="L1199" s="48"/>
      <c r="M1199" s="48"/>
    </row>
    <row r="1200" spans="12:13" x14ac:dyDescent="0.2">
      <c r="L1200" s="48"/>
      <c r="M1200" s="48"/>
    </row>
    <row r="1201" spans="12:13" x14ac:dyDescent="0.2">
      <c r="L1201" s="48"/>
      <c r="M1201" s="48"/>
    </row>
    <row r="1202" spans="12:13" x14ac:dyDescent="0.2">
      <c r="L1202" s="48"/>
      <c r="M1202" s="48"/>
    </row>
    <row r="1203" spans="12:13" x14ac:dyDescent="0.2">
      <c r="L1203" s="48"/>
      <c r="M1203" s="48"/>
    </row>
    <row r="1204" spans="12:13" x14ac:dyDescent="0.2">
      <c r="L1204" s="48"/>
      <c r="M1204" s="48"/>
    </row>
    <row r="1205" spans="12:13" x14ac:dyDescent="0.2">
      <c r="L1205" s="48"/>
      <c r="M1205" s="48"/>
    </row>
    <row r="1206" spans="12:13" x14ac:dyDescent="0.2">
      <c r="L1206" s="48"/>
      <c r="M1206" s="48"/>
    </row>
    <row r="1207" spans="12:13" x14ac:dyDescent="0.2">
      <c r="L1207" s="48"/>
      <c r="M1207" s="48"/>
    </row>
    <row r="1208" spans="12:13" x14ac:dyDescent="0.2">
      <c r="L1208" s="48"/>
      <c r="M1208" s="48"/>
    </row>
    <row r="1209" spans="12:13" x14ac:dyDescent="0.2">
      <c r="L1209" s="48"/>
      <c r="M1209" s="48"/>
    </row>
    <row r="1210" spans="12:13" x14ac:dyDescent="0.2">
      <c r="L1210" s="48"/>
      <c r="M1210" s="48"/>
    </row>
    <row r="1211" spans="12:13" x14ac:dyDescent="0.2">
      <c r="L1211" s="48"/>
      <c r="M1211" s="48"/>
    </row>
    <row r="1212" spans="12:13" x14ac:dyDescent="0.2">
      <c r="L1212" s="48"/>
      <c r="M1212" s="48"/>
    </row>
    <row r="1213" spans="12:13" x14ac:dyDescent="0.2">
      <c r="L1213" s="48"/>
      <c r="M1213" s="48"/>
    </row>
    <row r="1214" spans="12:13" x14ac:dyDescent="0.2">
      <c r="L1214" s="48"/>
      <c r="M1214" s="48"/>
    </row>
    <row r="1215" spans="12:13" x14ac:dyDescent="0.2">
      <c r="L1215" s="48"/>
      <c r="M1215" s="48"/>
    </row>
    <row r="1216" spans="12:13" x14ac:dyDescent="0.2">
      <c r="L1216" s="48"/>
      <c r="M1216" s="48"/>
    </row>
    <row r="1217" spans="12:13" x14ac:dyDescent="0.2">
      <c r="L1217" s="48"/>
      <c r="M1217" s="48"/>
    </row>
    <row r="1218" spans="12:13" x14ac:dyDescent="0.2">
      <c r="L1218" s="48"/>
      <c r="M1218" s="48"/>
    </row>
    <row r="1219" spans="12:13" x14ac:dyDescent="0.2">
      <c r="L1219" s="48"/>
      <c r="M1219" s="48"/>
    </row>
    <row r="1220" spans="12:13" x14ac:dyDescent="0.2">
      <c r="L1220" s="48"/>
      <c r="M1220" s="48"/>
    </row>
    <row r="1221" spans="12:13" x14ac:dyDescent="0.2">
      <c r="L1221" s="48"/>
      <c r="M1221" s="48"/>
    </row>
    <row r="1222" spans="12:13" x14ac:dyDescent="0.2">
      <c r="L1222" s="48"/>
      <c r="M1222" s="48"/>
    </row>
    <row r="1223" spans="12:13" x14ac:dyDescent="0.2">
      <c r="L1223" s="48"/>
      <c r="M1223" s="48"/>
    </row>
    <row r="1224" spans="12:13" x14ac:dyDescent="0.2">
      <c r="L1224" s="48"/>
      <c r="M1224" s="48"/>
    </row>
    <row r="1225" spans="12:13" x14ac:dyDescent="0.2">
      <c r="L1225" s="48"/>
      <c r="M1225" s="48"/>
    </row>
    <row r="1226" spans="12:13" x14ac:dyDescent="0.2">
      <c r="L1226" s="48"/>
      <c r="M1226" s="48"/>
    </row>
    <row r="1227" spans="12:13" x14ac:dyDescent="0.2">
      <c r="L1227" s="48"/>
      <c r="M1227" s="48"/>
    </row>
    <row r="1228" spans="12:13" x14ac:dyDescent="0.2">
      <c r="L1228" s="48"/>
      <c r="M1228" s="48"/>
    </row>
    <row r="1229" spans="12:13" x14ac:dyDescent="0.2">
      <c r="L1229" s="48"/>
      <c r="M1229" s="48"/>
    </row>
    <row r="1230" spans="12:13" x14ac:dyDescent="0.2">
      <c r="L1230" s="48"/>
      <c r="M1230" s="48"/>
    </row>
    <row r="1231" spans="12:13" x14ac:dyDescent="0.2">
      <c r="L1231" s="48"/>
      <c r="M1231" s="48"/>
    </row>
    <row r="1232" spans="12:13" x14ac:dyDescent="0.2">
      <c r="L1232" s="48"/>
      <c r="M1232" s="48"/>
    </row>
    <row r="1233" spans="12:13" x14ac:dyDescent="0.2">
      <c r="L1233" s="48"/>
      <c r="M1233" s="48"/>
    </row>
    <row r="1234" spans="12:13" x14ac:dyDescent="0.2">
      <c r="L1234" s="48"/>
      <c r="M1234" s="48"/>
    </row>
    <row r="1235" spans="12:13" x14ac:dyDescent="0.2">
      <c r="L1235" s="48"/>
      <c r="M1235" s="48"/>
    </row>
    <row r="1236" spans="12:13" x14ac:dyDescent="0.2">
      <c r="L1236" s="48"/>
      <c r="M1236" s="48"/>
    </row>
    <row r="1237" spans="12:13" x14ac:dyDescent="0.2">
      <c r="L1237" s="48"/>
      <c r="M1237" s="48"/>
    </row>
    <row r="1238" spans="12:13" x14ac:dyDescent="0.2">
      <c r="L1238" s="48"/>
      <c r="M1238" s="48"/>
    </row>
    <row r="1239" spans="12:13" x14ac:dyDescent="0.2">
      <c r="L1239" s="48"/>
      <c r="M1239" s="48"/>
    </row>
    <row r="1240" spans="12:13" x14ac:dyDescent="0.2">
      <c r="L1240" s="48"/>
      <c r="M1240" s="48"/>
    </row>
    <row r="1241" spans="12:13" x14ac:dyDescent="0.2">
      <c r="L1241" s="48"/>
      <c r="M1241" s="48"/>
    </row>
    <row r="1242" spans="12:13" x14ac:dyDescent="0.2">
      <c r="L1242" s="48"/>
      <c r="M1242" s="48"/>
    </row>
    <row r="1243" spans="12:13" x14ac:dyDescent="0.2">
      <c r="L1243" s="48"/>
      <c r="M1243" s="48"/>
    </row>
    <row r="1244" spans="12:13" x14ac:dyDescent="0.2">
      <c r="L1244" s="48"/>
      <c r="M1244" s="48"/>
    </row>
    <row r="1245" spans="12:13" x14ac:dyDescent="0.2">
      <c r="L1245" s="48"/>
      <c r="M1245" s="48"/>
    </row>
    <row r="1246" spans="12:13" x14ac:dyDescent="0.2">
      <c r="L1246" s="48"/>
      <c r="M1246" s="48"/>
    </row>
    <row r="1247" spans="12:13" x14ac:dyDescent="0.2">
      <c r="L1247" s="48"/>
      <c r="M1247" s="48"/>
    </row>
    <row r="1248" spans="12:13" x14ac:dyDescent="0.2">
      <c r="L1248" s="48"/>
      <c r="M1248" s="48"/>
    </row>
    <row r="1249" spans="12:13" x14ac:dyDescent="0.2">
      <c r="L1249" s="48"/>
      <c r="M1249" s="48"/>
    </row>
    <row r="1250" spans="12:13" x14ac:dyDescent="0.2">
      <c r="L1250" s="48"/>
      <c r="M1250" s="48"/>
    </row>
    <row r="1251" spans="12:13" x14ac:dyDescent="0.2">
      <c r="L1251" s="48"/>
      <c r="M1251" s="48"/>
    </row>
    <row r="1252" spans="12:13" x14ac:dyDescent="0.2">
      <c r="L1252" s="48"/>
      <c r="M1252" s="48"/>
    </row>
    <row r="1253" spans="12:13" x14ac:dyDescent="0.2">
      <c r="L1253" s="48"/>
      <c r="M1253" s="48"/>
    </row>
    <row r="1254" spans="12:13" x14ac:dyDescent="0.2">
      <c r="L1254" s="48"/>
      <c r="M1254" s="48"/>
    </row>
    <row r="1255" spans="12:13" x14ac:dyDescent="0.2">
      <c r="L1255" s="48"/>
      <c r="M1255" s="48"/>
    </row>
    <row r="1256" spans="12:13" x14ac:dyDescent="0.2">
      <c r="L1256" s="48"/>
      <c r="M1256" s="48"/>
    </row>
    <row r="1257" spans="12:13" x14ac:dyDescent="0.2">
      <c r="L1257" s="48"/>
      <c r="M1257" s="48"/>
    </row>
    <row r="1258" spans="12:13" x14ac:dyDescent="0.2">
      <c r="L1258" s="48"/>
      <c r="M1258" s="48"/>
    </row>
    <row r="1259" spans="12:13" x14ac:dyDescent="0.2">
      <c r="L1259" s="48"/>
      <c r="M1259" s="48"/>
    </row>
    <row r="1260" spans="12:13" x14ac:dyDescent="0.2">
      <c r="L1260" s="48"/>
      <c r="M1260" s="48"/>
    </row>
    <row r="1261" spans="12:13" x14ac:dyDescent="0.2">
      <c r="L1261" s="48"/>
      <c r="M1261" s="48"/>
    </row>
    <row r="1262" spans="12:13" x14ac:dyDescent="0.2">
      <c r="L1262" s="48"/>
      <c r="M1262" s="48"/>
    </row>
    <row r="1263" spans="12:13" x14ac:dyDescent="0.2">
      <c r="L1263" s="48"/>
      <c r="M1263" s="48"/>
    </row>
    <row r="1264" spans="12:13" x14ac:dyDescent="0.2">
      <c r="L1264" s="48"/>
      <c r="M1264" s="48"/>
    </row>
    <row r="1265" spans="12:13" x14ac:dyDescent="0.2">
      <c r="L1265" s="48"/>
      <c r="M1265" s="48"/>
    </row>
    <row r="1266" spans="12:13" x14ac:dyDescent="0.2">
      <c r="L1266" s="48"/>
      <c r="M1266" s="48"/>
    </row>
    <row r="1267" spans="12:13" x14ac:dyDescent="0.2">
      <c r="L1267" s="48"/>
      <c r="M1267" s="48"/>
    </row>
    <row r="1268" spans="12:13" x14ac:dyDescent="0.2">
      <c r="L1268" s="48"/>
      <c r="M1268" s="48"/>
    </row>
    <row r="1269" spans="12:13" x14ac:dyDescent="0.2">
      <c r="L1269" s="48"/>
      <c r="M1269" s="48"/>
    </row>
    <row r="1270" spans="12:13" x14ac:dyDescent="0.2">
      <c r="L1270" s="48"/>
      <c r="M1270" s="48"/>
    </row>
    <row r="1271" spans="12:13" x14ac:dyDescent="0.2">
      <c r="L1271" s="48"/>
      <c r="M1271" s="48"/>
    </row>
    <row r="1272" spans="12:13" x14ac:dyDescent="0.2">
      <c r="L1272" s="48"/>
      <c r="M1272" s="48"/>
    </row>
    <row r="1273" spans="12:13" x14ac:dyDescent="0.2">
      <c r="L1273" s="48"/>
      <c r="M1273" s="48"/>
    </row>
    <row r="1274" spans="12:13" x14ac:dyDescent="0.2">
      <c r="L1274" s="48"/>
      <c r="M1274" s="48"/>
    </row>
    <row r="1275" spans="12:13" x14ac:dyDescent="0.2">
      <c r="L1275" s="48"/>
      <c r="M1275" s="48"/>
    </row>
    <row r="1276" spans="12:13" x14ac:dyDescent="0.2">
      <c r="L1276" s="48"/>
      <c r="M1276" s="48"/>
    </row>
    <row r="1277" spans="12:13" x14ac:dyDescent="0.2">
      <c r="L1277" s="48"/>
      <c r="M1277" s="48"/>
    </row>
    <row r="1278" spans="12:13" x14ac:dyDescent="0.2">
      <c r="L1278" s="48"/>
      <c r="M1278" s="48"/>
    </row>
    <row r="1279" spans="12:13" x14ac:dyDescent="0.2">
      <c r="L1279" s="48"/>
      <c r="M1279" s="48"/>
    </row>
    <row r="1280" spans="12:13" x14ac:dyDescent="0.2">
      <c r="L1280" s="48"/>
      <c r="M1280" s="48"/>
    </row>
    <row r="1281" spans="12:13" x14ac:dyDescent="0.2">
      <c r="L1281" s="48"/>
      <c r="M1281" s="48"/>
    </row>
    <row r="1282" spans="12:13" x14ac:dyDescent="0.2">
      <c r="L1282" s="48"/>
      <c r="M1282" s="48"/>
    </row>
    <row r="1283" spans="12:13" x14ac:dyDescent="0.2">
      <c r="L1283" s="48"/>
      <c r="M1283" s="48"/>
    </row>
    <row r="1284" spans="12:13" x14ac:dyDescent="0.2">
      <c r="L1284" s="48"/>
      <c r="M1284" s="48"/>
    </row>
    <row r="1285" spans="12:13" x14ac:dyDescent="0.2">
      <c r="L1285" s="48"/>
      <c r="M1285" s="48"/>
    </row>
    <row r="1286" spans="12:13" x14ac:dyDescent="0.2">
      <c r="L1286" s="48"/>
      <c r="M1286" s="48"/>
    </row>
    <row r="1287" spans="12:13" x14ac:dyDescent="0.2">
      <c r="L1287" s="48"/>
      <c r="M1287" s="48"/>
    </row>
    <row r="1288" spans="12:13" x14ac:dyDescent="0.2">
      <c r="L1288" s="48"/>
      <c r="M1288" s="48"/>
    </row>
    <row r="1289" spans="12:13" x14ac:dyDescent="0.2">
      <c r="L1289" s="48"/>
      <c r="M1289" s="48"/>
    </row>
    <row r="1290" spans="12:13" x14ac:dyDescent="0.2">
      <c r="L1290" s="48"/>
      <c r="M1290" s="48"/>
    </row>
    <row r="1291" spans="12:13" x14ac:dyDescent="0.2">
      <c r="L1291" s="48"/>
      <c r="M1291" s="48"/>
    </row>
    <row r="1292" spans="12:13" x14ac:dyDescent="0.2">
      <c r="L1292" s="48"/>
      <c r="M1292" s="48"/>
    </row>
    <row r="1293" spans="12:13" x14ac:dyDescent="0.2">
      <c r="L1293" s="48"/>
      <c r="M1293" s="48"/>
    </row>
    <row r="1294" spans="12:13" x14ac:dyDescent="0.2">
      <c r="L1294" s="48"/>
      <c r="M1294" s="48"/>
    </row>
    <row r="1295" spans="12:13" x14ac:dyDescent="0.2">
      <c r="L1295" s="48"/>
      <c r="M1295" s="48"/>
    </row>
    <row r="1296" spans="12:13" x14ac:dyDescent="0.2">
      <c r="L1296" s="48"/>
      <c r="M1296" s="48"/>
    </row>
    <row r="1297" spans="12:13" x14ac:dyDescent="0.2">
      <c r="L1297" s="48"/>
      <c r="M1297" s="48"/>
    </row>
    <row r="1298" spans="12:13" x14ac:dyDescent="0.2">
      <c r="L1298" s="48"/>
      <c r="M1298" s="48"/>
    </row>
    <row r="1299" spans="12:13" x14ac:dyDescent="0.2">
      <c r="L1299" s="48"/>
      <c r="M1299" s="48"/>
    </row>
    <row r="1300" spans="12:13" x14ac:dyDescent="0.2">
      <c r="L1300" s="48"/>
      <c r="M1300" s="48"/>
    </row>
    <row r="1301" spans="12:13" x14ac:dyDescent="0.2">
      <c r="L1301" s="48"/>
      <c r="M1301" s="48"/>
    </row>
    <row r="1302" spans="12:13" x14ac:dyDescent="0.2">
      <c r="L1302" s="48"/>
      <c r="M1302" s="48"/>
    </row>
    <row r="1303" spans="12:13" x14ac:dyDescent="0.2">
      <c r="L1303" s="48"/>
      <c r="M1303" s="48"/>
    </row>
    <row r="1304" spans="12:13" x14ac:dyDescent="0.2">
      <c r="L1304" s="48"/>
      <c r="M1304" s="48"/>
    </row>
    <row r="1305" spans="12:13" x14ac:dyDescent="0.2">
      <c r="L1305" s="48"/>
      <c r="M1305" s="48"/>
    </row>
    <row r="1306" spans="12:13" x14ac:dyDescent="0.2">
      <c r="L1306" s="48"/>
      <c r="M1306" s="48"/>
    </row>
    <row r="1307" spans="12:13" x14ac:dyDescent="0.2">
      <c r="L1307" s="48"/>
      <c r="M1307" s="48"/>
    </row>
    <row r="1308" spans="12:13" x14ac:dyDescent="0.2">
      <c r="L1308" s="48"/>
      <c r="M1308" s="48"/>
    </row>
    <row r="1309" spans="12:13" x14ac:dyDescent="0.2">
      <c r="L1309" s="48"/>
      <c r="M1309" s="48"/>
    </row>
    <row r="1310" spans="12:13" x14ac:dyDescent="0.2">
      <c r="L1310" s="48"/>
      <c r="M1310" s="48"/>
    </row>
    <row r="1311" spans="12:13" x14ac:dyDescent="0.2">
      <c r="L1311" s="48"/>
      <c r="M1311" s="48"/>
    </row>
    <row r="1312" spans="12:13" x14ac:dyDescent="0.2">
      <c r="L1312" s="48"/>
      <c r="M1312" s="48"/>
    </row>
    <row r="1313" spans="12:13" x14ac:dyDescent="0.2">
      <c r="L1313" s="48"/>
      <c r="M1313" s="48"/>
    </row>
    <row r="1314" spans="12:13" x14ac:dyDescent="0.2">
      <c r="L1314" s="48"/>
      <c r="M1314" s="48"/>
    </row>
    <row r="1315" spans="12:13" x14ac:dyDescent="0.2">
      <c r="L1315" s="48"/>
      <c r="M1315" s="48"/>
    </row>
    <row r="1316" spans="12:13" x14ac:dyDescent="0.2">
      <c r="L1316" s="48"/>
      <c r="M1316" s="48"/>
    </row>
    <row r="1317" spans="12:13" x14ac:dyDescent="0.2">
      <c r="L1317" s="48"/>
      <c r="M1317" s="48"/>
    </row>
    <row r="1318" spans="12:13" x14ac:dyDescent="0.2">
      <c r="L1318" s="48"/>
      <c r="M1318" s="48"/>
    </row>
    <row r="1319" spans="12:13" x14ac:dyDescent="0.2">
      <c r="L1319" s="48"/>
      <c r="M1319" s="48"/>
    </row>
    <row r="1320" spans="12:13" x14ac:dyDescent="0.2">
      <c r="L1320" s="48"/>
      <c r="M1320" s="48"/>
    </row>
    <row r="1321" spans="12:13" x14ac:dyDescent="0.2">
      <c r="L1321" s="48"/>
      <c r="M1321" s="48"/>
    </row>
    <row r="1322" spans="12:13" x14ac:dyDescent="0.2">
      <c r="L1322" s="48"/>
      <c r="M1322" s="48"/>
    </row>
    <row r="1323" spans="12:13" x14ac:dyDescent="0.2">
      <c r="L1323" s="48"/>
      <c r="M1323" s="48"/>
    </row>
    <row r="1324" spans="12:13" x14ac:dyDescent="0.2">
      <c r="L1324" s="48"/>
      <c r="M1324" s="48"/>
    </row>
    <row r="1325" spans="12:13" x14ac:dyDescent="0.2">
      <c r="L1325" s="48"/>
      <c r="M1325" s="48"/>
    </row>
    <row r="1326" spans="12:13" x14ac:dyDescent="0.2">
      <c r="L1326" s="48"/>
      <c r="M1326" s="48"/>
    </row>
    <row r="1327" spans="12:13" x14ac:dyDescent="0.2">
      <c r="L1327" s="48"/>
      <c r="M1327" s="48"/>
    </row>
    <row r="1328" spans="12:13" x14ac:dyDescent="0.2">
      <c r="L1328" s="48"/>
      <c r="M1328" s="48"/>
    </row>
    <row r="1329" spans="12:13" x14ac:dyDescent="0.2">
      <c r="L1329" s="48"/>
      <c r="M1329" s="48"/>
    </row>
    <row r="1330" spans="12:13" x14ac:dyDescent="0.2">
      <c r="L1330" s="48"/>
      <c r="M1330" s="48"/>
    </row>
    <row r="1331" spans="12:13" x14ac:dyDescent="0.2">
      <c r="L1331" s="48"/>
      <c r="M1331" s="48"/>
    </row>
    <row r="1332" spans="12:13" x14ac:dyDescent="0.2">
      <c r="L1332" s="48"/>
      <c r="M1332" s="48"/>
    </row>
    <row r="1333" spans="12:13" x14ac:dyDescent="0.2">
      <c r="L1333" s="48"/>
      <c r="M1333" s="48"/>
    </row>
    <row r="1334" spans="12:13" x14ac:dyDescent="0.2">
      <c r="L1334" s="48"/>
      <c r="M1334" s="48"/>
    </row>
    <row r="1335" spans="12:13" x14ac:dyDescent="0.2">
      <c r="L1335" s="48"/>
      <c r="M1335" s="48"/>
    </row>
    <row r="1336" spans="12:13" x14ac:dyDescent="0.2">
      <c r="L1336" s="48"/>
      <c r="M1336" s="48"/>
    </row>
    <row r="1337" spans="12:13" x14ac:dyDescent="0.2">
      <c r="L1337" s="48"/>
      <c r="M1337" s="48"/>
    </row>
    <row r="1338" spans="12:13" x14ac:dyDescent="0.2">
      <c r="L1338" s="48"/>
      <c r="M1338" s="48"/>
    </row>
    <row r="1339" spans="12:13" x14ac:dyDescent="0.2">
      <c r="L1339" s="48"/>
      <c r="M1339" s="48"/>
    </row>
    <row r="1340" spans="12:13" x14ac:dyDescent="0.2">
      <c r="L1340" s="48"/>
      <c r="M1340" s="48"/>
    </row>
    <row r="1341" spans="12:13" x14ac:dyDescent="0.2">
      <c r="L1341" s="48"/>
      <c r="M1341" s="48"/>
    </row>
    <row r="1342" spans="12:13" x14ac:dyDescent="0.2">
      <c r="L1342" s="48"/>
      <c r="M1342" s="48"/>
    </row>
    <row r="1343" spans="12:13" x14ac:dyDescent="0.2">
      <c r="L1343" s="48"/>
      <c r="M1343" s="48"/>
    </row>
    <row r="1344" spans="12:13" x14ac:dyDescent="0.2">
      <c r="L1344" s="48"/>
      <c r="M1344" s="48"/>
    </row>
    <row r="1345" spans="12:13" x14ac:dyDescent="0.2">
      <c r="L1345" s="48"/>
      <c r="M1345" s="48"/>
    </row>
    <row r="1346" spans="12:13" x14ac:dyDescent="0.2">
      <c r="L1346" s="48"/>
      <c r="M1346" s="48"/>
    </row>
    <row r="1347" spans="12:13" x14ac:dyDescent="0.2">
      <c r="L1347" s="48"/>
      <c r="M1347" s="48"/>
    </row>
    <row r="1348" spans="12:13" x14ac:dyDescent="0.2">
      <c r="L1348" s="48"/>
      <c r="M1348" s="48"/>
    </row>
    <row r="1349" spans="12:13" x14ac:dyDescent="0.2">
      <c r="L1349" s="48"/>
      <c r="M1349" s="48"/>
    </row>
    <row r="1350" spans="12:13" x14ac:dyDescent="0.2">
      <c r="L1350" s="48"/>
      <c r="M1350" s="48"/>
    </row>
    <row r="1351" spans="12:13" x14ac:dyDescent="0.2">
      <c r="L1351" s="48"/>
      <c r="M1351" s="48"/>
    </row>
    <row r="1352" spans="12:13" x14ac:dyDescent="0.2">
      <c r="L1352" s="48"/>
      <c r="M1352" s="48"/>
    </row>
    <row r="1353" spans="12:13" x14ac:dyDescent="0.2">
      <c r="L1353" s="48"/>
      <c r="M1353" s="48"/>
    </row>
    <row r="1354" spans="12:13" x14ac:dyDescent="0.2">
      <c r="L1354" s="48"/>
      <c r="M1354" s="48"/>
    </row>
    <row r="1355" spans="12:13" x14ac:dyDescent="0.2">
      <c r="L1355" s="48"/>
      <c r="M1355" s="48"/>
    </row>
    <row r="1356" spans="12:13" x14ac:dyDescent="0.2">
      <c r="L1356" s="48"/>
      <c r="M1356" s="48"/>
    </row>
    <row r="1357" spans="12:13" x14ac:dyDescent="0.2">
      <c r="L1357" s="48"/>
      <c r="M1357" s="48"/>
    </row>
    <row r="1358" spans="12:13" x14ac:dyDescent="0.2">
      <c r="L1358" s="48"/>
      <c r="M1358" s="48"/>
    </row>
    <row r="1359" spans="12:13" x14ac:dyDescent="0.2">
      <c r="L1359" s="48"/>
      <c r="M1359" s="48"/>
    </row>
    <row r="1360" spans="12:13" x14ac:dyDescent="0.2">
      <c r="L1360" s="48"/>
      <c r="M1360" s="48"/>
    </row>
    <row r="1361" spans="12:13" x14ac:dyDescent="0.2">
      <c r="L1361" s="48"/>
      <c r="M1361" s="48"/>
    </row>
    <row r="1362" spans="12:13" x14ac:dyDescent="0.2">
      <c r="L1362" s="48"/>
      <c r="M1362" s="48"/>
    </row>
    <row r="1363" spans="12:13" x14ac:dyDescent="0.2">
      <c r="L1363" s="48"/>
      <c r="M1363" s="48"/>
    </row>
    <row r="1364" spans="12:13" x14ac:dyDescent="0.2">
      <c r="L1364" s="48"/>
      <c r="M1364" s="48"/>
    </row>
    <row r="1365" spans="12:13" x14ac:dyDescent="0.2">
      <c r="L1365" s="48"/>
      <c r="M1365" s="48"/>
    </row>
    <row r="1366" spans="12:13" x14ac:dyDescent="0.2">
      <c r="L1366" s="48"/>
      <c r="M1366" s="48"/>
    </row>
    <row r="1367" spans="12:13" x14ac:dyDescent="0.2">
      <c r="L1367" s="48"/>
      <c r="M1367" s="48"/>
    </row>
    <row r="1368" spans="12:13" x14ac:dyDescent="0.2">
      <c r="L1368" s="48"/>
      <c r="M1368" s="48"/>
    </row>
    <row r="1369" spans="12:13" x14ac:dyDescent="0.2">
      <c r="L1369" s="48"/>
      <c r="M1369" s="48"/>
    </row>
    <row r="1370" spans="12:13" x14ac:dyDescent="0.2">
      <c r="L1370" s="48"/>
      <c r="M1370" s="48"/>
    </row>
    <row r="1371" spans="12:13" x14ac:dyDescent="0.2">
      <c r="L1371" s="48"/>
      <c r="M1371" s="48"/>
    </row>
    <row r="1372" spans="12:13" x14ac:dyDescent="0.2">
      <c r="L1372" s="48"/>
      <c r="M1372" s="48"/>
    </row>
    <row r="1373" spans="12:13" x14ac:dyDescent="0.2">
      <c r="L1373" s="48"/>
      <c r="M1373" s="48"/>
    </row>
    <row r="1374" spans="12:13" x14ac:dyDescent="0.2">
      <c r="L1374" s="48"/>
      <c r="M1374" s="48"/>
    </row>
    <row r="1375" spans="12:13" x14ac:dyDescent="0.2">
      <c r="L1375" s="48"/>
      <c r="M1375" s="48"/>
    </row>
    <row r="1376" spans="12:13" x14ac:dyDescent="0.2">
      <c r="L1376" s="48"/>
      <c r="M1376" s="48"/>
    </row>
    <row r="1377" spans="12:13" x14ac:dyDescent="0.2">
      <c r="L1377" s="48"/>
      <c r="M1377" s="48"/>
    </row>
    <row r="1378" spans="12:13" x14ac:dyDescent="0.2">
      <c r="L1378" s="48"/>
      <c r="M1378" s="48"/>
    </row>
    <row r="1379" spans="12:13" x14ac:dyDescent="0.2">
      <c r="L1379" s="48"/>
      <c r="M1379" s="48"/>
    </row>
    <row r="1380" spans="12:13" x14ac:dyDescent="0.2">
      <c r="L1380" s="48"/>
      <c r="M1380" s="48"/>
    </row>
    <row r="1381" spans="12:13" x14ac:dyDescent="0.2">
      <c r="L1381" s="48"/>
      <c r="M1381" s="48"/>
    </row>
    <row r="1382" spans="12:13" x14ac:dyDescent="0.2">
      <c r="L1382" s="48"/>
      <c r="M1382" s="48"/>
    </row>
    <row r="1383" spans="12:13" x14ac:dyDescent="0.2">
      <c r="L1383" s="48"/>
      <c r="M1383" s="48"/>
    </row>
    <row r="1384" spans="12:13" x14ac:dyDescent="0.2">
      <c r="L1384" s="48"/>
      <c r="M1384" s="48"/>
    </row>
    <row r="1385" spans="12:13" x14ac:dyDescent="0.2">
      <c r="L1385" s="48"/>
      <c r="M1385" s="48"/>
    </row>
    <row r="1386" spans="12:13" x14ac:dyDescent="0.2">
      <c r="L1386" s="48"/>
      <c r="M1386" s="48"/>
    </row>
    <row r="1387" spans="12:13" x14ac:dyDescent="0.2">
      <c r="L1387" s="48"/>
      <c r="M1387" s="48"/>
    </row>
    <row r="1388" spans="12:13" x14ac:dyDescent="0.2">
      <c r="L1388" s="48"/>
      <c r="M1388" s="48"/>
    </row>
    <row r="1389" spans="12:13" x14ac:dyDescent="0.2">
      <c r="L1389" s="48"/>
      <c r="M1389" s="48"/>
    </row>
    <row r="1390" spans="12:13" x14ac:dyDescent="0.2">
      <c r="L1390" s="48"/>
      <c r="M1390" s="48"/>
    </row>
    <row r="1391" spans="12:13" x14ac:dyDescent="0.2">
      <c r="L1391" s="48"/>
      <c r="M1391" s="48"/>
    </row>
    <row r="1392" spans="12:13" x14ac:dyDescent="0.2">
      <c r="L1392" s="48"/>
      <c r="M1392" s="48"/>
    </row>
    <row r="1393" spans="12:13" x14ac:dyDescent="0.2">
      <c r="L1393" s="48"/>
      <c r="M1393" s="48"/>
    </row>
    <row r="1394" spans="12:13" x14ac:dyDescent="0.2">
      <c r="L1394" s="48"/>
      <c r="M1394" s="48"/>
    </row>
    <row r="1395" spans="12:13" x14ac:dyDescent="0.2">
      <c r="L1395" s="48"/>
      <c r="M1395" s="48"/>
    </row>
    <row r="1396" spans="12:13" x14ac:dyDescent="0.2">
      <c r="L1396" s="48"/>
      <c r="M1396" s="48"/>
    </row>
    <row r="1397" spans="12:13" x14ac:dyDescent="0.2">
      <c r="L1397" s="48"/>
      <c r="M1397" s="48"/>
    </row>
    <row r="1398" spans="12:13" x14ac:dyDescent="0.2">
      <c r="L1398" s="48"/>
      <c r="M1398" s="48"/>
    </row>
    <row r="1399" spans="12:13" x14ac:dyDescent="0.2">
      <c r="L1399" s="48"/>
      <c r="M1399" s="48"/>
    </row>
    <row r="1400" spans="12:13" x14ac:dyDescent="0.2">
      <c r="L1400" s="48"/>
      <c r="M1400" s="48"/>
    </row>
    <row r="1401" spans="12:13" x14ac:dyDescent="0.2">
      <c r="L1401" s="48"/>
      <c r="M1401" s="48"/>
    </row>
    <row r="1402" spans="12:13" x14ac:dyDescent="0.2">
      <c r="L1402" s="48"/>
      <c r="M1402" s="48"/>
    </row>
    <row r="1403" spans="12:13" x14ac:dyDescent="0.2">
      <c r="L1403" s="48"/>
      <c r="M1403" s="48"/>
    </row>
    <row r="1404" spans="12:13" x14ac:dyDescent="0.2">
      <c r="L1404" s="48"/>
      <c r="M1404" s="48"/>
    </row>
    <row r="1405" spans="12:13" x14ac:dyDescent="0.2">
      <c r="L1405" s="48"/>
      <c r="M1405" s="48"/>
    </row>
    <row r="1406" spans="12:13" x14ac:dyDescent="0.2">
      <c r="L1406" s="48"/>
      <c r="M1406" s="48"/>
    </row>
    <row r="1407" spans="12:13" x14ac:dyDescent="0.2">
      <c r="L1407" s="48"/>
      <c r="M1407" s="48"/>
    </row>
    <row r="1408" spans="12:13" x14ac:dyDescent="0.2">
      <c r="L1408" s="48"/>
      <c r="M1408" s="48"/>
    </row>
    <row r="1409" spans="12:13" x14ac:dyDescent="0.2">
      <c r="L1409" s="48"/>
      <c r="M1409" s="48"/>
    </row>
    <row r="1410" spans="12:13" x14ac:dyDescent="0.2">
      <c r="L1410" s="48"/>
      <c r="M1410" s="48"/>
    </row>
    <row r="1411" spans="12:13" x14ac:dyDescent="0.2">
      <c r="L1411" s="48"/>
      <c r="M1411" s="48"/>
    </row>
    <row r="1412" spans="12:13" x14ac:dyDescent="0.2">
      <c r="L1412" s="48"/>
      <c r="M1412" s="48"/>
    </row>
    <row r="1413" spans="12:13" x14ac:dyDescent="0.2">
      <c r="L1413" s="48"/>
      <c r="M1413" s="48"/>
    </row>
    <row r="1414" spans="12:13" x14ac:dyDescent="0.2">
      <c r="L1414" s="48"/>
      <c r="M1414" s="48"/>
    </row>
    <row r="1415" spans="12:13" x14ac:dyDescent="0.2">
      <c r="L1415" s="48"/>
      <c r="M1415" s="48"/>
    </row>
    <row r="1416" spans="12:13" x14ac:dyDescent="0.2">
      <c r="L1416" s="48"/>
      <c r="M1416" s="48"/>
    </row>
    <row r="1417" spans="12:13" x14ac:dyDescent="0.2">
      <c r="L1417" s="48"/>
      <c r="M1417" s="48"/>
    </row>
    <row r="1418" spans="12:13" x14ac:dyDescent="0.2">
      <c r="L1418" s="48"/>
      <c r="M1418" s="48"/>
    </row>
    <row r="1419" spans="12:13" x14ac:dyDescent="0.2">
      <c r="L1419" s="48"/>
      <c r="M1419" s="48"/>
    </row>
    <row r="1420" spans="12:13" x14ac:dyDescent="0.2">
      <c r="L1420" s="48"/>
      <c r="M1420" s="48"/>
    </row>
    <row r="1421" spans="12:13" x14ac:dyDescent="0.2">
      <c r="L1421" s="48"/>
      <c r="M1421" s="48"/>
    </row>
    <row r="1422" spans="12:13" x14ac:dyDescent="0.2">
      <c r="L1422" s="48"/>
      <c r="M1422" s="48"/>
    </row>
    <row r="1423" spans="12:13" x14ac:dyDescent="0.2">
      <c r="L1423" s="48"/>
      <c r="M1423" s="48"/>
    </row>
    <row r="1424" spans="12:13" x14ac:dyDescent="0.2">
      <c r="L1424" s="48"/>
      <c r="M1424" s="48"/>
    </row>
    <row r="1425" spans="12:13" x14ac:dyDescent="0.2">
      <c r="L1425" s="48"/>
      <c r="M1425" s="48"/>
    </row>
    <row r="1426" spans="12:13" x14ac:dyDescent="0.2">
      <c r="L1426" s="48"/>
      <c r="M1426" s="48"/>
    </row>
    <row r="1427" spans="12:13" x14ac:dyDescent="0.2">
      <c r="L1427" s="48"/>
      <c r="M1427" s="48"/>
    </row>
    <row r="1428" spans="12:13" x14ac:dyDescent="0.2">
      <c r="L1428" s="48"/>
      <c r="M1428" s="48"/>
    </row>
    <row r="1429" spans="12:13" x14ac:dyDescent="0.2">
      <c r="L1429" s="48"/>
      <c r="M1429" s="48"/>
    </row>
    <row r="1430" spans="12:13" x14ac:dyDescent="0.2">
      <c r="L1430" s="48"/>
      <c r="M1430" s="48"/>
    </row>
    <row r="1431" spans="12:13" x14ac:dyDescent="0.2">
      <c r="L1431" s="48"/>
      <c r="M1431" s="48"/>
    </row>
    <row r="1432" spans="12:13" x14ac:dyDescent="0.2">
      <c r="L1432" s="48"/>
      <c r="M1432" s="48"/>
    </row>
    <row r="1433" spans="12:13" x14ac:dyDescent="0.2">
      <c r="L1433" s="48"/>
      <c r="M1433" s="48"/>
    </row>
    <row r="1434" spans="12:13" x14ac:dyDescent="0.2">
      <c r="L1434" s="48"/>
      <c r="M1434" s="48"/>
    </row>
    <row r="1435" spans="12:13" x14ac:dyDescent="0.2">
      <c r="L1435" s="48"/>
      <c r="M1435" s="48"/>
    </row>
    <row r="1436" spans="12:13" x14ac:dyDescent="0.2">
      <c r="L1436" s="48"/>
      <c r="M1436" s="48"/>
    </row>
    <row r="1437" spans="12:13" x14ac:dyDescent="0.2">
      <c r="L1437" s="48"/>
      <c r="M1437" s="48"/>
    </row>
    <row r="1438" spans="12:13" x14ac:dyDescent="0.2">
      <c r="L1438" s="48"/>
      <c r="M1438" s="48"/>
    </row>
    <row r="1439" spans="12:13" x14ac:dyDescent="0.2">
      <c r="L1439" s="48"/>
      <c r="M1439" s="48"/>
    </row>
    <row r="1440" spans="12:13" x14ac:dyDescent="0.2">
      <c r="L1440" s="48"/>
      <c r="M1440" s="48"/>
    </row>
    <row r="1441" spans="12:13" x14ac:dyDescent="0.2">
      <c r="L1441" s="48"/>
      <c r="M1441" s="48"/>
    </row>
    <row r="1442" spans="12:13" x14ac:dyDescent="0.2">
      <c r="L1442" s="48"/>
      <c r="M1442" s="48"/>
    </row>
    <row r="1443" spans="12:13" x14ac:dyDescent="0.2">
      <c r="L1443" s="48"/>
      <c r="M1443" s="48"/>
    </row>
    <row r="1444" spans="12:13" x14ac:dyDescent="0.2">
      <c r="L1444" s="48"/>
      <c r="M1444" s="48"/>
    </row>
    <row r="1445" spans="12:13" x14ac:dyDescent="0.2">
      <c r="L1445" s="48"/>
      <c r="M1445" s="48"/>
    </row>
    <row r="1446" spans="12:13" x14ac:dyDescent="0.2">
      <c r="L1446" s="48"/>
      <c r="M1446" s="48"/>
    </row>
    <row r="1447" spans="12:13" x14ac:dyDescent="0.2">
      <c r="L1447" s="48"/>
      <c r="M1447" s="48"/>
    </row>
    <row r="1448" spans="12:13" x14ac:dyDescent="0.2">
      <c r="L1448" s="48"/>
      <c r="M1448" s="48"/>
    </row>
    <row r="1449" spans="12:13" x14ac:dyDescent="0.2">
      <c r="L1449" s="48"/>
      <c r="M1449" s="48"/>
    </row>
    <row r="1450" spans="12:13" x14ac:dyDescent="0.2">
      <c r="L1450" s="48"/>
      <c r="M1450" s="48"/>
    </row>
    <row r="1451" spans="12:13" x14ac:dyDescent="0.2">
      <c r="L1451" s="48"/>
      <c r="M1451" s="48"/>
    </row>
    <row r="1452" spans="12:13" x14ac:dyDescent="0.2">
      <c r="L1452" s="48"/>
      <c r="M1452" s="48"/>
    </row>
    <row r="1453" spans="12:13" x14ac:dyDescent="0.2">
      <c r="L1453" s="48"/>
      <c r="M1453" s="48"/>
    </row>
    <row r="1454" spans="12:13" x14ac:dyDescent="0.2">
      <c r="L1454" s="48"/>
      <c r="M1454" s="48"/>
    </row>
    <row r="1455" spans="12:13" x14ac:dyDescent="0.2">
      <c r="L1455" s="48"/>
      <c r="M1455" s="48"/>
    </row>
    <row r="1456" spans="12:13" x14ac:dyDescent="0.2">
      <c r="L1456" s="48"/>
      <c r="M1456" s="48"/>
    </row>
    <row r="1457" spans="12:13" x14ac:dyDescent="0.2">
      <c r="L1457" s="48"/>
      <c r="M1457" s="48"/>
    </row>
    <row r="1458" spans="12:13" x14ac:dyDescent="0.2">
      <c r="L1458" s="48"/>
      <c r="M1458" s="48"/>
    </row>
    <row r="1459" spans="12:13" x14ac:dyDescent="0.2">
      <c r="L1459" s="48"/>
      <c r="M1459" s="48"/>
    </row>
    <row r="1460" spans="12:13" x14ac:dyDescent="0.2">
      <c r="L1460" s="48"/>
      <c r="M1460" s="48"/>
    </row>
    <row r="1461" spans="12:13" x14ac:dyDescent="0.2">
      <c r="L1461" s="48"/>
      <c r="M1461" s="48"/>
    </row>
    <row r="1462" spans="12:13" x14ac:dyDescent="0.2">
      <c r="L1462" s="48"/>
      <c r="M1462" s="48"/>
    </row>
    <row r="1463" spans="12:13" x14ac:dyDescent="0.2">
      <c r="L1463" s="48"/>
      <c r="M1463" s="48"/>
    </row>
    <row r="1464" spans="12:13" x14ac:dyDescent="0.2">
      <c r="L1464" s="48"/>
      <c r="M1464" s="48"/>
    </row>
    <row r="1465" spans="12:13" x14ac:dyDescent="0.2">
      <c r="L1465" s="48"/>
      <c r="M1465" s="48"/>
    </row>
    <row r="1466" spans="12:13" x14ac:dyDescent="0.2">
      <c r="L1466" s="48"/>
      <c r="M1466" s="48"/>
    </row>
    <row r="1467" spans="12:13" x14ac:dyDescent="0.2">
      <c r="L1467" s="48"/>
      <c r="M1467" s="48"/>
    </row>
    <row r="1468" spans="12:13" x14ac:dyDescent="0.2">
      <c r="L1468" s="48"/>
      <c r="M1468" s="48"/>
    </row>
    <row r="1469" spans="12:13" x14ac:dyDescent="0.2">
      <c r="L1469" s="48"/>
      <c r="M1469" s="48"/>
    </row>
    <row r="1470" spans="12:13" x14ac:dyDescent="0.2">
      <c r="L1470" s="48"/>
      <c r="M1470" s="48"/>
    </row>
    <row r="1471" spans="12:13" x14ac:dyDescent="0.2">
      <c r="L1471" s="48"/>
      <c r="M1471" s="48"/>
    </row>
    <row r="1472" spans="12:13" x14ac:dyDescent="0.2">
      <c r="L1472" s="48"/>
      <c r="M1472" s="48"/>
    </row>
    <row r="1473" spans="12:13" x14ac:dyDescent="0.2">
      <c r="L1473" s="48"/>
      <c r="M1473" s="48"/>
    </row>
    <row r="1474" spans="12:13" x14ac:dyDescent="0.2">
      <c r="L1474" s="48"/>
      <c r="M1474" s="48"/>
    </row>
    <row r="1475" spans="12:13" x14ac:dyDescent="0.2">
      <c r="L1475" s="48"/>
      <c r="M1475" s="48"/>
    </row>
    <row r="1476" spans="12:13" x14ac:dyDescent="0.2">
      <c r="L1476" s="48"/>
      <c r="M1476" s="48"/>
    </row>
    <row r="1477" spans="12:13" x14ac:dyDescent="0.2">
      <c r="L1477" s="48"/>
      <c r="M1477" s="48"/>
    </row>
    <row r="1478" spans="12:13" x14ac:dyDescent="0.2">
      <c r="L1478" s="48"/>
      <c r="M1478" s="48"/>
    </row>
    <row r="1479" spans="12:13" x14ac:dyDescent="0.2">
      <c r="L1479" s="48"/>
      <c r="M1479" s="48"/>
    </row>
    <row r="1480" spans="12:13" x14ac:dyDescent="0.2">
      <c r="L1480" s="48"/>
      <c r="M1480" s="48"/>
    </row>
    <row r="1481" spans="12:13" x14ac:dyDescent="0.2">
      <c r="L1481" s="48"/>
      <c r="M1481" s="48"/>
    </row>
    <row r="1482" spans="12:13" x14ac:dyDescent="0.2">
      <c r="L1482" s="48"/>
      <c r="M1482" s="48"/>
    </row>
    <row r="1483" spans="12:13" x14ac:dyDescent="0.2">
      <c r="L1483" s="48"/>
      <c r="M1483" s="48"/>
    </row>
    <row r="1484" spans="12:13" x14ac:dyDescent="0.2">
      <c r="L1484" s="48"/>
      <c r="M1484" s="48"/>
    </row>
    <row r="1485" spans="12:13" x14ac:dyDescent="0.2">
      <c r="L1485" s="48"/>
      <c r="M1485" s="48"/>
    </row>
    <row r="1486" spans="12:13" x14ac:dyDescent="0.2">
      <c r="L1486" s="48"/>
      <c r="M1486" s="48"/>
    </row>
    <row r="1487" spans="12:13" x14ac:dyDescent="0.2">
      <c r="L1487" s="48"/>
      <c r="M1487" s="48"/>
    </row>
    <row r="1488" spans="12:13" x14ac:dyDescent="0.2">
      <c r="L1488" s="48"/>
      <c r="M1488" s="48"/>
    </row>
    <row r="1489" spans="12:13" x14ac:dyDescent="0.2">
      <c r="L1489" s="48"/>
      <c r="M1489" s="48"/>
    </row>
    <row r="1490" spans="12:13" x14ac:dyDescent="0.2">
      <c r="L1490" s="48"/>
      <c r="M1490" s="48"/>
    </row>
    <row r="1491" spans="12:13" x14ac:dyDescent="0.2">
      <c r="L1491" s="48"/>
      <c r="M1491" s="48"/>
    </row>
    <row r="1492" spans="12:13" x14ac:dyDescent="0.2">
      <c r="L1492" s="48"/>
      <c r="M1492" s="48"/>
    </row>
    <row r="1493" spans="12:13" x14ac:dyDescent="0.2">
      <c r="L1493" s="48"/>
      <c r="M1493" s="48"/>
    </row>
    <row r="1494" spans="12:13" x14ac:dyDescent="0.2">
      <c r="L1494" s="48"/>
      <c r="M1494" s="48"/>
    </row>
    <row r="1495" spans="12:13" x14ac:dyDescent="0.2">
      <c r="L1495" s="48"/>
      <c r="M1495" s="48"/>
    </row>
    <row r="1496" spans="12:13" x14ac:dyDescent="0.2">
      <c r="L1496" s="48"/>
      <c r="M1496" s="48"/>
    </row>
    <row r="1497" spans="12:13" x14ac:dyDescent="0.2">
      <c r="L1497" s="48"/>
      <c r="M1497" s="48"/>
    </row>
    <row r="1498" spans="12:13" x14ac:dyDescent="0.2">
      <c r="L1498" s="48"/>
      <c r="M1498" s="48"/>
    </row>
    <row r="1499" spans="12:13" x14ac:dyDescent="0.2">
      <c r="L1499" s="48"/>
      <c r="M1499" s="48"/>
    </row>
    <row r="1500" spans="12:13" x14ac:dyDescent="0.2">
      <c r="L1500" s="48"/>
      <c r="M1500" s="48"/>
    </row>
    <row r="1501" spans="12:13" x14ac:dyDescent="0.2">
      <c r="L1501" s="48"/>
      <c r="M1501" s="48"/>
    </row>
    <row r="1502" spans="12:13" x14ac:dyDescent="0.2">
      <c r="L1502" s="48"/>
      <c r="M1502" s="48"/>
    </row>
    <row r="1503" spans="12:13" x14ac:dyDescent="0.2">
      <c r="L1503" s="48"/>
      <c r="M1503" s="48"/>
    </row>
    <row r="1504" spans="12:13" x14ac:dyDescent="0.2">
      <c r="L1504" s="48"/>
      <c r="M1504" s="48"/>
    </row>
    <row r="1505" spans="12:13" x14ac:dyDescent="0.2">
      <c r="L1505" s="48"/>
      <c r="M1505" s="48"/>
    </row>
    <row r="1506" spans="12:13" x14ac:dyDescent="0.2">
      <c r="L1506" s="48"/>
      <c r="M1506" s="48"/>
    </row>
    <row r="1507" spans="12:13" x14ac:dyDescent="0.2">
      <c r="L1507" s="48"/>
      <c r="M1507" s="48"/>
    </row>
    <row r="1508" spans="12:13" x14ac:dyDescent="0.2">
      <c r="L1508" s="48"/>
      <c r="M1508" s="48"/>
    </row>
    <row r="1509" spans="12:13" x14ac:dyDescent="0.2">
      <c r="L1509" s="48"/>
      <c r="M1509" s="48"/>
    </row>
    <row r="1510" spans="12:13" x14ac:dyDescent="0.2">
      <c r="L1510" s="48"/>
      <c r="M1510" s="48"/>
    </row>
  </sheetData>
  <conditionalFormatting sqref="F4">
    <cfRule type="cellIs" dxfId="3" priority="1" operator="notEqual">
      <formula>0</formula>
    </cfRule>
  </conditionalFormatting>
  <hyperlinks>
    <hyperlink ref="F4" location="Overall_Error_Check" tooltip="Go to Overall Error Check" display="Overall_Error_Check" xr:uid="{AFDB2FA3-A0C8-43DD-A027-5F63AC3D1244}"/>
    <hyperlink ref="A3:E3" location="HL_Navigator" tooltip="Go to Navigator (Table of Contents)" display="Navigator" xr:uid="{E53FEFFE-7CC0-4208-8AB9-1BCECE876DAA}"/>
    <hyperlink ref="A3" location="HL_Navigator" display="Navigator" xr:uid="{2212721C-AAEE-4195-A499-969FBC4B7782}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outlinePr summaryBelow="0" showOutlineSymbols="0"/>
  </sheetPr>
  <dimension ref="A1:R19"/>
  <sheetViews>
    <sheetView showGridLines="0" showOutlineSymbols="0" workbookViewId="0">
      <pane ySplit="4" topLeftCell="A9" activePane="bottomLeft" state="frozen"/>
      <selection activeCell="A3" sqref="A3:E3"/>
      <selection pane="bottomLeft"/>
    </sheetView>
  </sheetViews>
  <sheetFormatPr defaultColWidth="0" defaultRowHeight="11.4" outlineLevelRow="1" x14ac:dyDescent="0.2"/>
  <cols>
    <col min="1" max="5" width="3.75" customWidth="1"/>
    <col min="6" max="12" width="9.125" customWidth="1"/>
    <col min="13" max="18" width="0" hidden="1" customWidth="1"/>
    <col min="19" max="16384" width="9.125" hidden="1"/>
  </cols>
  <sheetData>
    <row r="1" spans="1:11" ht="21" x14ac:dyDescent="0.4">
      <c r="A1" s="39" t="str">
        <f ca="1">IF(ISERROR(RIGHT(CELL("filename",A1),LEN(CELL("filename",A1))-FIND("]",CELL("filename",A1)))),
"",
RIGHT(CELL("filename",A1),LEN(CELL("filename",A1))-FIND("]",CELL("filename",A1))))</f>
        <v>Error Checks</v>
      </c>
      <c r="I1" s="69"/>
      <c r="J1" s="69"/>
    </row>
    <row r="2" spans="1:11" ht="17.399999999999999" x14ac:dyDescent="0.3">
      <c r="A2" s="40" t="str">
        <f>Model_Name</f>
        <v>SP Python in Excel Example Starter File Chapter 7</v>
      </c>
    </row>
    <row r="3" spans="1:11" ht="12" x14ac:dyDescent="0.25">
      <c r="A3" s="69" t="s">
        <v>0</v>
      </c>
      <c r="B3" s="69"/>
      <c r="C3" s="69"/>
      <c r="D3" s="69"/>
      <c r="E3" s="69"/>
    </row>
    <row r="4" spans="1:11" ht="13.8" x14ac:dyDescent="0.25">
      <c r="B4" t="s">
        <v>5</v>
      </c>
      <c r="F4" s="1">
        <f>Overall_Error_Check</f>
        <v>0</v>
      </c>
    </row>
    <row r="6" spans="1:11" ht="16.2" thickBot="1" x14ac:dyDescent="0.35">
      <c r="B6" s="41">
        <f>MAX($B$5:$B5)+1</f>
        <v>1</v>
      </c>
      <c r="C6" s="2" t="s">
        <v>10</v>
      </c>
      <c r="D6" s="2"/>
      <c r="E6" s="2"/>
      <c r="F6" s="2"/>
      <c r="G6" s="2"/>
      <c r="H6" s="2"/>
      <c r="I6" s="2"/>
      <c r="J6" s="2"/>
      <c r="K6" s="2"/>
    </row>
    <row r="7" spans="1:11" ht="12" outlineLevel="1" thickTop="1" x14ac:dyDescent="0.2"/>
    <row r="8" spans="1:11" ht="16.8" outlineLevel="1" x14ac:dyDescent="0.3">
      <c r="C8" s="3" t="s">
        <v>67</v>
      </c>
    </row>
    <row r="9" spans="1:11" ht="16.8" outlineLevel="1" x14ac:dyDescent="0.3">
      <c r="C9" s="3"/>
    </row>
    <row r="10" spans="1:11" ht="16.8" outlineLevel="1" x14ac:dyDescent="0.3">
      <c r="C10" s="3"/>
      <c r="D10" s="4" t="s">
        <v>68</v>
      </c>
    </row>
    <row r="11" spans="1:11" outlineLevel="1" x14ac:dyDescent="0.2"/>
    <row r="12" spans="1:11" ht="13.8" outlineLevel="1" x14ac:dyDescent="0.25">
      <c r="E12" t="s">
        <v>69</v>
      </c>
      <c r="I12" s="36"/>
    </row>
    <row r="13" spans="1:11" outlineLevel="1" x14ac:dyDescent="0.2"/>
    <row r="14" spans="1:11" outlineLevel="1" x14ac:dyDescent="0.2"/>
    <row r="15" spans="1:11" outlineLevel="1" x14ac:dyDescent="0.2"/>
    <row r="16" spans="1:11" outlineLevel="1" x14ac:dyDescent="0.2"/>
    <row r="17" spans="5:9" ht="13.8" outlineLevel="1" x14ac:dyDescent="0.25">
      <c r="E17" s="4" t="str">
        <f>C8</f>
        <v>Summary of Errors</v>
      </c>
      <c r="I17" s="1">
        <f>MIN(1,SUM(I11:I15))</f>
        <v>0</v>
      </c>
    </row>
    <row r="18" spans="5:9" outlineLevel="1" x14ac:dyDescent="0.2"/>
    <row r="19" spans="5:9" outlineLevel="1" x14ac:dyDescent="0.2"/>
  </sheetData>
  <mergeCells count="2">
    <mergeCell ref="I1:J1"/>
    <mergeCell ref="A3:E3"/>
  </mergeCells>
  <conditionalFormatting sqref="I17 F4">
    <cfRule type="cellIs" dxfId="2" priority="3" operator="notEqual">
      <formula>0</formula>
    </cfRule>
  </conditionalFormatting>
  <conditionalFormatting sqref="I12">
    <cfRule type="cellIs" dxfId="1" priority="2" operator="notEqual">
      <formula>0</formula>
    </cfRule>
  </conditionalFormatting>
  <conditionalFormatting sqref="I12">
    <cfRule type="cellIs" dxfId="0" priority="1" operator="notEqual">
      <formula>0</formula>
    </cfRule>
  </conditionalFormatting>
  <hyperlinks>
    <hyperlink ref="F4" location="Overall_Error_Check" tooltip="Go to Overall Error Check" display="Overall_Error_Check" xr:uid="{00000000-0004-0000-0500-000000000000}"/>
    <hyperlink ref="A3:E3" location="HL_Navigator" tooltip="Go to Navigator (Table of Contents)" display="Navigator" xr:uid="{00000000-0004-0000-0500-000001000000}"/>
    <hyperlink ref="A3" location="HL_Navigator" display="Navigator" xr:uid="{00000000-0004-0000-0500-0000020000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54DDE-05F5-4E52-B574-E0A9C6243106}">
  <dimension ref="A1:N59"/>
  <sheetViews>
    <sheetView topLeftCell="A46" workbookViewId="0">
      <selection activeCell="C59" sqref="C59"/>
    </sheetView>
  </sheetViews>
  <sheetFormatPr defaultRowHeight="11.4" x14ac:dyDescent="0.2"/>
  <cols>
    <col min="1" max="1" width="3.125" customWidth="1"/>
    <col min="2" max="2" width="5.25" customWidth="1"/>
    <col min="3" max="3" width="33.375" customWidth="1"/>
    <col min="4" max="7" width="20.875" customWidth="1"/>
    <col min="8" max="8" width="15.875" customWidth="1"/>
    <col min="9" max="9" width="17.75" customWidth="1"/>
    <col min="10" max="10" width="33.375" customWidth="1"/>
    <col min="11" max="14" width="20.875" customWidth="1"/>
  </cols>
  <sheetData>
    <row r="1" spans="1:14" ht="22.8" x14ac:dyDescent="0.4">
      <c r="A1" s="58" t="s">
        <v>80</v>
      </c>
    </row>
    <row r="2" spans="1:14" ht="13.2" x14ac:dyDescent="0.25">
      <c r="A2" s="59" t="s">
        <v>81</v>
      </c>
    </row>
    <row r="3" spans="1:14" x14ac:dyDescent="0.2">
      <c r="A3" s="65" t="s">
        <v>0</v>
      </c>
    </row>
    <row r="4" spans="1:14" x14ac:dyDescent="0.2">
      <c r="B4" t="s">
        <v>5</v>
      </c>
      <c r="F4" t="s">
        <v>123</v>
      </c>
    </row>
    <row r="6" spans="1:14" ht="15.6" x14ac:dyDescent="0.3">
      <c r="B6">
        <v>1</v>
      </c>
      <c r="C6" s="60" t="s">
        <v>86</v>
      </c>
      <c r="I6">
        <v>5</v>
      </c>
      <c r="J6" s="60" t="s">
        <v>113</v>
      </c>
    </row>
    <row r="8" spans="1:14" ht="12" x14ac:dyDescent="0.25">
      <c r="C8" s="53" t="s">
        <v>82</v>
      </c>
      <c r="D8" s="53" t="s">
        <v>83</v>
      </c>
      <c r="J8" t="s">
        <v>114</v>
      </c>
      <c r="K8" t="s">
        <v>84</v>
      </c>
      <c r="L8" t="s">
        <v>95</v>
      </c>
      <c r="M8" t="s">
        <v>96</v>
      </c>
      <c r="N8" t="s">
        <v>97</v>
      </c>
    </row>
    <row r="9" spans="1:14" x14ac:dyDescent="0.2">
      <c r="C9" t="s">
        <v>87</v>
      </c>
      <c r="D9" s="54">
        <f>COUNTA(Car_Sales_Data!I10:I575533)</f>
        <v>0</v>
      </c>
      <c r="J9" s="74" t="s">
        <v>115</v>
      </c>
      <c r="K9" s="74"/>
      <c r="L9" s="74"/>
      <c r="M9" s="74"/>
      <c r="N9" s="74"/>
    </row>
    <row r="10" spans="1:14" x14ac:dyDescent="0.2">
      <c r="C10" t="s">
        <v>84</v>
      </c>
      <c r="D10" s="55">
        <f>SUM(Car_Sales_Data!I10:I575533)</f>
        <v>0</v>
      </c>
    </row>
    <row r="11" spans="1:14" x14ac:dyDescent="0.2">
      <c r="C11" t="s">
        <v>85</v>
      </c>
      <c r="D11" s="55" t="e">
        <f>AVERAGE(Car_Sales_Data!I10:I575533)</f>
        <v>#DIV/0!</v>
      </c>
    </row>
    <row r="12" spans="1:14" x14ac:dyDescent="0.2">
      <c r="C12" t="s">
        <v>88</v>
      </c>
      <c r="D12" s="55">
        <f>SUM(Car_Sales_Data!K10:K575533)</f>
        <v>0</v>
      </c>
    </row>
    <row r="13" spans="1:14" x14ac:dyDescent="0.2">
      <c r="C13" t="s">
        <v>89</v>
      </c>
      <c r="D13" s="56" t="e">
        <f>AVERAGE(Car_Sales_Data!J10:J575533)</f>
        <v>#DIV/0!</v>
      </c>
    </row>
    <row r="14" spans="1:14" x14ac:dyDescent="0.2">
      <c r="C14" t="s">
        <v>90</v>
      </c>
      <c r="D14" s="55">
        <f>MIN(Car_Sales_Data!I10:I575533)</f>
        <v>0</v>
      </c>
    </row>
    <row r="15" spans="1:14" x14ac:dyDescent="0.2">
      <c r="C15" t="s">
        <v>91</v>
      </c>
      <c r="D15" s="55">
        <f>MAX(Car_Sales_Data!I10:I575533)</f>
        <v>0</v>
      </c>
    </row>
    <row r="16" spans="1:14" x14ac:dyDescent="0.2">
      <c r="C16" t="s">
        <v>92</v>
      </c>
      <c r="D16" s="55" t="e">
        <f>MEDIAN(Car_Sales_Data!I10:I575533)</f>
        <v>#NUM!</v>
      </c>
    </row>
    <row r="18" spans="2:14" ht="15.6" x14ac:dyDescent="0.3">
      <c r="B18">
        <v>2</v>
      </c>
      <c r="C18" s="60" t="s">
        <v>93</v>
      </c>
      <c r="I18">
        <v>6</v>
      </c>
      <c r="J18" s="60" t="s">
        <v>116</v>
      </c>
    </row>
    <row r="20" spans="2:14" ht="12" x14ac:dyDescent="0.25">
      <c r="C20" s="53" t="s">
        <v>94</v>
      </c>
      <c r="D20" s="53" t="s">
        <v>95</v>
      </c>
      <c r="E20" s="53" t="s">
        <v>84</v>
      </c>
      <c r="F20" s="53" t="s">
        <v>96</v>
      </c>
      <c r="G20" s="53" t="s">
        <v>97</v>
      </c>
      <c r="J20" s="53" t="s">
        <v>82</v>
      </c>
      <c r="K20" s="53" t="s">
        <v>83</v>
      </c>
    </row>
    <row r="21" spans="2:14" x14ac:dyDescent="0.2">
      <c r="C21" t="s">
        <v>98</v>
      </c>
      <c r="D21" s="54">
        <f>COUNTIF(Car_Sales_Data!F10:F575533,C21)</f>
        <v>0</v>
      </c>
      <c r="E21" s="57">
        <f>SUMIF(Car_Sales_Data!F10:F575533,C21,Car_Sales_Data!I10:I575533)</f>
        <v>0</v>
      </c>
      <c r="F21" s="55" t="e">
        <f>AVERAGEIF(Car_Sales_Data!F10:F575533,C21,Car_Sales_Data!I10:I575533)</f>
        <v>#DIV/0!</v>
      </c>
      <c r="G21" s="57">
        <f>SUMIF(Car_Sales_Data!F10:F575533,C21,Car_Sales_Data!K10:K575533)</f>
        <v>0</v>
      </c>
      <c r="J21" t="s">
        <v>117</v>
      </c>
      <c r="K21" s="56">
        <f>MIN(Car_Sales_Data!J10:J575533)</f>
        <v>0</v>
      </c>
    </row>
    <row r="22" spans="2:14" x14ac:dyDescent="0.2">
      <c r="C22" t="s">
        <v>99</v>
      </c>
      <c r="D22" s="54">
        <f>COUNTIF(Car_Sales_Data!F10:F575533,C22)</f>
        <v>0</v>
      </c>
      <c r="E22" s="57">
        <f>SUMIF(Car_Sales_Data!F10:F575533,C22,Car_Sales_Data!I10:I575533)</f>
        <v>0</v>
      </c>
      <c r="F22" s="55" t="e">
        <f>AVERAGEIF(Car_Sales_Data!F10:F575533,C22,Car_Sales_Data!I10:I575533)</f>
        <v>#DIV/0!</v>
      </c>
      <c r="G22" s="57">
        <f>SUMIF(Car_Sales_Data!F10:F575533,C22,Car_Sales_Data!K10:K575533)</f>
        <v>0</v>
      </c>
      <c r="J22" t="s">
        <v>118</v>
      </c>
      <c r="K22" s="56">
        <f>MAX(Car_Sales_Data!J10:J575533)</f>
        <v>0</v>
      </c>
    </row>
    <row r="23" spans="2:14" x14ac:dyDescent="0.2">
      <c r="C23" t="s">
        <v>100</v>
      </c>
      <c r="D23" s="54">
        <f>COUNTIF(Car_Sales_Data!F10:F575533,C23)</f>
        <v>0</v>
      </c>
      <c r="E23" s="57">
        <f>SUMIF(Car_Sales_Data!F10:F575533,C23,Car_Sales_Data!I10:I575533)</f>
        <v>0</v>
      </c>
      <c r="F23" s="55" t="e">
        <f>AVERAGEIF(Car_Sales_Data!F10:F575533,C23,Car_Sales_Data!I10:I575533)</f>
        <v>#DIV/0!</v>
      </c>
      <c r="G23" s="57">
        <f>SUMIF(Car_Sales_Data!F10:F575533,C23,Car_Sales_Data!K10:K575533)</f>
        <v>0</v>
      </c>
      <c r="J23" t="s">
        <v>89</v>
      </c>
      <c r="K23" s="56" t="e">
        <f>AVERAGE(Car_Sales_Data!J10:J575533)</f>
        <v>#DIV/0!</v>
      </c>
    </row>
    <row r="24" spans="2:14" x14ac:dyDescent="0.2">
      <c r="C24" t="s">
        <v>101</v>
      </c>
      <c r="D24" s="54">
        <f>COUNTIF(Car_Sales_Data!F10:F575533,C24)</f>
        <v>0</v>
      </c>
      <c r="E24" s="57">
        <f>SUMIF(Car_Sales_Data!F10:F575533,C24,Car_Sales_Data!I10:I575533)</f>
        <v>0</v>
      </c>
      <c r="F24" s="55" t="e">
        <f>AVERAGEIF(Car_Sales_Data!F10:F575533,C24,Car_Sales_Data!I10:I575533)</f>
        <v>#DIV/0!</v>
      </c>
      <c r="G24" s="57">
        <f>SUMIF(Car_Sales_Data!F10:F575533,C24,Car_Sales_Data!K10:K575533)</f>
        <v>0</v>
      </c>
      <c r="J24" t="s">
        <v>119</v>
      </c>
      <c r="K24" s="56" t="e">
        <f>STDEV(Car_Sales_Data!J10:J575533)</f>
        <v>#DIV/0!</v>
      </c>
    </row>
    <row r="25" spans="2:14" x14ac:dyDescent="0.2">
      <c r="C25" t="s">
        <v>102</v>
      </c>
      <c r="D25" s="54">
        <f>COUNTIF(Car_Sales_Data!F10:F575533,C25)</f>
        <v>0</v>
      </c>
      <c r="E25" s="57">
        <f>SUMIF(Car_Sales_Data!F10:F575533,C25,Car_Sales_Data!I10:I575533)</f>
        <v>0</v>
      </c>
      <c r="F25" s="55" t="e">
        <f>AVERAGEIF(Car_Sales_Data!F10:F575533,C25,Car_Sales_Data!I10:I575533)</f>
        <v>#DIV/0!</v>
      </c>
      <c r="G25" s="57">
        <f>SUMIF(Car_Sales_Data!F10:F575533,C25,Car_Sales_Data!K10:K575533)</f>
        <v>0</v>
      </c>
      <c r="J25" t="s">
        <v>88</v>
      </c>
      <c r="K25" s="55">
        <f>SUM(Car_Sales_Data!K10:K575533)</f>
        <v>0</v>
      </c>
    </row>
    <row r="26" spans="2:14" ht="12" x14ac:dyDescent="0.25">
      <c r="C26" s="61" t="s">
        <v>103</v>
      </c>
      <c r="D26" s="62">
        <f>SUM(D21:D25)</f>
        <v>0</v>
      </c>
      <c r="E26" s="63">
        <f>SUM(E21:E25)</f>
        <v>0</v>
      </c>
      <c r="F26" s="64" t="e">
        <f>AVERAGE(F21:F25)</f>
        <v>#DIV/0!</v>
      </c>
      <c r="G26" s="63">
        <f>SUM(G21:G25)</f>
        <v>0</v>
      </c>
      <c r="J26" t="s">
        <v>120</v>
      </c>
      <c r="K26" s="55" t="e">
        <f>AVERAGE(Car_Sales_Data!K10:K575533)</f>
        <v>#DIV/0!</v>
      </c>
    </row>
    <row r="28" spans="2:14" ht="15.6" x14ac:dyDescent="0.3">
      <c r="B28">
        <v>3</v>
      </c>
      <c r="C28" s="60" t="s">
        <v>104</v>
      </c>
      <c r="I28">
        <v>7</v>
      </c>
      <c r="J28" s="60" t="s">
        <v>121</v>
      </c>
    </row>
    <row r="30" spans="2:14" ht="12" x14ac:dyDescent="0.25">
      <c r="C30" s="53" t="s">
        <v>105</v>
      </c>
      <c r="D30" s="53" t="s">
        <v>95</v>
      </c>
      <c r="E30" s="53" t="s">
        <v>84</v>
      </c>
      <c r="F30" s="53" t="s">
        <v>96</v>
      </c>
      <c r="G30" s="53" t="s">
        <v>97</v>
      </c>
      <c r="J30" s="53" t="s">
        <v>94</v>
      </c>
      <c r="K30" s="53">
        <v>2020</v>
      </c>
      <c r="L30" s="53">
        <v>2021</v>
      </c>
      <c r="M30" s="53">
        <v>2022</v>
      </c>
      <c r="N30" s="53" t="s">
        <v>103</v>
      </c>
    </row>
    <row r="31" spans="2:14" x14ac:dyDescent="0.2">
      <c r="C31" t="s">
        <v>106</v>
      </c>
      <c r="D31" s="54">
        <f>COUNTIF(Car_Sales_Data!G10:G575533,C31)</f>
        <v>0</v>
      </c>
      <c r="E31" s="57">
        <f>SUMIF(Car_Sales_Data!G10:G575533,C31,Car_Sales_Data!I10:I575533)</f>
        <v>0</v>
      </c>
      <c r="F31" s="55" t="e">
        <f>AVERAGEIF(Car_Sales_Data!G10:G575533,C31,Car_Sales_Data!I10:I575533)</f>
        <v>#DIV/0!</v>
      </c>
      <c r="G31" s="57">
        <f>SUMIF(Car_Sales_Data!G10:G575533,C31,Car_Sales_Data!K10:K575533)</f>
        <v>0</v>
      </c>
      <c r="J31" t="s">
        <v>98</v>
      </c>
      <c r="K31" s="57">
        <f>SUMIFS(Car_Sales_Data!I10:I575533,Car_Sales_Data!F10:F575533,J31,Car_Sales_Data!H10:H575533,K$30)</f>
        <v>0</v>
      </c>
      <c r="L31" s="57">
        <f>SUMIFS(Car_Sales_Data!I10:I575533,Car_Sales_Data!F10:F575533,J31,Car_Sales_Data!H10:H575533,L$30)</f>
        <v>0</v>
      </c>
      <c r="M31" s="57">
        <f>SUMIFS(Car_Sales_Data!I10:I575533,Car_Sales_Data!F10:F575533,J31,Car_Sales_Data!H10:H575533,M$30)</f>
        <v>0</v>
      </c>
      <c r="N31" s="57">
        <f>SUM(K31:M31)</f>
        <v>0</v>
      </c>
    </row>
    <row r="32" spans="2:14" x14ac:dyDescent="0.2">
      <c r="C32" t="s">
        <v>107</v>
      </c>
      <c r="D32" s="54">
        <f>COUNTIF(Car_Sales_Data!G10:G575533,C32)</f>
        <v>0</v>
      </c>
      <c r="E32" s="57">
        <f>SUMIF(Car_Sales_Data!G10:G575533,C32,Car_Sales_Data!I10:I575533)</f>
        <v>0</v>
      </c>
      <c r="F32" s="55" t="e">
        <f>AVERAGEIF(Car_Sales_Data!G10:G575533,C32,Car_Sales_Data!I10:I575533)</f>
        <v>#DIV/0!</v>
      </c>
      <c r="G32" s="57">
        <f>SUMIF(Car_Sales_Data!G10:G575533,C32,Car_Sales_Data!K10:K575533)</f>
        <v>0</v>
      </c>
      <c r="J32" t="s">
        <v>99</v>
      </c>
      <c r="K32" s="57">
        <f>SUMIFS(Car_Sales_Data!I10:I575533,Car_Sales_Data!F10:F575533,J32,Car_Sales_Data!H10:H575533,K$30)</f>
        <v>0</v>
      </c>
      <c r="L32" s="57">
        <f>SUMIFS(Car_Sales_Data!I10:I575533,Car_Sales_Data!F10:F575533,J32,Car_Sales_Data!H10:H575533,L$30)</f>
        <v>0</v>
      </c>
      <c r="M32" s="57">
        <f>SUMIFS(Car_Sales_Data!I10:I575533,Car_Sales_Data!F10:F575533,J32,Car_Sales_Data!H10:H575533,M$30)</f>
        <v>0</v>
      </c>
      <c r="N32" s="57">
        <f>SUM(K32:M32)</f>
        <v>0</v>
      </c>
    </row>
    <row r="33" spans="2:14" x14ac:dyDescent="0.2">
      <c r="C33" t="s">
        <v>108</v>
      </c>
      <c r="D33" s="54">
        <f>COUNTIF(Car_Sales_Data!G10:G575533,C33)</f>
        <v>0</v>
      </c>
      <c r="E33" s="57">
        <f>SUMIF(Car_Sales_Data!G10:G575533,C33,Car_Sales_Data!I10:I575533)</f>
        <v>0</v>
      </c>
      <c r="F33" s="55" t="e">
        <f>AVERAGEIF(Car_Sales_Data!G10:G575533,C33,Car_Sales_Data!I10:I575533)</f>
        <v>#DIV/0!</v>
      </c>
      <c r="G33" s="57">
        <f>SUMIF(Car_Sales_Data!G10:G575533,C33,Car_Sales_Data!K10:K575533)</f>
        <v>0</v>
      </c>
      <c r="J33" t="s">
        <v>100</v>
      </c>
      <c r="K33" s="57">
        <f>SUMIFS(Car_Sales_Data!I10:I575533,Car_Sales_Data!F10:F575533,J33,Car_Sales_Data!H10:H575533,K$30)</f>
        <v>0</v>
      </c>
      <c r="L33" s="57">
        <f>SUMIFS(Car_Sales_Data!I10:I575533,Car_Sales_Data!F10:F575533,J33,Car_Sales_Data!H10:H575533,L$30)</f>
        <v>0</v>
      </c>
      <c r="M33" s="57">
        <f>SUMIFS(Car_Sales_Data!I10:I575533,Car_Sales_Data!F10:F575533,J33,Car_Sales_Data!H10:H575533,M$30)</f>
        <v>0</v>
      </c>
      <c r="N33" s="57">
        <f>SUM(K33:M33)</f>
        <v>0</v>
      </c>
    </row>
    <row r="34" spans="2:14" x14ac:dyDescent="0.2">
      <c r="C34" t="s">
        <v>109</v>
      </c>
      <c r="D34" s="54">
        <f>COUNTIF(Car_Sales_Data!G10:G575533,C34)</f>
        <v>0</v>
      </c>
      <c r="E34" s="57">
        <f>SUMIF(Car_Sales_Data!G10:G575533,C34,Car_Sales_Data!I10:I575533)</f>
        <v>0</v>
      </c>
      <c r="F34" s="55" t="e">
        <f>AVERAGEIF(Car_Sales_Data!G10:G575533,C34,Car_Sales_Data!I10:I575533)</f>
        <v>#DIV/0!</v>
      </c>
      <c r="G34" s="57">
        <f>SUMIF(Car_Sales_Data!G10:G575533,C34,Car_Sales_Data!K10:K575533)</f>
        <v>0</v>
      </c>
      <c r="J34" t="s">
        <v>101</v>
      </c>
      <c r="K34" s="57">
        <f>SUMIFS(Car_Sales_Data!I10:I575533,Car_Sales_Data!F10:F575533,J34,Car_Sales_Data!H10:H575533,K$30)</f>
        <v>0</v>
      </c>
      <c r="L34" s="57">
        <f>SUMIFS(Car_Sales_Data!I10:I575533,Car_Sales_Data!F10:F575533,J34,Car_Sales_Data!H10:H575533,L$30)</f>
        <v>0</v>
      </c>
      <c r="M34" s="57">
        <f>SUMIFS(Car_Sales_Data!I10:I575533,Car_Sales_Data!F10:F575533,J34,Car_Sales_Data!H10:H575533,M$30)</f>
        <v>0</v>
      </c>
      <c r="N34" s="57">
        <f>SUM(K34:M34)</f>
        <v>0</v>
      </c>
    </row>
    <row r="35" spans="2:14" x14ac:dyDescent="0.2">
      <c r="C35" t="s">
        <v>110</v>
      </c>
      <c r="D35" s="54">
        <f>COUNTIF(Car_Sales_Data!G10:G575533,C35)</f>
        <v>0</v>
      </c>
      <c r="E35" s="57">
        <f>SUMIF(Car_Sales_Data!G10:G575533,C35,Car_Sales_Data!I10:I575533)</f>
        <v>0</v>
      </c>
      <c r="F35" s="55" t="e">
        <f>AVERAGEIF(Car_Sales_Data!G10:G575533,C35,Car_Sales_Data!I10:I575533)</f>
        <v>#DIV/0!</v>
      </c>
      <c r="G35" s="57">
        <f>SUMIF(Car_Sales_Data!G10:G575533,C35,Car_Sales_Data!K10:K575533)</f>
        <v>0</v>
      </c>
      <c r="J35" t="s">
        <v>102</v>
      </c>
      <c r="K35" s="57">
        <f>SUMIFS(Car_Sales_Data!I10:I575533,Car_Sales_Data!F10:F575533,J35,Car_Sales_Data!H10:H575533,K$30)</f>
        <v>0</v>
      </c>
      <c r="L35" s="57">
        <f>SUMIFS(Car_Sales_Data!I10:I575533,Car_Sales_Data!F10:F575533,J35,Car_Sales_Data!H10:H575533,L$30)</f>
        <v>0</v>
      </c>
      <c r="M35" s="57">
        <f>SUMIFS(Car_Sales_Data!I10:I575533,Car_Sales_Data!F10:F575533,J35,Car_Sales_Data!H10:H575533,M$30)</f>
        <v>0</v>
      </c>
      <c r="N35" s="57">
        <f>SUM(K35:M35)</f>
        <v>0</v>
      </c>
    </row>
    <row r="36" spans="2:14" ht="12" x14ac:dyDescent="0.25">
      <c r="C36" s="61" t="s">
        <v>103</v>
      </c>
      <c r="D36" s="62">
        <f>SUM(D31:D35)</f>
        <v>0</v>
      </c>
      <c r="E36" s="63">
        <f>SUM(E31:E35)</f>
        <v>0</v>
      </c>
      <c r="F36" s="64" t="e">
        <f>AVERAGE(F31:F35)</f>
        <v>#DIV/0!</v>
      </c>
      <c r="G36" s="63">
        <f>SUM(G31:G35)</f>
        <v>0</v>
      </c>
      <c r="J36" s="61" t="s">
        <v>103</v>
      </c>
      <c r="K36" s="63">
        <f>SUM(K31:K35)</f>
        <v>0</v>
      </c>
      <c r="L36" s="63">
        <f>SUM(L31:L35)</f>
        <v>0</v>
      </c>
      <c r="M36" s="63">
        <f>SUM(M31:M35)</f>
        <v>0</v>
      </c>
      <c r="N36" s="63">
        <f>SUM(N31:N35)</f>
        <v>0</v>
      </c>
    </row>
    <row r="38" spans="2:14" ht="15.6" x14ac:dyDescent="0.3">
      <c r="B38">
        <v>4</v>
      </c>
      <c r="C38" s="60" t="s">
        <v>111</v>
      </c>
      <c r="I38">
        <v>8</v>
      </c>
      <c r="J38" s="60" t="s">
        <v>122</v>
      </c>
    </row>
    <row r="40" spans="2:14" ht="12" x14ac:dyDescent="0.25">
      <c r="C40" s="53" t="s">
        <v>112</v>
      </c>
      <c r="D40" s="53" t="s">
        <v>95</v>
      </c>
      <c r="E40" s="53" t="s">
        <v>84</v>
      </c>
      <c r="F40" s="53" t="s">
        <v>96</v>
      </c>
      <c r="G40" s="53" t="s">
        <v>97</v>
      </c>
      <c r="J40" s="53" t="s">
        <v>94</v>
      </c>
      <c r="K40" s="53">
        <v>2020</v>
      </c>
      <c r="L40" s="53">
        <v>2021</v>
      </c>
      <c r="M40" s="53">
        <v>2022</v>
      </c>
      <c r="N40" s="53" t="s">
        <v>103</v>
      </c>
    </row>
    <row r="41" spans="2:14" x14ac:dyDescent="0.2">
      <c r="C41">
        <v>2020</v>
      </c>
      <c r="D41" s="54">
        <f>COUNTIF(Car_Sales_Data!H10:H575533,C41)</f>
        <v>0</v>
      </c>
      <c r="E41" s="57">
        <f>SUMIF(Car_Sales_Data!H10:H575533,C41,Car_Sales_Data!I10:I575533)</f>
        <v>0</v>
      </c>
      <c r="F41" s="55" t="e">
        <f>AVERAGEIF(Car_Sales_Data!H10:H575533,C41,Car_Sales_Data!I10:I575533)</f>
        <v>#DIV/0!</v>
      </c>
      <c r="G41" s="57">
        <f>SUMIF(Car_Sales_Data!H10:H575533,C41,Car_Sales_Data!K10:K575533)</f>
        <v>0</v>
      </c>
      <c r="J41" t="s">
        <v>98</v>
      </c>
      <c r="K41" s="54">
        <f>COUNTIFS(Car_Sales_Data!F10:F575533,J41,Car_Sales_Data!H10:H575533,K$40)</f>
        <v>0</v>
      </c>
      <c r="L41" s="54">
        <f>COUNTIFS(Car_Sales_Data!F10:F575533,J41,Car_Sales_Data!H10:H575533,L$40)</f>
        <v>0</v>
      </c>
      <c r="M41" s="54">
        <f>COUNTIFS(Car_Sales_Data!F10:F575533,J41,Car_Sales_Data!H10:H575533,M$40)</f>
        <v>0</v>
      </c>
      <c r="N41" s="54">
        <f>SUM(K41:M41)</f>
        <v>0</v>
      </c>
    </row>
    <row r="42" spans="2:14" x14ac:dyDescent="0.2">
      <c r="C42">
        <v>2021</v>
      </c>
      <c r="D42" s="54">
        <f>COUNTIF(Car_Sales_Data!H10:H575533,C42)</f>
        <v>0</v>
      </c>
      <c r="E42" s="57">
        <f>SUMIF(Car_Sales_Data!H10:H575533,C42,Car_Sales_Data!I10:I575533)</f>
        <v>0</v>
      </c>
      <c r="F42" s="55" t="e">
        <f>AVERAGEIF(Car_Sales_Data!H10:H575533,C42,Car_Sales_Data!I10:I575533)</f>
        <v>#DIV/0!</v>
      </c>
      <c r="G42" s="57">
        <f>SUMIF(Car_Sales_Data!H10:H575533,C42,Car_Sales_Data!K10:K575533)</f>
        <v>0</v>
      </c>
      <c r="J42" t="s">
        <v>99</v>
      </c>
      <c r="K42" s="54">
        <f>COUNTIFS(Car_Sales_Data!F10:F575533,J42,Car_Sales_Data!H10:H575533,K$40)</f>
        <v>0</v>
      </c>
      <c r="L42" s="54">
        <f>COUNTIFS(Car_Sales_Data!F10:F575533,J42,Car_Sales_Data!H10:H575533,L$40)</f>
        <v>0</v>
      </c>
      <c r="M42" s="54">
        <f>COUNTIFS(Car_Sales_Data!F10:F575533,J42,Car_Sales_Data!H10:H575533,M$40)</f>
        <v>0</v>
      </c>
      <c r="N42" s="54">
        <f>SUM(K42:M42)</f>
        <v>0</v>
      </c>
    </row>
    <row r="43" spans="2:14" x14ac:dyDescent="0.2">
      <c r="C43">
        <v>2022</v>
      </c>
      <c r="D43" s="54">
        <f>COUNTIF(Car_Sales_Data!H10:H575533,C43)</f>
        <v>0</v>
      </c>
      <c r="E43" s="57">
        <f>SUMIF(Car_Sales_Data!H10:H575533,C43,Car_Sales_Data!I10:I575533)</f>
        <v>0</v>
      </c>
      <c r="F43" s="55" t="e">
        <f>AVERAGEIF(Car_Sales_Data!H10:H575533,C43,Car_Sales_Data!I10:I575533)</f>
        <v>#DIV/0!</v>
      </c>
      <c r="G43" s="57">
        <f>SUMIF(Car_Sales_Data!H10:H575533,C43,Car_Sales_Data!K10:K575533)</f>
        <v>0</v>
      </c>
      <c r="J43" t="s">
        <v>100</v>
      </c>
      <c r="K43" s="54">
        <f>COUNTIFS(Car_Sales_Data!F10:F575533,J43,Car_Sales_Data!H10:H575533,K$40)</f>
        <v>0</v>
      </c>
      <c r="L43" s="54">
        <f>COUNTIFS(Car_Sales_Data!F10:F575533,J43,Car_Sales_Data!H10:H575533,L$40)</f>
        <v>0</v>
      </c>
      <c r="M43" s="54">
        <f>COUNTIFS(Car_Sales_Data!F10:F575533,J43,Car_Sales_Data!H10:H575533,M$40)</f>
        <v>0</v>
      </c>
      <c r="N43" s="54">
        <f>SUM(K43:M43)</f>
        <v>0</v>
      </c>
    </row>
    <row r="44" spans="2:14" ht="12" x14ac:dyDescent="0.25">
      <c r="C44" s="61" t="s">
        <v>103</v>
      </c>
      <c r="D44" s="62">
        <f>SUM(D41:D43)</f>
        <v>0</v>
      </c>
      <c r="E44" s="63">
        <f>SUM(E41:E43)</f>
        <v>0</v>
      </c>
      <c r="F44" s="64" t="e">
        <f>AVERAGE(F41:F43)</f>
        <v>#DIV/0!</v>
      </c>
      <c r="G44" s="63">
        <f>SUM(G41:G43)</f>
        <v>0</v>
      </c>
      <c r="J44" t="s">
        <v>101</v>
      </c>
      <c r="K44" s="54">
        <f>COUNTIFS(Car_Sales_Data!F10:F575533,J44,Car_Sales_Data!H10:H575533,K$40)</f>
        <v>0</v>
      </c>
      <c r="L44" s="54">
        <f>COUNTIFS(Car_Sales_Data!F10:F575533,J44,Car_Sales_Data!H10:H575533,L$40)</f>
        <v>0</v>
      </c>
      <c r="M44" s="54">
        <f>COUNTIFS(Car_Sales_Data!F10:F575533,J44,Car_Sales_Data!H10:H575533,M$40)</f>
        <v>0</v>
      </c>
      <c r="N44" s="54">
        <f>SUM(K44:M44)</f>
        <v>0</v>
      </c>
    </row>
    <row r="45" spans="2:14" x14ac:dyDescent="0.2">
      <c r="J45" t="s">
        <v>102</v>
      </c>
      <c r="K45" s="54">
        <f>COUNTIFS(Car_Sales_Data!F10:F575533,J45,Car_Sales_Data!H10:H575533,K$40)</f>
        <v>0</v>
      </c>
      <c r="L45" s="54">
        <f>COUNTIFS(Car_Sales_Data!F10:F575533,J45,Car_Sales_Data!H10:H575533,L$40)</f>
        <v>0</v>
      </c>
      <c r="M45" s="54">
        <f>COUNTIFS(Car_Sales_Data!F10:F575533,J45,Car_Sales_Data!H10:H575533,M$40)</f>
        <v>0</v>
      </c>
      <c r="N45" s="54">
        <f>SUM(K45:M45)</f>
        <v>0</v>
      </c>
    </row>
    <row r="46" spans="2:14" ht="12" x14ac:dyDescent="0.25">
      <c r="J46" s="61" t="s">
        <v>103</v>
      </c>
      <c r="K46" s="62">
        <f>SUM(K41:K45)</f>
        <v>0</v>
      </c>
      <c r="L46" s="62">
        <f>SUM(L41:L45)</f>
        <v>0</v>
      </c>
      <c r="M46" s="62">
        <f>SUM(M41:M45)</f>
        <v>0</v>
      </c>
      <c r="N46" s="62">
        <f>SUM(N41:N45)</f>
        <v>0</v>
      </c>
    </row>
    <row r="47" spans="2:14" ht="12" x14ac:dyDescent="0.25">
      <c r="C47" s="67" t="s">
        <v>125</v>
      </c>
      <c r="D47" s="50"/>
      <c r="E47" s="50"/>
      <c r="F47" s="50"/>
      <c r="G47" s="50"/>
      <c r="H47" s="50"/>
      <c r="I47" s="50"/>
    </row>
    <row r="48" spans="2:14" x14ac:dyDescent="0.2">
      <c r="C48" s="66" t="e" cm="1" vm="1">
        <f t="array" ref="C48">_xlfn._xlws.PY(7,0)</f>
        <v>#VALUE!</v>
      </c>
    </row>
    <row r="59" spans="3:3" x14ac:dyDescent="0.2">
      <c r="C59" t="e" cm="1" vm="1">
        <f t="array" ref="C59">_xlfn._xlws.PY(8,0)</f>
        <v>#VALUE!</v>
      </c>
    </row>
  </sheetData>
  <mergeCells count="1">
    <mergeCell ref="J9:N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FE75ECA439A049B41314814B7E4B57" ma:contentTypeVersion="19" ma:contentTypeDescription="Create a new document." ma:contentTypeScope="" ma:versionID="e67f3b247dd811f116325cb79bd32355">
  <xsd:schema xmlns:xsd="http://www.w3.org/2001/XMLSchema" xmlns:xs="http://www.w3.org/2001/XMLSchema" xmlns:p="http://schemas.microsoft.com/office/2006/metadata/properties" xmlns:ns2="ff58d06b-05e3-4c65-85ba-22cd93c7683f" xmlns:ns3="ac914b5e-6dd4-4de9-b905-57df3d54023d" targetNamespace="http://schemas.microsoft.com/office/2006/metadata/properties" ma:root="true" ma:fieldsID="2e8ade43a7ea9a5ad03b9775330a245f" ns2:_="" ns3:_="">
    <xsd:import namespace="ff58d06b-05e3-4c65-85ba-22cd93c7683f"/>
    <xsd:import namespace="ac914b5e-6dd4-4de9-b905-57df3d5402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58d06b-05e3-4c65-85ba-22cd93c768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ba3f6a92-6300-485e-b0cc-b70aa89c14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914b5e-6dd4-4de9-b905-57df3d54023d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0b4198c-4b14-49cc-8beb-9042bcb4eee8}" ma:internalName="TaxCatchAll" ma:showField="CatchAllData" ma:web="ac914b5e-6dd4-4de9-b905-57df3d54023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f58d06b-05e3-4c65-85ba-22cd93c7683f">
      <Terms xmlns="http://schemas.microsoft.com/office/infopath/2007/PartnerControls"/>
    </lcf76f155ced4ddcb4097134ff3c332f>
    <TaxCatchAll xmlns="ac914b5e-6dd4-4de9-b905-57df3d54023d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50296B77-767E-4405-A8C0-063FC5E94C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EA92457-302F-4323-8A91-144727C1B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58d06b-05e3-4c65-85ba-22cd93c7683f"/>
    <ds:schemaRef ds:uri="ac914b5e-6dd4-4de9-b905-57df3d5402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1C49CD1-C924-4188-A85C-82CA20713BD8}">
  <ds:schemaRefs>
    <ds:schemaRef ds:uri="http://schemas.microsoft.com/office/2006/metadata/properties"/>
    <ds:schemaRef ds:uri="http://schemas.microsoft.com/office/infopath/2007/PartnerControls"/>
    <ds:schemaRef ds:uri="ff58d06b-05e3-4c65-85ba-22cd93c7683f"/>
    <ds:schemaRef ds:uri="ac914b5e-6dd4-4de9-b905-57df3d54023d"/>
  </ds:schemaRefs>
</ds:datastoreItem>
</file>

<file path=customXml/itemProps4.xml><?xml version="1.0" encoding="utf-8"?>
<ds:datastoreItem xmlns:ds="http://schemas.openxmlformats.org/officeDocument/2006/customXml" ds:itemID="{36C8B711-BAF6-47A2-B864-71F94FDFDA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37</vt:i4>
      </vt:variant>
    </vt:vector>
  </HeadingPairs>
  <TitlesOfParts>
    <vt:vector size="47" baseType="lpstr">
      <vt:lpstr>Cover</vt:lpstr>
      <vt:lpstr>Navigator</vt:lpstr>
      <vt:lpstr>Model Parameters</vt:lpstr>
      <vt:lpstr>Style Guide</vt:lpstr>
      <vt:lpstr>Car_Sales_Data</vt:lpstr>
      <vt:lpstr>Northwind</vt:lpstr>
      <vt:lpstr>Prompts</vt:lpstr>
      <vt:lpstr>Adventure Works</vt:lpstr>
      <vt:lpstr>Error Checks</vt:lpstr>
      <vt:lpstr>Car_Sales_Analysis</vt:lpstr>
      <vt:lpstr>Alphabetical_list_of_products</vt:lpstr>
      <vt:lpstr>Categories</vt:lpstr>
      <vt:lpstr>Client_Name</vt:lpstr>
      <vt:lpstr>Days_in_Year</vt:lpstr>
      <vt:lpstr>Days_in_Yr</vt:lpstr>
      <vt:lpstr>HL_1</vt:lpstr>
      <vt:lpstr>HL_10</vt:lpstr>
      <vt:lpstr>HL_2</vt:lpstr>
      <vt:lpstr>HL_3</vt:lpstr>
      <vt:lpstr>'Adventure Works'!HL_4</vt:lpstr>
      <vt:lpstr>Car_Sales_Data!HL_4</vt:lpstr>
      <vt:lpstr>Northwind!HL_4</vt:lpstr>
      <vt:lpstr>HL_4</vt:lpstr>
      <vt:lpstr>'Adventure Works'!HL_5</vt:lpstr>
      <vt:lpstr>Car_Sales_Data!HL_5</vt:lpstr>
      <vt:lpstr>Northwind!HL_5</vt:lpstr>
      <vt:lpstr>HL_5</vt:lpstr>
      <vt:lpstr>'Adventure Works'!HL_6</vt:lpstr>
      <vt:lpstr>Car_Sales_Data!HL_6</vt:lpstr>
      <vt:lpstr>Northwind!HL_6</vt:lpstr>
      <vt:lpstr>HL_6</vt:lpstr>
      <vt:lpstr>HL_7</vt:lpstr>
      <vt:lpstr>HL_8</vt:lpstr>
      <vt:lpstr>HL_Model_Parameters</vt:lpstr>
      <vt:lpstr>HL_Navigator</vt:lpstr>
      <vt:lpstr>Months_in_Half_Yr</vt:lpstr>
      <vt:lpstr>Months_in_Month</vt:lpstr>
      <vt:lpstr>Months_in_Qtr</vt:lpstr>
      <vt:lpstr>Months_in_Quarter</vt:lpstr>
      <vt:lpstr>Months_in_Year</vt:lpstr>
      <vt:lpstr>Overall_Error_Check</vt:lpstr>
      <vt:lpstr>Quarters_in_Year</vt:lpstr>
      <vt:lpstr>Region</vt:lpstr>
      <vt:lpstr>Rounding_Accuracy</vt:lpstr>
      <vt:lpstr>Thousand</vt:lpstr>
      <vt:lpstr>Very_Large_Number</vt:lpstr>
      <vt:lpstr>Very_Small_Number</vt:lpstr>
    </vt:vector>
  </TitlesOfParts>
  <Manager/>
  <Company>SumProduct Pty Limited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Liam</dc:creator>
  <cp:keywords/>
  <dc:description/>
  <cp:lastModifiedBy>Tim Ryder</cp:lastModifiedBy>
  <cp:revision/>
  <dcterms:created xsi:type="dcterms:W3CDTF">2012-10-20T20:39:47Z</dcterms:created>
  <dcterms:modified xsi:type="dcterms:W3CDTF">2026-03-20T00:32:04Z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0x01010015FE75ECA439A049B41314814B7E4B57</vt:lpwstr>
  </property>
  <property fmtid="{D5CDD505-2E9C-101B-9397-08002B2CF9AE}" pid="3" name="MediaServiceImageTags">
    <vt:lpwstr/>
  </property>
</Properties>
</file>